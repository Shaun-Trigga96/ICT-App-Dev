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filterPrivacy="1" codeName="ThisWorkbook"/>
  <xr:revisionPtr revIDLastSave="0" documentId="13_ncr:1_{D549BF72-90AA-45C2-BC22-862256226E38}" xr6:coauthVersionLast="47" xr6:coauthVersionMax="47" xr10:uidLastSave="{00000000-0000-0000-0000-000000000000}"/>
  <bookViews>
    <workbookView xWindow="-120" yWindow="-120" windowWidth="20640" windowHeight="11760" xr2:uid="{00000000-000D-0000-FFFF-FFFF00000000}"/>
  </bookViews>
  <sheets>
    <sheet name="ProjectSchedule" sheetId="11" r:id="rId1"/>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ProjectSchedule!#REF!</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0" i="11" l="1"/>
  <c r="D40" i="11"/>
  <c r="E38" i="11"/>
  <c r="D38" i="11"/>
  <c r="D36" i="11"/>
  <c r="E36" i="11" s="1"/>
  <c r="E34" i="11"/>
  <c r="D34" i="11"/>
  <c r="D33" i="11"/>
  <c r="E31" i="11"/>
  <c r="G31" i="11" s="1"/>
  <c r="E26" i="11"/>
  <c r="D26" i="11"/>
  <c r="G15" i="11"/>
  <c r="D8" i="11"/>
  <c r="D9" i="11"/>
  <c r="H5" i="11"/>
  <c r="H4" i="11" s="1"/>
  <c r="G7" i="11"/>
  <c r="G20" i="11"/>
  <c r="G29" i="11"/>
  <c r="G30" i="11"/>
  <c r="G32" i="11"/>
  <c r="G46" i="11"/>
  <c r="E8" i="11" l="1"/>
  <c r="G8" i="11" s="1"/>
  <c r="E9" i="11"/>
  <c r="D10" i="11" s="1"/>
  <c r="I5" i="11"/>
  <c r="H6" i="11"/>
  <c r="E10" i="11" l="1"/>
  <c r="D11" i="11" s="1"/>
  <c r="E11" i="11" s="1"/>
  <c r="D13" i="11"/>
  <c r="E13" i="11" s="1"/>
  <c r="D14" i="11" s="1"/>
  <c r="E14" i="11" s="1"/>
  <c r="G9" i="11"/>
  <c r="G21" i="11"/>
  <c r="J5" i="11"/>
  <c r="I6" i="11"/>
  <c r="G10" i="11"/>
  <c r="G22" i="11"/>
  <c r="D12" i="11"/>
  <c r="E12" i="11" s="1"/>
  <c r="G13" i="11" l="1"/>
  <c r="J6" i="11"/>
  <c r="K5" i="11"/>
  <c r="G12" i="11"/>
  <c r="G11" i="11"/>
  <c r="G16" i="11" l="1"/>
  <c r="K6" i="11"/>
  <c r="L5" i="11"/>
  <c r="G25" i="11"/>
  <c r="G24" i="11"/>
  <c r="G23" i="11"/>
  <c r="L6" i="11" l="1"/>
  <c r="M5" i="11"/>
  <c r="G18" i="11"/>
  <c r="G17" i="11"/>
  <c r="M6" i="11" l="1"/>
  <c r="N5" i="11"/>
  <c r="G19" i="11"/>
  <c r="N6" i="11" l="1"/>
  <c r="O5" i="11"/>
  <c r="O6" i="11" l="1"/>
  <c r="P5" i="11"/>
  <c r="O4" i="11"/>
  <c r="P6" i="11" l="1"/>
  <c r="Q5" i="11"/>
  <c r="Q6" i="11" l="1"/>
  <c r="R5" i="11"/>
  <c r="R6" i="11" l="1"/>
  <c r="S5" i="11"/>
  <c r="S6" i="11" l="1"/>
  <c r="T5" i="11"/>
  <c r="T6" i="11" l="1"/>
  <c r="U5" i="11"/>
  <c r="U6" i="11" l="1"/>
  <c r="V5" i="11"/>
  <c r="V6" i="11" l="1"/>
  <c r="W5" i="11"/>
  <c r="V4" i="11"/>
  <c r="W6" i="11" l="1"/>
  <c r="X5" i="11"/>
  <c r="X6" i="11" l="1"/>
  <c r="Y5" i="11"/>
  <c r="Y6" i="11" l="1"/>
  <c r="Z5" i="11"/>
  <c r="Z6" i="11" l="1"/>
  <c r="AA5" i="11"/>
  <c r="AA6" i="11" l="1"/>
  <c r="AB5" i="11"/>
  <c r="AB6" i="11" l="1"/>
  <c r="AC5" i="11"/>
  <c r="AC6" i="11" l="1"/>
  <c r="AD5" i="11"/>
  <c r="AC4" i="11"/>
  <c r="AD6" i="11" l="1"/>
  <c r="AE5" i="11"/>
  <c r="AE6" i="11" l="1"/>
  <c r="AF5" i="11"/>
  <c r="AF6" i="11" l="1"/>
  <c r="AG5" i="11"/>
  <c r="AG6" i="11" l="1"/>
  <c r="AH5" i="11"/>
  <c r="AH6" i="11" l="1"/>
  <c r="AI5" i="11"/>
  <c r="AI6" i="11" l="1"/>
  <c r="AJ5" i="11"/>
  <c r="AJ6" i="11" l="1"/>
  <c r="AJ4" i="11"/>
  <c r="AK5" i="11"/>
  <c r="AK6" i="11" l="1"/>
  <c r="AL5" i="11"/>
  <c r="AL6" i="11" l="1"/>
  <c r="AM5" i="11"/>
  <c r="AM6" i="11" l="1"/>
  <c r="AN5" i="11"/>
  <c r="AN6" i="11" l="1"/>
  <c r="AO5" i="11"/>
  <c r="AO6" i="11" l="1"/>
  <c r="AP5" i="11"/>
  <c r="AP6" i="11" l="1"/>
  <c r="AQ5" i="11"/>
  <c r="AQ6" i="11" l="1"/>
  <c r="AR5" i="11"/>
  <c r="AQ4" i="11"/>
  <c r="AR6" i="11" l="1"/>
  <c r="AS5" i="11"/>
  <c r="AS6" i="11" l="1"/>
  <c r="AT5" i="11"/>
  <c r="AT6" i="11" l="1"/>
  <c r="AU5" i="11"/>
  <c r="AU6" i="11" l="1"/>
  <c r="AV5" i="11"/>
  <c r="AV6" i="11" l="1"/>
  <c r="AW5" i="11"/>
  <c r="AW6" i="11" l="1"/>
  <c r="AX5" i="11"/>
  <c r="AX6" i="11" l="1"/>
  <c r="AX4" i="11"/>
  <c r="AY5" i="11"/>
  <c r="AY6" i="11" l="1"/>
  <c r="AZ5" i="11"/>
  <c r="AZ6" i="11" l="1"/>
  <c r="BA5" i="11"/>
  <c r="BA6" i="11" l="1"/>
  <c r="BB5" i="11"/>
  <c r="BB6" i="11" l="1"/>
  <c r="BC5" i="11"/>
  <c r="BC6" i="11" l="1"/>
  <c r="BD5" i="11"/>
  <c r="BD6" i="11" l="1"/>
  <c r="BE5" i="11"/>
  <c r="BE6" i="11" l="1"/>
  <c r="BF5" i="11"/>
  <c r="BE4" i="11"/>
  <c r="BF6" i="11" l="1"/>
  <c r="BG5" i="11"/>
  <c r="BG6" i="11" l="1"/>
  <c r="BH5" i="11"/>
  <c r="BH6" i="11" l="1"/>
  <c r="BI5" i="11"/>
  <c r="BI6" i="11" l="1"/>
  <c r="BJ5" i="11"/>
  <c r="BJ6" i="11" l="1"/>
  <c r="BK5" i="11"/>
  <c r="BK6" i="11" l="1"/>
  <c r="BL5" i="11"/>
  <c r="BM5" i="11" s="1"/>
  <c r="BN5" i="11" s="1"/>
  <c r="BO5" i="11" s="1"/>
  <c r="BP5" i="11" s="1"/>
</calcChain>
</file>

<file path=xl/sharedStrings.xml><?xml version="1.0" encoding="utf-8"?>
<sst xmlns="http://schemas.openxmlformats.org/spreadsheetml/2006/main" count="146" uniqueCount="63">
  <si>
    <t>Insert new rows ABOVE this one</t>
  </si>
  <si>
    <t>Project Start:</t>
  </si>
  <si>
    <t>ASSIGNED
TO</t>
  </si>
  <si>
    <t>START</t>
  </si>
  <si>
    <t>END</t>
  </si>
  <si>
    <t>DAYS</t>
  </si>
  <si>
    <t>Display Week:</t>
  </si>
  <si>
    <t>TASK</t>
  </si>
  <si>
    <t>Enter Company Name in cell B2.</t>
  </si>
  <si>
    <t>Sample phase title block</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</si>
  <si>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</si>
  <si>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</si>
  <si>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</si>
  <si>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</si>
  <si>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</si>
  <si>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</si>
  <si>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</si>
  <si>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</si>
  <si>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</si>
  <si>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</si>
  <si>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</si>
  <si>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</si>
  <si>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Graduate Recruitment Portal</t>
  </si>
  <si>
    <t>Cape Peninsula University of Technology (District Six)</t>
  </si>
  <si>
    <t>Phase 1: Project Planning</t>
  </si>
  <si>
    <t>Phase 2: Requirements Definition</t>
  </si>
  <si>
    <t>Phase 3: System Design</t>
  </si>
  <si>
    <t>Phase 4: System Development</t>
  </si>
  <si>
    <t xml:space="preserve">Phase 5: System Testing </t>
  </si>
  <si>
    <t>Phase 6: Project Closure</t>
  </si>
  <si>
    <t>Project resource planning</t>
  </si>
  <si>
    <t>Logbook signing</t>
  </si>
  <si>
    <t>Bronwyn (supervisor)</t>
  </si>
  <si>
    <t>Team Leader: Chuma Nxazonke</t>
  </si>
  <si>
    <t>Analyse and Document Current Business Process</t>
  </si>
  <si>
    <t>Analyse and Document New Business Processes</t>
  </si>
  <si>
    <t>Business Requirements Document</t>
  </si>
  <si>
    <t>Functional Requirements Document</t>
  </si>
  <si>
    <t>ERD (Entity Relationship Diagram) Design</t>
  </si>
  <si>
    <t>Database Design</t>
  </si>
  <si>
    <t>Wireframes</t>
  </si>
  <si>
    <t>User Interface Design</t>
  </si>
  <si>
    <t>Code/Programming</t>
  </si>
  <si>
    <t>Testing</t>
  </si>
  <si>
    <t>Debugging and Test</t>
  </si>
  <si>
    <t>User Acceptance Testing</t>
  </si>
  <si>
    <t>Document Lessons Learned</t>
  </si>
  <si>
    <t>Post Project Review</t>
  </si>
  <si>
    <t xml:space="preserve"> Sep 26, 2022</t>
  </si>
  <si>
    <t>Oct 3, 2022</t>
  </si>
  <si>
    <t>Oct 10, 2022</t>
  </si>
  <si>
    <t>Oct 17, 2022</t>
  </si>
  <si>
    <t>Oct 24, 2022</t>
  </si>
  <si>
    <t>Oct 31, 2022</t>
  </si>
  <si>
    <t>Nov  7, 2022</t>
  </si>
  <si>
    <t>Nov 14, 2022</t>
  </si>
  <si>
    <t>Nov 21, 2022</t>
  </si>
  <si>
    <t>Nov 28, 2022</t>
  </si>
  <si>
    <t>Dec  5, 2022</t>
  </si>
  <si>
    <t>M</t>
  </si>
  <si>
    <t>T</t>
  </si>
  <si>
    <t xml:space="preserve">W </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</si>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</sst>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sz val="8"/>
      <name val="Calibri"/>
      <family val="2"/>
      <scheme val="minor"/>
    </font>
    <font>
      <sz val="9"/>
      <color theme="1"/>
      <name val="Calibri"/>
      <family val="2"/>
      <scheme val="minor"/>
    </font>
    <font>
      <sz val="20"/>
      <color theme="1"/>
      <name val="Calibri"/>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0.499984740745262"/>
        <bgColor indexed="64"/>
      </patternFill>
    </fill>
    <fill>
      <patternFill patternType="solid">
        <fgColor theme="2" tint="-0.24994659260841701"/>
        <bgColor indexed="64"/>
      </patternFill>
    </fill>
    <fill>
      <patternFill patternType="solid">
        <fgColor theme="7" tint="0.39994506668294322"/>
        <bgColor indexed="64"/>
      </patternFill>
    </fill>
    <fill>
      <patternFill patternType="solid">
        <fgColor theme="0" tint="-0.14996795556505021"/>
        <bgColor indexed="64"/>
      </patternFill>
    </fill>
    <fill>
      <patternFill patternType="solid">
        <fgColor rgb="FFFF0000"/>
        <bgColor indexed="64"/>
      </patternFill>
    </fill>
    <fill>
      <patternFill patternType="solid">
        <fgColor theme="7" tint="-0.249977111117893"/>
        <bgColor indexed="64"/>
      </patternFill>
    </fill>
    <fill>
      <patternFill patternType="solid">
        <fgColor theme="1" tint="4.9989318521683403E-2"/>
        <bgColor indexed="64"/>
      </patternFill>
    </fill>
  </fills>
  <borders count="2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right style="thin">
        <color theme="0" tint="-0.14993743705557422"/>
      </right>
      <top style="medium">
        <color theme="0" tint="-0.14996795556505021"/>
      </top>
      <bottom/>
      <diagonal/>
    </border>
    <border>
      <left style="thin">
        <color theme="0" tint="-0.14993743705557422"/>
      </left>
      <right/>
      <top/>
      <bottom/>
      <diagonal/>
    </border>
    <border>
      <left/>
      <right style="thin">
        <color theme="0" tint="-0.14993743705557422"/>
      </right>
      <top/>
      <bottom/>
      <diagonal/>
    </border>
  </borders>
  <cellStyleXfs count="12">
    <xf numFmtId="0" fontId="0" fillId="0" borderId="0"/>
    <xf numFmtId="0" fontId="3" fillId="0" borderId="0" applyNumberFormat="0" applyFill="0" applyBorder="0" applyAlignment="0" applyProtection="0">
      <alignment vertical="top"/>
      <protection locked="0"/>
    </xf>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1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165" fontId="0" fillId="8" borderId="2" xfId="0" applyNumberFormat="1" applyFill="1" applyBorder="1" applyAlignment="1">
      <alignment horizontal="center" vertical="center"/>
    </xf>
    <xf numFmtId="0" fontId="6" fillId="9" borderId="2" xfId="0" applyFont="1" applyFill="1" applyBorder="1" applyAlignment="1">
      <alignment horizontal="left" vertical="center" indent="1"/>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2"/>
    <xf numFmtId="0" fontId="16" fillId="0" borderId="0" xfId="2" applyAlignment="1">
      <alignment wrapText="1"/>
    </xf>
    <xf numFmtId="0" fontId="16" fillId="0" borderId="0" xfId="0" applyFont="1" applyAlignment="1">
      <alignment horizontal="center"/>
    </xf>
    <xf numFmtId="0" fontId="0" fillId="0" borderId="0" xfId="0" applyAlignment="1">
      <alignment wrapText="1"/>
    </xf>
    <xf numFmtId="0" fontId="13" fillId="0" borderId="0" xfId="4" applyAlignment="1">
      <alignment horizontal="left"/>
    </xf>
    <xf numFmtId="0" fontId="10" fillId="0" borderId="0" xfId="5"/>
    <xf numFmtId="165" fontId="9" fillId="3" borderId="2" xfId="9" applyFill="1">
      <alignment horizontal="center" vertical="center"/>
    </xf>
    <xf numFmtId="165" fontId="9" fillId="4" borderId="2" xfId="9" applyFill="1">
      <alignment horizontal="center" vertical="center"/>
    </xf>
    <xf numFmtId="165" fontId="9" fillId="11" borderId="2" xfId="9" applyFill="1">
      <alignment horizontal="center" vertical="center"/>
    </xf>
    <xf numFmtId="165" fontId="9" fillId="10" borderId="2" xfId="9" applyFill="1">
      <alignment horizontal="center" vertical="center"/>
    </xf>
    <xf numFmtId="0" fontId="9" fillId="8" borderId="2" xfId="10" applyFill="1">
      <alignment horizontal="center" vertical="center"/>
    </xf>
    <xf numFmtId="0" fontId="9" fillId="3" borderId="2" xfId="10" applyFill="1">
      <alignment horizontal="center" vertical="center"/>
    </xf>
    <xf numFmtId="0" fontId="9" fillId="9" borderId="2" xfId="10" applyFill="1">
      <alignment horizontal="center" vertical="center"/>
    </xf>
    <xf numFmtId="0" fontId="9" fillId="4" borderId="2" xfId="10" applyFill="1">
      <alignment horizontal="center" vertical="center"/>
    </xf>
    <xf numFmtId="0" fontId="9" fillId="6" borderId="2" xfId="10" applyFill="1">
      <alignment horizontal="center" vertical="center"/>
    </xf>
    <xf numFmtId="0" fontId="9" fillId="11" borderId="2" xfId="10" applyFill="1">
      <alignment horizontal="center" vertical="center"/>
    </xf>
    <xf numFmtId="0" fontId="9" fillId="5" borderId="2" xfId="10" applyFill="1">
      <alignment horizontal="center" vertical="center"/>
    </xf>
    <xf numFmtId="0" fontId="9" fillId="10" borderId="2" xfId="10" applyFill="1">
      <alignment horizontal="center" vertical="center"/>
    </xf>
    <xf numFmtId="0" fontId="9" fillId="3" borderId="2" xfId="11" applyFill="1">
      <alignment horizontal="left" vertical="center" indent="2"/>
    </xf>
    <xf numFmtId="0" fontId="9" fillId="4" borderId="2" xfId="11" applyFill="1">
      <alignment horizontal="left" vertical="center" indent="2"/>
    </xf>
    <xf numFmtId="0" fontId="9" fillId="11" borderId="2" xfId="11" applyFill="1">
      <alignment horizontal="left" vertical="center" indent="2"/>
    </xf>
    <xf numFmtId="0" fontId="9" fillId="10" borderId="2" xfId="11" applyFill="1">
      <alignment horizontal="left" vertical="center" indent="2"/>
    </xf>
    <xf numFmtId="0" fontId="0" fillId="0" borderId="10" xfId="0" applyBorder="1"/>
    <xf numFmtId="0" fontId="17" fillId="0" borderId="0" xfId="0" applyFont="1"/>
    <xf numFmtId="0" fontId="18" fillId="0" borderId="0" xfId="1" applyFont="1" applyProtection="1">
      <alignment vertical="top"/>
    </xf>
    <xf numFmtId="0" fontId="9" fillId="0" borderId="0" xfId="7">
      <alignment horizontal="right" indent="1"/>
    </xf>
    <xf numFmtId="0" fontId="9" fillId="14" borderId="2" xfId="10" applyFill="1">
      <alignment horizontal="center" vertical="center"/>
    </xf>
    <xf numFmtId="165" fontId="9" fillId="14" borderId="2" xfId="9" applyFill="1">
      <alignment horizontal="center" vertical="center"/>
    </xf>
    <xf numFmtId="0" fontId="6" fillId="14" borderId="2" xfId="11" applyFont="1" applyFill="1">
      <alignment horizontal="left" vertical="center" indent="2"/>
    </xf>
    <xf numFmtId="0" fontId="9" fillId="15" borderId="2" xfId="10" applyFill="1">
      <alignment horizontal="center" vertical="center"/>
    </xf>
    <xf numFmtId="165" fontId="9" fillId="15" borderId="2" xfId="9" applyFill="1">
      <alignment horizontal="center" vertical="center"/>
    </xf>
    <xf numFmtId="0" fontId="6" fillId="16" borderId="2" xfId="11" applyFont="1" applyFill="1">
      <alignment horizontal="left" vertical="center" indent="2"/>
    </xf>
    <xf numFmtId="0" fontId="9" fillId="16" borderId="2" xfId="10" applyFill="1">
      <alignment horizontal="center" vertical="center"/>
    </xf>
    <xf numFmtId="165" fontId="9" fillId="16" borderId="2" xfId="9" applyFill="1">
      <alignment horizontal="center" vertical="center"/>
    </xf>
    <xf numFmtId="0" fontId="9" fillId="15" borderId="2" xfId="11" applyFill="1">
      <alignment horizontal="left" vertical="center" indent="2"/>
    </xf>
    <xf numFmtId="0" fontId="9" fillId="16" borderId="2" xfId="11" applyFill="1">
      <alignment horizontal="left" vertical="center" indent="2"/>
    </xf>
    <xf numFmtId="0" fontId="10" fillId="0" borderId="0" xfId="6" applyAlignment="1">
      <alignment horizontal="left" vertical="top"/>
    </xf>
    <xf numFmtId="168" fontId="11" fillId="7" borderId="11" xfId="0" applyNumberFormat="1" applyFont="1" applyFill="1" applyBorder="1" applyAlignment="1">
      <alignment horizontal="center" vertical="center"/>
    </xf>
    <xf numFmtId="0" fontId="20" fillId="17" borderId="12" xfId="0" applyFont="1" applyFill="1" applyBorder="1" applyAlignment="1">
      <alignment horizontal="center" vertical="center"/>
    </xf>
    <xf numFmtId="0" fontId="20" fillId="17" borderId="0" xfId="0" applyFont="1" applyFill="1" applyAlignment="1">
      <alignment horizontal="center" vertical="center"/>
    </xf>
    <xf numFmtId="0" fontId="20" fillId="17" borderId="11" xfId="0" applyFont="1" applyFill="1" applyBorder="1" applyAlignment="1">
      <alignment horizontal="center" vertical="center"/>
    </xf>
    <xf numFmtId="0" fontId="12" fillId="12" borderId="6" xfId="0" applyFont="1" applyFill="1" applyBorder="1" applyAlignment="1">
      <alignment horizontal="center" vertical="center"/>
    </xf>
    <xf numFmtId="0" fontId="12" fillId="12" borderId="0" xfId="0" applyFont="1" applyFill="1" applyAlignment="1">
      <alignment horizontal="center" vertical="center"/>
    </xf>
    <xf numFmtId="0" fontId="12" fillId="12" borderId="11" xfId="0" applyFont="1" applyFill="1" applyBorder="1" applyAlignment="1">
      <alignment horizontal="center" vertical="center"/>
    </xf>
    <xf numFmtId="14" fontId="5" fillId="8" borderId="2" xfId="0" applyNumberFormat="1" applyFont="1" applyFill="1"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8" xfId="0" applyBorder="1" applyAlignment="1">
      <alignment vertical="center"/>
    </xf>
    <xf numFmtId="0" fontId="0" fillId="18" borderId="13" xfId="0" applyFill="1" applyBorder="1" applyAlignment="1">
      <alignment vertical="center"/>
    </xf>
    <xf numFmtId="0" fontId="0" fillId="0" borderId="13" xfId="0" applyBorder="1" applyAlignment="1">
      <alignment vertical="center"/>
    </xf>
    <xf numFmtId="0" fontId="0" fillId="19" borderId="13" xfId="0" applyFill="1" applyBorder="1" applyAlignment="1">
      <alignment vertical="center"/>
    </xf>
    <xf numFmtId="0" fontId="0" fillId="20" borderId="13" xfId="0" applyFill="1" applyBorder="1" applyAlignment="1">
      <alignment vertical="center"/>
    </xf>
    <xf numFmtId="0" fontId="0" fillId="0" borderId="2"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19" borderId="14" xfId="0" applyFill="1" applyBorder="1" applyAlignment="1">
      <alignment vertical="center"/>
    </xf>
    <xf numFmtId="0" fontId="0" fillId="19" borderId="2" xfId="0" applyFill="1" applyBorder="1" applyAlignment="1">
      <alignment vertical="center"/>
    </xf>
    <xf numFmtId="0" fontId="0" fillId="19" borderId="19" xfId="0" applyFill="1" applyBorder="1" applyAlignment="1">
      <alignment vertical="center"/>
    </xf>
    <xf numFmtId="0" fontId="0" fillId="2" borderId="18" xfId="0" applyFill="1" applyBorder="1" applyAlignment="1">
      <alignment vertical="center"/>
    </xf>
    <xf numFmtId="0" fontId="21" fillId="0" borderId="0" xfId="0" applyFont="1"/>
    <xf numFmtId="0" fontId="0" fillId="19" borderId="14" xfId="0" applyFill="1" applyBorder="1" applyAlignment="1">
      <alignment horizontal="center" vertical="center"/>
    </xf>
    <xf numFmtId="0" fontId="0" fillId="19" borderId="2" xfId="0" applyFill="1" applyBorder="1" applyAlignment="1">
      <alignment horizontal="center" vertical="center"/>
    </xf>
    <xf numFmtId="0" fontId="0" fillId="19" borderId="17" xfId="0" applyFill="1" applyBorder="1" applyAlignment="1">
      <alignment horizontal="center" vertical="center"/>
    </xf>
    <xf numFmtId="0" fontId="0" fillId="19" borderId="19" xfId="0" applyFill="1" applyBorder="1" applyAlignment="1">
      <alignment horizontal="center" vertical="center"/>
    </xf>
    <xf numFmtId="0" fontId="0" fillId="19" borderId="15" xfId="0" applyFill="1"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center" vertical="center"/>
    </xf>
    <xf numFmtId="0" fontId="0" fillId="17" borderId="12" xfId="0" applyFill="1" applyBorder="1" applyAlignment="1">
      <alignment horizontal="center" vertical="center" wrapText="1"/>
    </xf>
    <xf numFmtId="0" fontId="0" fillId="17" borderId="0" xfId="0" applyFill="1" applyAlignment="1">
      <alignment horizontal="center" vertical="center" wrapText="1"/>
    </xf>
    <xf numFmtId="0" fontId="0" fillId="17" borderId="11" xfId="0" applyFill="1" applyBorder="1" applyAlignment="1">
      <alignment horizontal="center" vertical="center" wrapText="1"/>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8">
      <alignment horizontal="center" vertical="center"/>
    </xf>
    <xf numFmtId="0" fontId="0" fillId="17" borderId="6" xfId="0" applyFill="1" applyBorder="1" applyAlignment="1">
      <alignment horizontal="center" vertical="center" wrapTex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91C9D7-EADB-4883-8B92-5A3401D4CD1E}">
  <we:reference id="0986d9dd-94f1-4b67-978d-c4cf6e6142a8" version="21.5.1.1" store="EXCatalog" storeType="EXCatalog"/>
  <we:alternateReferences>
    <we:reference id="WA200000018" version="21.5.1.1" store="en-ZA"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PsiMetalogSPT</we:customFunctionIds>
        <we:customFunctionIds>PsiMetalogFit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Y49"/>
  <sheetViews>
    <sheetView showGridLines="0" tabSelected="1" showRuler="0" zoomScale="70" zoomScaleNormal="70" zoomScalePageLayoutView="70" workbookViewId="0">
      <pane ySplit="6" topLeftCell="A7" activePane="bottomLeft" state="frozen"/>
      <selection pane="bottomLeft" activeCell="H2" sqref="H2"/>
    </sheetView>
  </sheetViews>
  <sheetFormatPr defaultRowHeight="30" customHeight="1" x14ac:dyDescent="0.25"/>
  <cols>
    <col min="1" max="1" width="2.7109375" style="37" customWidth="1"/>
    <col min="2" max="2" width="35.7109375" customWidth="1"/>
    <col min="3" max="3" width="30.7109375" customWidth="1"/>
    <col min="4" max="4" width="10.42578125" style="5" customWidth="1"/>
    <col min="5" max="5" width="12" bestFit="1" customWidth="1"/>
    <col min="6" max="6" width="2.7109375" customWidth="1"/>
    <col min="7" max="7" width="6.140625" hidden="1" customWidth="1"/>
    <col min="8" max="12" width="2.5703125" customWidth="1"/>
    <col min="13" max="13" width="2.42578125" customWidth="1"/>
    <col min="14" max="26" width="2.5703125" customWidth="1"/>
    <col min="27" max="27" width="3.42578125" bestFit="1" customWidth="1"/>
    <col min="28" max="28" width="2.5703125" customWidth="1"/>
    <col min="29" max="31" width="3.42578125" bestFit="1" customWidth="1"/>
    <col min="32" max="32" width="3.140625" customWidth="1"/>
    <col min="33" max="33" width="3.42578125" bestFit="1" customWidth="1"/>
    <col min="34" max="59" width="2.5703125" customWidth="1"/>
    <col min="60" max="62" width="3.42578125" bestFit="1" customWidth="1"/>
    <col min="63" max="63" width="3.140625" bestFit="1" customWidth="1"/>
    <col min="64" max="64" width="3.42578125" bestFit="1" customWidth="1"/>
    <col min="65" max="65" width="3.7109375" customWidth="1"/>
    <col min="66" max="68" width="3.42578125" bestFit="1" customWidth="1"/>
    <col min="69" max="70" width="2.42578125" bestFit="1" customWidth="1"/>
    <col min="71" max="71" width="2.7109375" bestFit="1" customWidth="1"/>
    <col min="72" max="73" width="2.42578125" bestFit="1" customWidth="1"/>
    <col min="74" max="89" width="3.42578125" bestFit="1" customWidth="1"/>
    <col min="90" max="90" width="2.42578125" bestFit="1" customWidth="1"/>
    <col min="91" max="91" width="2.7109375" bestFit="1" customWidth="1"/>
    <col min="92" max="95" width="2.42578125" bestFit="1" customWidth="1"/>
    <col min="96" max="96" width="2.7109375" bestFit="1" customWidth="1"/>
    <col min="97" max="111" width="3.42578125" bestFit="1" customWidth="1"/>
    <col min="112" max="115" width="2.42578125" bestFit="1" customWidth="1"/>
    <col min="116" max="116" width="2.7109375" bestFit="1" customWidth="1"/>
    <col min="117" max="117" width="2.42578125" bestFit="1" customWidth="1"/>
    <col min="118" max="118" width="4" customWidth="1"/>
  </cols>
  <sheetData>
    <row r="1" spans="1:129" ht="30" customHeight="1" x14ac:dyDescent="0.45">
      <c r="A1" s="38" t="s">
        <v>12</v>
      </c>
      <c r="B1" s="41" t="s">
        <v>22</v>
      </c>
      <c r="C1" s="1"/>
      <c r="D1" s="4"/>
      <c r="E1" s="36"/>
      <c r="G1" s="2"/>
      <c r="H1" s="60"/>
      <c r="U1" s="97"/>
      <c r="V1" s="97"/>
      <c r="W1" s="97"/>
      <c r="X1" s="97"/>
      <c r="Y1" s="97"/>
      <c r="Z1" s="97"/>
      <c r="AA1" s="97"/>
      <c r="AB1" s="97"/>
      <c r="AC1" s="97"/>
      <c r="AD1" s="97"/>
      <c r="AE1" s="97"/>
      <c r="AF1" s="97"/>
      <c r="AG1" s="97"/>
      <c r="AH1" s="97"/>
    </row>
    <row r="2" spans="1:129" ht="30" customHeight="1" x14ac:dyDescent="0.3">
      <c r="A2" s="37" t="s">
        <v>8</v>
      </c>
      <c r="B2" s="42" t="s">
        <v>23</v>
      </c>
      <c r="H2" s="61"/>
    </row>
    <row r="3" spans="1:129" ht="42" customHeight="1" x14ac:dyDescent="0.25">
      <c r="A3" s="37" t="s">
        <v>19</v>
      </c>
      <c r="B3" s="73" t="s">
        <v>33</v>
      </c>
      <c r="C3" s="62" t="s">
        <v>1</v>
      </c>
      <c r="D3" s="112">
        <v>44778</v>
      </c>
      <c r="E3" s="112"/>
    </row>
    <row r="4" spans="1:129" ht="30" customHeight="1" x14ac:dyDescent="0.25">
      <c r="A4" s="38" t="s">
        <v>13</v>
      </c>
      <c r="C4" s="62" t="s">
        <v>6</v>
      </c>
      <c r="D4" s="7">
        <v>1</v>
      </c>
      <c r="H4" s="109">
        <f>H5</f>
        <v>44774</v>
      </c>
      <c r="I4" s="110"/>
      <c r="J4" s="110"/>
      <c r="K4" s="110"/>
      <c r="L4" s="110"/>
      <c r="M4" s="110"/>
      <c r="N4" s="111"/>
      <c r="O4" s="109">
        <f>O5</f>
        <v>44781</v>
      </c>
      <c r="P4" s="110"/>
      <c r="Q4" s="110"/>
      <c r="R4" s="110"/>
      <c r="S4" s="110"/>
      <c r="T4" s="110"/>
      <c r="U4" s="111"/>
      <c r="V4" s="109">
        <f>V5</f>
        <v>44788</v>
      </c>
      <c r="W4" s="110"/>
      <c r="X4" s="110"/>
      <c r="Y4" s="110"/>
      <c r="Z4" s="110"/>
      <c r="AA4" s="110"/>
      <c r="AB4" s="111"/>
      <c r="AC4" s="109">
        <f>AC5</f>
        <v>44795</v>
      </c>
      <c r="AD4" s="110"/>
      <c r="AE4" s="110"/>
      <c r="AF4" s="110"/>
      <c r="AG4" s="110"/>
      <c r="AH4" s="110"/>
      <c r="AI4" s="111"/>
      <c r="AJ4" s="109">
        <f>AJ5</f>
        <v>44802</v>
      </c>
      <c r="AK4" s="110"/>
      <c r="AL4" s="110"/>
      <c r="AM4" s="110"/>
      <c r="AN4" s="110"/>
      <c r="AO4" s="110"/>
      <c r="AP4" s="111"/>
      <c r="AQ4" s="109">
        <f>AQ5</f>
        <v>44809</v>
      </c>
      <c r="AR4" s="110"/>
      <c r="AS4" s="110"/>
      <c r="AT4" s="110"/>
      <c r="AU4" s="110"/>
      <c r="AV4" s="110"/>
      <c r="AW4" s="111"/>
      <c r="AX4" s="109">
        <f>AX5</f>
        <v>44816</v>
      </c>
      <c r="AY4" s="110"/>
      <c r="AZ4" s="110"/>
      <c r="BA4" s="110"/>
      <c r="BB4" s="110"/>
      <c r="BC4" s="110"/>
      <c r="BD4" s="111"/>
      <c r="BE4" s="109">
        <f>BE5</f>
        <v>44823</v>
      </c>
      <c r="BF4" s="110"/>
      <c r="BG4" s="110"/>
      <c r="BH4" s="110"/>
      <c r="BI4" s="110"/>
      <c r="BJ4" s="110"/>
      <c r="BK4" s="111"/>
      <c r="BL4" s="113" t="s">
        <v>48</v>
      </c>
      <c r="BM4" s="107"/>
      <c r="BN4" s="107"/>
      <c r="BO4" s="107"/>
      <c r="BP4" s="108"/>
      <c r="BQ4" s="106" t="s">
        <v>49</v>
      </c>
      <c r="BR4" s="107"/>
      <c r="BS4" s="107"/>
      <c r="BT4" s="107"/>
      <c r="BU4" s="108"/>
      <c r="BV4" s="106" t="s">
        <v>50</v>
      </c>
      <c r="BW4" s="107"/>
      <c r="BX4" s="107"/>
      <c r="BY4" s="107"/>
      <c r="BZ4" s="108"/>
      <c r="CA4" s="106" t="s">
        <v>51</v>
      </c>
      <c r="CB4" s="107"/>
      <c r="CC4" s="107"/>
      <c r="CD4" s="107"/>
      <c r="CE4" s="108"/>
      <c r="CF4" s="106" t="s">
        <v>52</v>
      </c>
      <c r="CG4" s="107"/>
      <c r="CH4" s="107"/>
      <c r="CI4" s="107"/>
      <c r="CJ4" s="108"/>
      <c r="CK4" s="106" t="s">
        <v>53</v>
      </c>
      <c r="CL4" s="107"/>
      <c r="CM4" s="107"/>
      <c r="CN4" s="107"/>
      <c r="CO4" s="108"/>
      <c r="CP4" s="106" t="s">
        <v>54</v>
      </c>
      <c r="CQ4" s="107"/>
      <c r="CR4" s="107"/>
      <c r="CS4" s="107"/>
      <c r="CT4" s="108"/>
      <c r="CU4" s="106" t="s">
        <v>55</v>
      </c>
      <c r="CV4" s="107"/>
      <c r="CW4" s="107"/>
      <c r="CX4" s="107"/>
      <c r="CY4" s="108"/>
      <c r="CZ4" s="106" t="s">
        <v>56</v>
      </c>
      <c r="DA4" s="107"/>
      <c r="DB4" s="107"/>
      <c r="DC4" s="107"/>
      <c r="DD4" s="108"/>
      <c r="DE4" s="106" t="s">
        <v>57</v>
      </c>
      <c r="DF4" s="107"/>
      <c r="DG4" s="107"/>
      <c r="DH4" s="107"/>
      <c r="DI4" s="108"/>
      <c r="DJ4" s="106" t="s">
        <v>58</v>
      </c>
      <c r="DK4" s="107"/>
      <c r="DL4" s="107"/>
      <c r="DM4" s="107"/>
      <c r="DN4" s="108"/>
    </row>
    <row r="5" spans="1:129" ht="15" customHeight="1" x14ac:dyDescent="0.25">
      <c r="A5" s="38" t="s">
        <v>14</v>
      </c>
      <c r="B5" s="59"/>
      <c r="C5" s="59"/>
      <c r="D5" s="59"/>
      <c r="E5" s="59"/>
      <c r="F5" s="59"/>
      <c r="H5" s="11">
        <f>Project_Start-WEEKDAY(Project_Start,1)+2+7*(Display_Week-1)</f>
        <v>44774</v>
      </c>
      <c r="I5" s="10">
        <f>H5+1</f>
        <v>44775</v>
      </c>
      <c r="J5" s="10">
        <f t="shared" ref="J5:AW5" si="0">I5+1</f>
        <v>44776</v>
      </c>
      <c r="K5" s="10">
        <f t="shared" si="0"/>
        <v>44777</v>
      </c>
      <c r="L5" s="10">
        <f t="shared" si="0"/>
        <v>44778</v>
      </c>
      <c r="M5" s="10">
        <f t="shared" si="0"/>
        <v>44779</v>
      </c>
      <c r="N5" s="12">
        <f t="shared" si="0"/>
        <v>44780</v>
      </c>
      <c r="O5" s="11">
        <f>N5+1</f>
        <v>44781</v>
      </c>
      <c r="P5" s="10">
        <f>O5+1</f>
        <v>44782</v>
      </c>
      <c r="Q5" s="10">
        <f t="shared" si="0"/>
        <v>44783</v>
      </c>
      <c r="R5" s="10">
        <f t="shared" si="0"/>
        <v>44784</v>
      </c>
      <c r="S5" s="10">
        <f t="shared" si="0"/>
        <v>44785</v>
      </c>
      <c r="T5" s="10">
        <f t="shared" si="0"/>
        <v>44786</v>
      </c>
      <c r="U5" s="12">
        <f t="shared" si="0"/>
        <v>44787</v>
      </c>
      <c r="V5" s="11">
        <f>U5+1</f>
        <v>44788</v>
      </c>
      <c r="W5" s="10">
        <f>V5+1</f>
        <v>44789</v>
      </c>
      <c r="X5" s="10">
        <f t="shared" si="0"/>
        <v>44790</v>
      </c>
      <c r="Y5" s="10">
        <f t="shared" si="0"/>
        <v>44791</v>
      </c>
      <c r="Z5" s="10">
        <f t="shared" si="0"/>
        <v>44792</v>
      </c>
      <c r="AA5" s="10">
        <f t="shared" si="0"/>
        <v>44793</v>
      </c>
      <c r="AB5" s="12">
        <f t="shared" si="0"/>
        <v>44794</v>
      </c>
      <c r="AC5" s="11">
        <f>AB5+1</f>
        <v>44795</v>
      </c>
      <c r="AD5" s="10">
        <f>AC5+1</f>
        <v>44796</v>
      </c>
      <c r="AE5" s="10">
        <f t="shared" si="0"/>
        <v>44797</v>
      </c>
      <c r="AF5" s="10">
        <f t="shared" si="0"/>
        <v>44798</v>
      </c>
      <c r="AG5" s="10">
        <f t="shared" si="0"/>
        <v>44799</v>
      </c>
      <c r="AH5" s="10">
        <f t="shared" si="0"/>
        <v>44800</v>
      </c>
      <c r="AI5" s="12">
        <f t="shared" si="0"/>
        <v>44801</v>
      </c>
      <c r="AJ5" s="11">
        <f>AI5+1</f>
        <v>44802</v>
      </c>
      <c r="AK5" s="10">
        <f>AJ5+1</f>
        <v>44803</v>
      </c>
      <c r="AL5" s="10">
        <f t="shared" si="0"/>
        <v>44804</v>
      </c>
      <c r="AM5" s="10">
        <f t="shared" si="0"/>
        <v>44805</v>
      </c>
      <c r="AN5" s="10">
        <f t="shared" si="0"/>
        <v>44806</v>
      </c>
      <c r="AO5" s="10">
        <f t="shared" si="0"/>
        <v>44807</v>
      </c>
      <c r="AP5" s="12">
        <f t="shared" si="0"/>
        <v>44808</v>
      </c>
      <c r="AQ5" s="11">
        <f>AP5+1</f>
        <v>44809</v>
      </c>
      <c r="AR5" s="10">
        <f>AQ5+1</f>
        <v>44810</v>
      </c>
      <c r="AS5" s="10">
        <f t="shared" si="0"/>
        <v>44811</v>
      </c>
      <c r="AT5" s="10">
        <f t="shared" si="0"/>
        <v>44812</v>
      </c>
      <c r="AU5" s="10">
        <f t="shared" si="0"/>
        <v>44813</v>
      </c>
      <c r="AV5" s="10">
        <f t="shared" si="0"/>
        <v>44814</v>
      </c>
      <c r="AW5" s="12">
        <f t="shared" si="0"/>
        <v>44815</v>
      </c>
      <c r="AX5" s="11">
        <f>AW5+1</f>
        <v>44816</v>
      </c>
      <c r="AY5" s="10">
        <f>AX5+1</f>
        <v>44817</v>
      </c>
      <c r="AZ5" s="10">
        <f t="shared" ref="AZ5:BD5" si="1">AY5+1</f>
        <v>44818</v>
      </c>
      <c r="BA5" s="10">
        <f t="shared" si="1"/>
        <v>44819</v>
      </c>
      <c r="BB5" s="10">
        <f t="shared" si="1"/>
        <v>44820</v>
      </c>
      <c r="BC5" s="10">
        <f t="shared" si="1"/>
        <v>44821</v>
      </c>
      <c r="BD5" s="12">
        <f t="shared" si="1"/>
        <v>44822</v>
      </c>
      <c r="BE5" s="11">
        <f>BD5+1</f>
        <v>44823</v>
      </c>
      <c r="BF5" s="10">
        <f>BE5+1</f>
        <v>44824</v>
      </c>
      <c r="BG5" s="10">
        <f t="shared" ref="BG5:BJ5" si="2">BF5+1</f>
        <v>44825</v>
      </c>
      <c r="BH5" s="10">
        <f t="shared" si="2"/>
        <v>44826</v>
      </c>
      <c r="BI5" s="10">
        <f t="shared" si="2"/>
        <v>44827</v>
      </c>
      <c r="BJ5" s="10">
        <f t="shared" si="2"/>
        <v>44828</v>
      </c>
      <c r="BK5" s="12">
        <f>BJ5+1</f>
        <v>44829</v>
      </c>
      <c r="BL5" s="11">
        <f>BK5+1</f>
        <v>44830</v>
      </c>
      <c r="BM5" s="10">
        <f>BL5+1</f>
        <v>44831</v>
      </c>
      <c r="BN5" s="10">
        <f t="shared" ref="BN5" si="3">BM5+1</f>
        <v>44832</v>
      </c>
      <c r="BO5" s="10">
        <f t="shared" ref="BO5" si="4">BN5+1</f>
        <v>44833</v>
      </c>
      <c r="BP5" s="74">
        <f t="shared" ref="BP5" si="5">BO5+1</f>
        <v>44834</v>
      </c>
      <c r="BQ5" s="75">
        <v>3</v>
      </c>
      <c r="BR5" s="76">
        <v>4</v>
      </c>
      <c r="BS5" s="76">
        <v>5</v>
      </c>
      <c r="BT5" s="76">
        <v>6</v>
      </c>
      <c r="BU5" s="77">
        <v>7</v>
      </c>
      <c r="BV5" s="75">
        <v>10</v>
      </c>
      <c r="BW5" s="76">
        <v>11</v>
      </c>
      <c r="BX5" s="76">
        <v>12</v>
      </c>
      <c r="BY5" s="76">
        <v>13</v>
      </c>
      <c r="BZ5" s="77">
        <v>14</v>
      </c>
      <c r="CA5" s="75">
        <v>17</v>
      </c>
      <c r="CB5" s="76">
        <v>18</v>
      </c>
      <c r="CC5" s="76">
        <v>19</v>
      </c>
      <c r="CD5" s="76">
        <v>20</v>
      </c>
      <c r="CE5" s="77">
        <v>21</v>
      </c>
      <c r="CF5" s="75">
        <v>24</v>
      </c>
      <c r="CG5" s="76">
        <v>25</v>
      </c>
      <c r="CH5" s="76">
        <v>26</v>
      </c>
      <c r="CI5" s="76">
        <v>27</v>
      </c>
      <c r="CJ5" s="77">
        <v>28</v>
      </c>
      <c r="CK5" s="75">
        <v>31</v>
      </c>
      <c r="CL5" s="76">
        <v>1</v>
      </c>
      <c r="CM5" s="76">
        <v>2</v>
      </c>
      <c r="CN5" s="76">
        <v>3</v>
      </c>
      <c r="CO5" s="77">
        <v>4</v>
      </c>
      <c r="CP5" s="75">
        <v>7</v>
      </c>
      <c r="CQ5" s="76">
        <v>8</v>
      </c>
      <c r="CR5" s="76">
        <v>9</v>
      </c>
      <c r="CS5" s="76">
        <v>10</v>
      </c>
      <c r="CT5" s="77">
        <v>11</v>
      </c>
      <c r="CU5" s="75">
        <v>14</v>
      </c>
      <c r="CV5" s="76">
        <v>15</v>
      </c>
      <c r="CW5" s="76">
        <v>16</v>
      </c>
      <c r="CX5" s="76">
        <v>17</v>
      </c>
      <c r="CY5" s="77">
        <v>18</v>
      </c>
      <c r="CZ5" s="75">
        <v>21</v>
      </c>
      <c r="DA5" s="76">
        <v>22</v>
      </c>
      <c r="DB5" s="76">
        <v>23</v>
      </c>
      <c r="DC5" s="76">
        <v>24</v>
      </c>
      <c r="DD5" s="77">
        <v>25</v>
      </c>
      <c r="DE5" s="75">
        <v>28</v>
      </c>
      <c r="DF5" s="76">
        <v>29</v>
      </c>
      <c r="DG5" s="76">
        <v>30</v>
      </c>
      <c r="DH5" s="76">
        <v>1</v>
      </c>
      <c r="DI5" s="77">
        <v>2</v>
      </c>
      <c r="DJ5" s="75">
        <v>5</v>
      </c>
      <c r="DK5" s="76">
        <v>6</v>
      </c>
      <c r="DL5" s="76">
        <v>7</v>
      </c>
      <c r="DM5" s="76">
        <v>8</v>
      </c>
      <c r="DN5" s="77">
        <v>9</v>
      </c>
    </row>
    <row r="6" spans="1:129" ht="30" customHeight="1" thickBot="1" x14ac:dyDescent="0.3">
      <c r="A6" s="38" t="s">
        <v>15</v>
      </c>
      <c r="B6" s="8" t="s">
        <v>7</v>
      </c>
      <c r="C6" s="9" t="s">
        <v>2</v>
      </c>
      <c r="D6" s="9" t="s">
        <v>3</v>
      </c>
      <c r="E6" s="9" t="s">
        <v>4</v>
      </c>
      <c r="F6" s="9"/>
      <c r="G6" s="9" t="s">
        <v>5</v>
      </c>
      <c r="H6" s="13" t="str">
        <f t="shared" ref="H6" si="6">LEFT(TEXT(H5,"ddd"),1)</f>
        <v>M</v>
      </c>
      <c r="I6" s="13" t="str">
        <f t="shared" ref="I6:AQ6" si="7">LEFT(TEXT(I5,"ddd"),1)</f>
        <v>T</v>
      </c>
      <c r="J6" s="13" t="str">
        <f t="shared" si="7"/>
        <v>W</v>
      </c>
      <c r="K6" s="13" t="str">
        <f t="shared" si="7"/>
        <v>T</v>
      </c>
      <c r="L6" s="13" t="str">
        <f t="shared" si="7"/>
        <v>F</v>
      </c>
      <c r="M6" s="13" t="str">
        <f t="shared" si="7"/>
        <v>S</v>
      </c>
      <c r="N6" s="13" t="str">
        <f t="shared" si="7"/>
        <v>S</v>
      </c>
      <c r="O6" s="13" t="str">
        <f t="shared" si="7"/>
        <v>M</v>
      </c>
      <c r="P6" s="13" t="str">
        <f t="shared" si="7"/>
        <v>T</v>
      </c>
      <c r="Q6" s="13" t="str">
        <f t="shared" si="7"/>
        <v>W</v>
      </c>
      <c r="R6" s="13" t="str">
        <f>LEFT(TEXT(R5,"ddd"),1)</f>
        <v>T</v>
      </c>
      <c r="S6" s="13" t="str">
        <f t="shared" si="7"/>
        <v>F</v>
      </c>
      <c r="T6" s="13" t="str">
        <f t="shared" si="7"/>
        <v>S</v>
      </c>
      <c r="U6" s="13" t="str">
        <f t="shared" si="7"/>
        <v>S</v>
      </c>
      <c r="V6" s="13" t="str">
        <f t="shared" si="7"/>
        <v>M</v>
      </c>
      <c r="W6" s="13" t="str">
        <f t="shared" si="7"/>
        <v>T</v>
      </c>
      <c r="X6" s="13" t="str">
        <f t="shared" si="7"/>
        <v>W</v>
      </c>
      <c r="Y6" s="13" t="str">
        <f t="shared" si="7"/>
        <v>T</v>
      </c>
      <c r="Z6" s="13" t="str">
        <f t="shared" si="7"/>
        <v>F</v>
      </c>
      <c r="AA6" s="13" t="str">
        <f t="shared" si="7"/>
        <v>S</v>
      </c>
      <c r="AB6" s="13" t="str">
        <f t="shared" si="7"/>
        <v>S</v>
      </c>
      <c r="AC6" s="13" t="str">
        <f t="shared" si="7"/>
        <v>M</v>
      </c>
      <c r="AD6" s="13" t="str">
        <f t="shared" si="7"/>
        <v>T</v>
      </c>
      <c r="AE6" s="13" t="str">
        <f t="shared" si="7"/>
        <v>W</v>
      </c>
      <c r="AF6" s="13" t="str">
        <f t="shared" si="7"/>
        <v>T</v>
      </c>
      <c r="AG6" s="13" t="str">
        <f t="shared" si="7"/>
        <v>F</v>
      </c>
      <c r="AH6" s="13" t="str">
        <f t="shared" si="7"/>
        <v>S</v>
      </c>
      <c r="AI6" s="13" t="str">
        <f t="shared" si="7"/>
        <v>S</v>
      </c>
      <c r="AJ6" s="13" t="str">
        <f t="shared" si="7"/>
        <v>M</v>
      </c>
      <c r="AK6" s="13" t="str">
        <f t="shared" si="7"/>
        <v>T</v>
      </c>
      <c r="AL6" s="13" t="str">
        <f t="shared" si="7"/>
        <v>W</v>
      </c>
      <c r="AM6" s="13" t="str">
        <f t="shared" si="7"/>
        <v>T</v>
      </c>
      <c r="AN6" s="13" t="str">
        <f t="shared" si="7"/>
        <v>F</v>
      </c>
      <c r="AO6" s="13" t="str">
        <f t="shared" si="7"/>
        <v>S</v>
      </c>
      <c r="AP6" s="13" t="str">
        <f t="shared" si="7"/>
        <v>S</v>
      </c>
      <c r="AQ6" s="13" t="str">
        <f t="shared" si="7"/>
        <v>M</v>
      </c>
      <c r="AR6" s="13" t="str">
        <f t="shared" ref="AR6:BK6" si="8">LEFT(TEXT(AR5,"ddd"),1)</f>
        <v>T</v>
      </c>
      <c r="AS6" s="13" t="str">
        <f t="shared" si="8"/>
        <v>W</v>
      </c>
      <c r="AT6" s="13" t="str">
        <f t="shared" si="8"/>
        <v>T</v>
      </c>
      <c r="AU6" s="13" t="str">
        <f t="shared" si="8"/>
        <v>F</v>
      </c>
      <c r="AV6" s="13" t="str">
        <f t="shared" si="8"/>
        <v>S</v>
      </c>
      <c r="AW6" s="13" t="str">
        <f t="shared" si="8"/>
        <v>S</v>
      </c>
      <c r="AX6" s="13" t="str">
        <f t="shared" si="8"/>
        <v>M</v>
      </c>
      <c r="AY6" s="13" t="str">
        <f t="shared" si="8"/>
        <v>T</v>
      </c>
      <c r="AZ6" s="13" t="str">
        <f t="shared" si="8"/>
        <v>W</v>
      </c>
      <c r="BA6" s="13" t="str">
        <f t="shared" si="8"/>
        <v>T</v>
      </c>
      <c r="BB6" s="13" t="str">
        <f t="shared" si="8"/>
        <v>F</v>
      </c>
      <c r="BC6" s="13" t="str">
        <f t="shared" si="8"/>
        <v>S</v>
      </c>
      <c r="BD6" s="13" t="str">
        <f t="shared" si="8"/>
        <v>S</v>
      </c>
      <c r="BE6" s="13" t="str">
        <f t="shared" si="8"/>
        <v>M</v>
      </c>
      <c r="BF6" s="13" t="str">
        <f t="shared" si="8"/>
        <v>T</v>
      </c>
      <c r="BG6" s="13" t="str">
        <f t="shared" si="8"/>
        <v>W</v>
      </c>
      <c r="BH6" s="13" t="str">
        <f t="shared" si="8"/>
        <v>T</v>
      </c>
      <c r="BI6" s="13" t="str">
        <f t="shared" si="8"/>
        <v>F</v>
      </c>
      <c r="BJ6" s="13" t="str">
        <f t="shared" si="8"/>
        <v>S</v>
      </c>
      <c r="BK6" s="13" t="str">
        <f t="shared" si="8"/>
        <v>S</v>
      </c>
      <c r="BL6" s="78" t="s">
        <v>59</v>
      </c>
      <c r="BM6" s="79" t="s">
        <v>60</v>
      </c>
      <c r="BN6" s="79" t="s">
        <v>61</v>
      </c>
      <c r="BO6" s="79" t="s">
        <v>60</v>
      </c>
      <c r="BP6" s="80" t="s">
        <v>62</v>
      </c>
      <c r="BQ6" s="78" t="s">
        <v>59</v>
      </c>
      <c r="BR6" s="79" t="s">
        <v>60</v>
      </c>
      <c r="BS6" s="79" t="s">
        <v>61</v>
      </c>
      <c r="BT6" s="79" t="s">
        <v>60</v>
      </c>
      <c r="BU6" s="80" t="s">
        <v>62</v>
      </c>
      <c r="BV6" s="78" t="s">
        <v>59</v>
      </c>
      <c r="BW6" s="79" t="s">
        <v>60</v>
      </c>
      <c r="BX6" s="79" t="s">
        <v>61</v>
      </c>
      <c r="BY6" s="79" t="s">
        <v>60</v>
      </c>
      <c r="BZ6" s="80" t="s">
        <v>62</v>
      </c>
      <c r="CA6" s="78" t="s">
        <v>59</v>
      </c>
      <c r="CB6" s="79" t="s">
        <v>60</v>
      </c>
      <c r="CC6" s="79" t="s">
        <v>61</v>
      </c>
      <c r="CD6" s="79" t="s">
        <v>60</v>
      </c>
      <c r="CE6" s="80" t="s">
        <v>62</v>
      </c>
      <c r="CF6" s="78" t="s">
        <v>59</v>
      </c>
      <c r="CG6" s="79" t="s">
        <v>60</v>
      </c>
      <c r="CH6" s="79" t="s">
        <v>61</v>
      </c>
      <c r="CI6" s="79" t="s">
        <v>60</v>
      </c>
      <c r="CJ6" s="80" t="s">
        <v>62</v>
      </c>
      <c r="CK6" s="78" t="s">
        <v>59</v>
      </c>
      <c r="CL6" s="79" t="s">
        <v>60</v>
      </c>
      <c r="CM6" s="79" t="s">
        <v>61</v>
      </c>
      <c r="CN6" s="79" t="s">
        <v>60</v>
      </c>
      <c r="CO6" s="80" t="s">
        <v>62</v>
      </c>
      <c r="CP6" s="78" t="s">
        <v>59</v>
      </c>
      <c r="CQ6" s="79" t="s">
        <v>60</v>
      </c>
      <c r="CR6" s="79" t="s">
        <v>61</v>
      </c>
      <c r="CS6" s="79" t="s">
        <v>60</v>
      </c>
      <c r="CT6" s="80" t="s">
        <v>62</v>
      </c>
      <c r="CU6" s="78" t="s">
        <v>59</v>
      </c>
      <c r="CV6" s="79" t="s">
        <v>60</v>
      </c>
      <c r="CW6" s="79" t="s">
        <v>61</v>
      </c>
      <c r="CX6" s="79" t="s">
        <v>60</v>
      </c>
      <c r="CY6" s="80" t="s">
        <v>62</v>
      </c>
      <c r="CZ6" s="78" t="s">
        <v>59</v>
      </c>
      <c r="DA6" s="79" t="s">
        <v>60</v>
      </c>
      <c r="DB6" s="79" t="s">
        <v>61</v>
      </c>
      <c r="DC6" s="79" t="s">
        <v>60</v>
      </c>
      <c r="DD6" s="80" t="s">
        <v>62</v>
      </c>
      <c r="DE6" s="78" t="s">
        <v>59</v>
      </c>
      <c r="DF6" s="79" t="s">
        <v>60</v>
      </c>
      <c r="DG6" s="79" t="s">
        <v>61</v>
      </c>
      <c r="DH6" s="79" t="s">
        <v>60</v>
      </c>
      <c r="DI6" s="80" t="s">
        <v>62</v>
      </c>
      <c r="DJ6" s="78" t="s">
        <v>59</v>
      </c>
      <c r="DK6" s="79" t="s">
        <v>60</v>
      </c>
      <c r="DL6" s="79" t="s">
        <v>61</v>
      </c>
      <c r="DM6" s="79" t="s">
        <v>60</v>
      </c>
      <c r="DN6" s="80" t="s">
        <v>62</v>
      </c>
    </row>
    <row r="7" spans="1:129" ht="30" hidden="1" customHeight="1" thickBot="1" x14ac:dyDescent="0.3">
      <c r="A7" s="37" t="s">
        <v>20</v>
      </c>
      <c r="C7" s="40"/>
      <c r="D7"/>
      <c r="G7"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row>
    <row r="8" spans="1:129" s="3" customFormat="1" ht="30" customHeight="1" thickBot="1" x14ac:dyDescent="0.3">
      <c r="A8" s="38" t="s">
        <v>16</v>
      </c>
      <c r="B8" s="17" t="s">
        <v>24</v>
      </c>
      <c r="C8" s="47"/>
      <c r="D8" s="18">
        <f>Project_Start</f>
        <v>44778</v>
      </c>
      <c r="E8" s="81">
        <f>D8+17</f>
        <v>44795</v>
      </c>
      <c r="F8" s="16"/>
      <c r="G8" s="16">
        <f t="shared" ref="G8:G46" si="9">IF(OR(ISBLANK(task_start),ISBLANK(task_end)),"",task_end-task_start+1)</f>
        <v>18</v>
      </c>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c r="DP8"/>
      <c r="DQ8"/>
      <c r="DR8"/>
      <c r="DS8"/>
      <c r="DT8"/>
      <c r="DU8"/>
      <c r="DV8"/>
      <c r="DW8"/>
      <c r="DX8"/>
      <c r="DY8"/>
    </row>
    <row r="9" spans="1:129" s="3" customFormat="1" ht="30" customHeight="1" thickBot="1" x14ac:dyDescent="0.3">
      <c r="A9" s="38" t="s">
        <v>21</v>
      </c>
      <c r="B9" s="55" t="s">
        <v>30</v>
      </c>
      <c r="C9" s="48"/>
      <c r="D9" s="43">
        <f>Project_Start</f>
        <v>44778</v>
      </c>
      <c r="E9" s="43">
        <f>D9+3</f>
        <v>44781</v>
      </c>
      <c r="F9" s="16"/>
      <c r="G9" s="16">
        <f t="shared" si="9"/>
        <v>4</v>
      </c>
      <c r="H9" s="33"/>
      <c r="I9" s="33"/>
      <c r="J9" s="33"/>
      <c r="K9" s="33"/>
      <c r="L9" s="84"/>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c r="DP9"/>
      <c r="DQ9"/>
      <c r="DR9"/>
      <c r="DS9"/>
      <c r="DT9"/>
      <c r="DU9"/>
      <c r="DV9"/>
      <c r="DW9"/>
      <c r="DX9"/>
      <c r="DY9"/>
    </row>
    <row r="10" spans="1:129" s="3" customFormat="1" ht="30" customHeight="1" thickBot="1" x14ac:dyDescent="0.3">
      <c r="A10" s="38" t="s">
        <v>17</v>
      </c>
      <c r="B10" s="55" t="s">
        <v>31</v>
      </c>
      <c r="C10" s="48" t="s">
        <v>32</v>
      </c>
      <c r="D10" s="43">
        <f>E9</f>
        <v>44781</v>
      </c>
      <c r="E10" s="43">
        <f>D10</f>
        <v>44781</v>
      </c>
      <c r="F10" s="16"/>
      <c r="G10" s="16">
        <f t="shared" si="9"/>
        <v>1</v>
      </c>
      <c r="H10" s="33"/>
      <c r="I10" s="33"/>
      <c r="J10" s="33"/>
      <c r="K10" s="82"/>
      <c r="L10" s="86"/>
      <c r="M10" s="83"/>
      <c r="N10" s="33"/>
      <c r="O10" s="33"/>
      <c r="P10" s="33"/>
      <c r="Q10" s="33"/>
      <c r="R10" s="33"/>
      <c r="S10" s="33"/>
      <c r="T10" s="34"/>
      <c r="U10" s="34"/>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c r="DP10"/>
      <c r="DQ10"/>
      <c r="DR10"/>
      <c r="DS10"/>
      <c r="DT10"/>
      <c r="DU10"/>
      <c r="DV10"/>
      <c r="DW10"/>
      <c r="DX10"/>
      <c r="DY10"/>
    </row>
    <row r="11" spans="1:129" s="3" customFormat="1" ht="30" customHeight="1" thickBot="1" x14ac:dyDescent="0.3">
      <c r="A11" s="37"/>
      <c r="B11" s="55" t="s">
        <v>34</v>
      </c>
      <c r="C11" s="48"/>
      <c r="D11" s="43">
        <f>E10+4</f>
        <v>44785</v>
      </c>
      <c r="E11" s="43">
        <f>D11+3</f>
        <v>44788</v>
      </c>
      <c r="F11" s="16"/>
      <c r="G11" s="16">
        <f t="shared" si="9"/>
        <v>4</v>
      </c>
      <c r="H11" s="33"/>
      <c r="I11" s="33"/>
      <c r="J11" s="33"/>
      <c r="K11" s="33"/>
      <c r="L11" s="85"/>
      <c r="M11" s="33"/>
      <c r="N11" s="33"/>
      <c r="O11" s="33"/>
      <c r="P11" s="33"/>
      <c r="Q11" s="33"/>
      <c r="R11" s="33"/>
      <c r="S11" s="84"/>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c r="DP11"/>
      <c r="DQ11"/>
      <c r="DR11"/>
      <c r="DS11"/>
      <c r="DT11"/>
      <c r="DU11"/>
      <c r="DV11"/>
      <c r="DW11"/>
      <c r="DX11"/>
      <c r="DY11"/>
    </row>
    <row r="12" spans="1:129" s="3" customFormat="1" ht="30" customHeight="1" thickBot="1" x14ac:dyDescent="0.3">
      <c r="A12" s="37"/>
      <c r="B12" s="55" t="s">
        <v>31</v>
      </c>
      <c r="C12" s="48" t="s">
        <v>32</v>
      </c>
      <c r="D12" s="43">
        <f>E11</f>
        <v>44788</v>
      </c>
      <c r="E12" s="43">
        <f>D12</f>
        <v>44788</v>
      </c>
      <c r="F12" s="16"/>
      <c r="G12" s="16">
        <f t="shared" si="9"/>
        <v>1</v>
      </c>
      <c r="H12" s="33"/>
      <c r="I12" s="33"/>
      <c r="J12" s="33"/>
      <c r="K12" s="33"/>
      <c r="L12" s="33"/>
      <c r="M12" s="33"/>
      <c r="N12" s="33"/>
      <c r="O12" s="33"/>
      <c r="P12" s="33"/>
      <c r="Q12" s="33"/>
      <c r="R12" s="82"/>
      <c r="S12" s="87"/>
      <c r="T12" s="83"/>
      <c r="U12" s="33"/>
      <c r="V12" s="33"/>
      <c r="W12" s="33"/>
      <c r="X12" s="34"/>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c r="DP12"/>
      <c r="DQ12"/>
      <c r="DR12"/>
      <c r="DS12"/>
      <c r="DT12"/>
      <c r="DU12"/>
      <c r="DV12"/>
      <c r="DW12"/>
      <c r="DX12"/>
      <c r="DY12"/>
    </row>
    <row r="13" spans="1:129" s="3" customFormat="1" ht="30" customHeight="1" thickBot="1" x14ac:dyDescent="0.3">
      <c r="A13" s="37"/>
      <c r="B13" s="55" t="s">
        <v>35</v>
      </c>
      <c r="C13" s="48"/>
      <c r="D13" s="43">
        <f>D10+11</f>
        <v>44792</v>
      </c>
      <c r="E13" s="43">
        <f>D13+3</f>
        <v>44795</v>
      </c>
      <c r="F13" s="16"/>
      <c r="G13" s="16">
        <f t="shared" si="9"/>
        <v>4</v>
      </c>
      <c r="H13" s="33"/>
      <c r="I13" s="33"/>
      <c r="J13" s="33"/>
      <c r="K13" s="33"/>
      <c r="L13" s="33"/>
      <c r="M13" s="33"/>
      <c r="N13" s="33"/>
      <c r="O13" s="33"/>
      <c r="P13" s="33"/>
      <c r="Q13" s="33"/>
      <c r="R13" s="33"/>
      <c r="S13" s="85"/>
      <c r="T13" s="33"/>
      <c r="U13" s="33"/>
      <c r="V13" s="33"/>
      <c r="W13" s="33"/>
      <c r="X13" s="33"/>
      <c r="Y13" s="33"/>
      <c r="Z13" s="84"/>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c r="DP13"/>
      <c r="DQ13"/>
      <c r="DR13"/>
      <c r="DS13"/>
      <c r="DT13"/>
      <c r="DU13"/>
      <c r="DV13"/>
      <c r="DW13"/>
      <c r="DX13"/>
      <c r="DY13"/>
    </row>
    <row r="14" spans="1:129" s="3" customFormat="1" ht="30" customHeight="1" thickBot="1" x14ac:dyDescent="0.3">
      <c r="A14" s="37"/>
      <c r="B14" s="55" t="s">
        <v>31</v>
      </c>
      <c r="C14" s="48" t="s">
        <v>32</v>
      </c>
      <c r="D14" s="43">
        <f>E13</f>
        <v>44795</v>
      </c>
      <c r="E14" s="43">
        <f>D14</f>
        <v>44795</v>
      </c>
      <c r="F14" s="16"/>
      <c r="G14" s="16"/>
      <c r="H14" s="33"/>
      <c r="I14" s="33"/>
      <c r="J14" s="33"/>
      <c r="K14" s="33"/>
      <c r="L14" s="33"/>
      <c r="M14" s="33"/>
      <c r="N14" s="33"/>
      <c r="O14" s="33"/>
      <c r="P14" s="33"/>
      <c r="Q14" s="33"/>
      <c r="R14" s="33"/>
      <c r="S14" s="33"/>
      <c r="T14" s="33"/>
      <c r="U14" s="33"/>
      <c r="V14" s="33"/>
      <c r="W14" s="33"/>
      <c r="X14" s="33"/>
      <c r="Y14" s="82"/>
      <c r="Z14" s="87"/>
      <c r="AA14" s="8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c r="DP14"/>
      <c r="DQ14"/>
      <c r="DR14"/>
      <c r="DS14"/>
      <c r="DT14"/>
      <c r="DU14"/>
      <c r="DV14"/>
      <c r="DW14"/>
      <c r="DX14"/>
      <c r="DY14"/>
    </row>
    <row r="15" spans="1:129" s="3" customFormat="1" ht="30" customHeight="1" thickBot="1" x14ac:dyDescent="0.3">
      <c r="A15" s="38" t="s">
        <v>18</v>
      </c>
      <c r="B15" s="19" t="s">
        <v>25</v>
      </c>
      <c r="C15" s="49"/>
      <c r="D15" s="20">
        <v>44796</v>
      </c>
      <c r="E15" s="21">
        <v>44806</v>
      </c>
      <c r="F15" s="16"/>
      <c r="G15" s="16">
        <f t="shared" si="9"/>
        <v>11</v>
      </c>
      <c r="H15" s="33"/>
      <c r="I15" s="33"/>
      <c r="J15" s="33"/>
      <c r="K15" s="33"/>
      <c r="L15" s="33"/>
      <c r="M15" s="33"/>
      <c r="N15" s="33"/>
      <c r="O15" s="33"/>
      <c r="P15" s="33"/>
      <c r="Q15" s="33"/>
      <c r="R15" s="33"/>
      <c r="S15" s="33"/>
      <c r="T15" s="33"/>
      <c r="U15" s="33"/>
      <c r="V15" s="33"/>
      <c r="W15" s="33"/>
      <c r="X15" s="33"/>
      <c r="Y15" s="33"/>
      <c r="Z15" s="85"/>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c r="DP15"/>
      <c r="DQ15"/>
      <c r="DR15"/>
      <c r="DS15"/>
      <c r="DT15"/>
      <c r="DU15"/>
      <c r="DV15"/>
      <c r="DW15"/>
      <c r="DX15"/>
      <c r="DY15"/>
    </row>
    <row r="16" spans="1:129" s="3" customFormat="1" ht="30" customHeight="1" thickBot="1" x14ac:dyDescent="0.3">
      <c r="A16" s="38"/>
      <c r="B16" s="56" t="s">
        <v>36</v>
      </c>
      <c r="C16" s="50"/>
      <c r="D16" s="44">
        <v>44796</v>
      </c>
      <c r="E16" s="44">
        <v>44799</v>
      </c>
      <c r="F16" s="16"/>
      <c r="G16" s="16">
        <f t="shared" si="9"/>
        <v>4</v>
      </c>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84"/>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c r="DP16"/>
      <c r="DQ16"/>
      <c r="DR16"/>
      <c r="DS16"/>
      <c r="DT16"/>
      <c r="DU16"/>
      <c r="DV16"/>
      <c r="DW16"/>
      <c r="DX16"/>
      <c r="DY16"/>
    </row>
    <row r="17" spans="1:129" s="3" customFormat="1" ht="30" customHeight="1" thickBot="1" x14ac:dyDescent="0.3">
      <c r="A17" s="37"/>
      <c r="B17" s="56" t="s">
        <v>31</v>
      </c>
      <c r="C17" s="50" t="s">
        <v>32</v>
      </c>
      <c r="D17" s="44">
        <v>44799</v>
      </c>
      <c r="E17" s="44">
        <v>44799</v>
      </c>
      <c r="F17" s="16"/>
      <c r="G17" s="16">
        <f t="shared" si="9"/>
        <v>1</v>
      </c>
      <c r="H17" s="33"/>
      <c r="I17" s="33"/>
      <c r="J17" s="33"/>
      <c r="K17" s="33"/>
      <c r="L17" s="33"/>
      <c r="M17" s="33"/>
      <c r="N17" s="33"/>
      <c r="O17" s="33"/>
      <c r="P17" s="33"/>
      <c r="Q17" s="33"/>
      <c r="R17" s="33"/>
      <c r="S17" s="33"/>
      <c r="T17" s="34"/>
      <c r="U17" s="34"/>
      <c r="V17" s="33"/>
      <c r="W17" s="33"/>
      <c r="X17" s="33"/>
      <c r="Y17" s="33"/>
      <c r="Z17" s="33"/>
      <c r="AA17" s="33"/>
      <c r="AB17" s="33"/>
      <c r="AC17" s="33"/>
      <c r="AD17" s="33"/>
      <c r="AE17" s="33"/>
      <c r="AF17" s="82"/>
      <c r="AG17" s="87"/>
      <c r="AH17" s="8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c r="DP17"/>
      <c r="DQ17"/>
      <c r="DR17"/>
      <c r="DS17"/>
      <c r="DT17"/>
      <c r="DU17"/>
      <c r="DV17"/>
      <c r="DW17"/>
      <c r="DX17"/>
      <c r="DY17"/>
    </row>
    <row r="18" spans="1:129" s="3" customFormat="1" ht="30" customHeight="1" thickBot="1" x14ac:dyDescent="0.3">
      <c r="A18" s="37"/>
      <c r="B18" s="56" t="s">
        <v>37</v>
      </c>
      <c r="C18" s="50"/>
      <c r="D18" s="44">
        <v>44803</v>
      </c>
      <c r="E18" s="44">
        <v>44806</v>
      </c>
      <c r="F18" s="16"/>
      <c r="G18" s="16">
        <f t="shared" si="9"/>
        <v>4</v>
      </c>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85"/>
      <c r="AH18" s="33"/>
      <c r="AI18" s="33"/>
      <c r="AJ18" s="33"/>
      <c r="AK18" s="33"/>
      <c r="AL18" s="33"/>
      <c r="AM18" s="33"/>
      <c r="AN18" s="84"/>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c r="DP18"/>
      <c r="DQ18"/>
      <c r="DR18"/>
      <c r="DS18"/>
      <c r="DT18"/>
      <c r="DU18"/>
      <c r="DV18"/>
      <c r="DW18"/>
      <c r="DX18"/>
      <c r="DY18"/>
    </row>
    <row r="19" spans="1:129" s="3" customFormat="1" ht="30" customHeight="1" thickBot="1" x14ac:dyDescent="0.3">
      <c r="A19" s="37"/>
      <c r="B19" s="56" t="s">
        <v>31</v>
      </c>
      <c r="C19" s="50" t="s">
        <v>32</v>
      </c>
      <c r="D19" s="44">
        <v>44806</v>
      </c>
      <c r="E19" s="44">
        <v>44806</v>
      </c>
      <c r="F19" s="16"/>
      <c r="G19" s="16">
        <f t="shared" si="9"/>
        <v>1</v>
      </c>
      <c r="H19" s="33"/>
      <c r="I19" s="33"/>
      <c r="J19" s="33"/>
      <c r="K19" s="33"/>
      <c r="L19" s="33"/>
      <c r="M19" s="33"/>
      <c r="N19" s="33"/>
      <c r="O19" s="33"/>
      <c r="P19" s="33"/>
      <c r="Q19" s="33"/>
      <c r="R19" s="33"/>
      <c r="S19" s="33"/>
      <c r="T19" s="33"/>
      <c r="U19" s="33"/>
      <c r="V19" s="33"/>
      <c r="W19" s="33"/>
      <c r="X19" s="34"/>
      <c r="Y19" s="33"/>
      <c r="Z19" s="33"/>
      <c r="AA19" s="33"/>
      <c r="AB19" s="33"/>
      <c r="AC19" s="33"/>
      <c r="AD19" s="33"/>
      <c r="AE19" s="33"/>
      <c r="AF19" s="33"/>
      <c r="AG19" s="33"/>
      <c r="AH19" s="33"/>
      <c r="AI19" s="33"/>
      <c r="AJ19" s="33"/>
      <c r="AK19" s="33"/>
      <c r="AL19" s="33"/>
      <c r="AM19" s="82"/>
      <c r="AN19" s="87"/>
      <c r="AO19" s="8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c r="DP19"/>
      <c r="DQ19"/>
      <c r="DR19"/>
      <c r="DS19"/>
      <c r="DT19"/>
      <c r="DU19"/>
      <c r="DV19"/>
      <c r="DW19"/>
      <c r="DX19"/>
      <c r="DY19"/>
    </row>
    <row r="20" spans="1:129" s="3" customFormat="1" ht="30" customHeight="1" thickBot="1" x14ac:dyDescent="0.3">
      <c r="A20" s="37" t="s">
        <v>9</v>
      </c>
      <c r="B20" s="22" t="s">
        <v>26</v>
      </c>
      <c r="C20" s="51"/>
      <c r="D20" s="23">
        <v>44810</v>
      </c>
      <c r="E20" s="24">
        <v>44834</v>
      </c>
      <c r="F20" s="16"/>
      <c r="G20" s="16">
        <f t="shared" si="9"/>
        <v>25</v>
      </c>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85"/>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c r="DP20"/>
      <c r="DQ20"/>
      <c r="DR20"/>
      <c r="DS20"/>
      <c r="DT20"/>
      <c r="DU20"/>
      <c r="DV20"/>
      <c r="DW20"/>
      <c r="DX20"/>
      <c r="DY20"/>
    </row>
    <row r="21" spans="1:129" s="3" customFormat="1" ht="30" customHeight="1" thickBot="1" x14ac:dyDescent="0.3">
      <c r="A21" s="37"/>
      <c r="B21" s="57" t="s">
        <v>38</v>
      </c>
      <c r="C21" s="52"/>
      <c r="D21" s="45">
        <v>44810</v>
      </c>
      <c r="E21" s="45">
        <v>44813</v>
      </c>
      <c r="F21" s="16"/>
      <c r="G21" s="16">
        <f t="shared" si="9"/>
        <v>4</v>
      </c>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84"/>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c r="DP21"/>
      <c r="DQ21"/>
      <c r="DR21"/>
      <c r="DS21"/>
      <c r="DT21"/>
      <c r="DU21"/>
      <c r="DV21"/>
      <c r="DW21"/>
      <c r="DX21"/>
      <c r="DY21"/>
    </row>
    <row r="22" spans="1:129" s="3" customFormat="1" ht="30" customHeight="1" thickBot="1" x14ac:dyDescent="0.3">
      <c r="A22" s="37"/>
      <c r="B22" s="57" t="s">
        <v>31</v>
      </c>
      <c r="C22" s="52" t="s">
        <v>32</v>
      </c>
      <c r="D22" s="45">
        <v>44813</v>
      </c>
      <c r="E22" s="45">
        <v>44813</v>
      </c>
      <c r="F22" s="16"/>
      <c r="G22" s="16">
        <f t="shared" si="9"/>
        <v>1</v>
      </c>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82"/>
      <c r="AU22" s="87"/>
      <c r="AV22" s="8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c r="DP22"/>
      <c r="DQ22"/>
      <c r="DR22"/>
      <c r="DS22"/>
      <c r="DT22"/>
      <c r="DU22"/>
      <c r="DV22"/>
      <c r="DW22"/>
      <c r="DX22"/>
      <c r="DY22"/>
    </row>
    <row r="23" spans="1:129" s="3" customFormat="1" ht="30" customHeight="1" thickBot="1" x14ac:dyDescent="0.3">
      <c r="A23" s="37"/>
      <c r="B23" s="57" t="s">
        <v>39</v>
      </c>
      <c r="C23" s="52"/>
      <c r="D23" s="45">
        <v>44817</v>
      </c>
      <c r="E23" s="45">
        <v>44820</v>
      </c>
      <c r="F23" s="16"/>
      <c r="G23" s="16">
        <f t="shared" si="9"/>
        <v>4</v>
      </c>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85"/>
      <c r="AV23" s="33"/>
      <c r="AW23" s="33"/>
      <c r="AX23" s="33"/>
      <c r="AY23" s="33"/>
      <c r="AZ23" s="33"/>
      <c r="BA23" s="33"/>
      <c r="BB23" s="84"/>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c r="DP23"/>
      <c r="DQ23"/>
      <c r="DR23"/>
      <c r="DS23"/>
      <c r="DT23"/>
      <c r="DU23"/>
      <c r="DV23"/>
      <c r="DW23"/>
      <c r="DX23"/>
      <c r="DY23"/>
    </row>
    <row r="24" spans="1:129" s="3" customFormat="1" ht="30" customHeight="1" thickBot="1" x14ac:dyDescent="0.3">
      <c r="A24" s="37"/>
      <c r="B24" s="57" t="s">
        <v>31</v>
      </c>
      <c r="C24" s="52" t="s">
        <v>32</v>
      </c>
      <c r="D24" s="45">
        <v>44820</v>
      </c>
      <c r="E24" s="45">
        <v>44820</v>
      </c>
      <c r="F24" s="16"/>
      <c r="G24" s="16">
        <f t="shared" si="9"/>
        <v>1</v>
      </c>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82"/>
      <c r="BB24" s="87"/>
      <c r="BC24" s="8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c r="DP24"/>
      <c r="DQ24"/>
      <c r="DR24"/>
      <c r="DS24"/>
      <c r="DT24"/>
      <c r="DU24"/>
      <c r="DV24"/>
      <c r="DW24"/>
      <c r="DX24"/>
      <c r="DY24"/>
    </row>
    <row r="25" spans="1:129" s="3" customFormat="1" ht="30" customHeight="1" thickBot="1" x14ac:dyDescent="0.3">
      <c r="A25" s="37"/>
      <c r="B25" s="57" t="s">
        <v>40</v>
      </c>
      <c r="C25" s="52"/>
      <c r="D25" s="45">
        <v>44824</v>
      </c>
      <c r="E25" s="45">
        <v>44827</v>
      </c>
      <c r="F25" s="16"/>
      <c r="G25" s="16">
        <f t="shared" si="9"/>
        <v>4</v>
      </c>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85"/>
      <c r="BC25" s="33"/>
      <c r="BD25" s="33"/>
      <c r="BE25" s="33"/>
      <c r="BF25" s="33"/>
      <c r="BG25" s="33"/>
      <c r="BH25" s="33"/>
      <c r="BI25" s="84"/>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c r="DP25"/>
      <c r="DQ25"/>
      <c r="DR25"/>
      <c r="DS25"/>
      <c r="DT25"/>
      <c r="DU25"/>
      <c r="DV25"/>
      <c r="DW25"/>
      <c r="DX25"/>
      <c r="DY25"/>
    </row>
    <row r="26" spans="1:129" s="3" customFormat="1" ht="30" customHeight="1" thickBot="1" x14ac:dyDescent="0.3">
      <c r="A26" s="37"/>
      <c r="B26" s="57" t="s">
        <v>31</v>
      </c>
      <c r="C26" s="52" t="s">
        <v>32</v>
      </c>
      <c r="D26" s="45">
        <f>E25</f>
        <v>44827</v>
      </c>
      <c r="E26" s="45">
        <f>E25</f>
        <v>44827</v>
      </c>
      <c r="F26" s="16"/>
      <c r="G26" s="16"/>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82"/>
      <c r="BI26" s="89"/>
      <c r="BJ26" s="8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c r="DP26"/>
      <c r="DQ26"/>
      <c r="DR26"/>
      <c r="DS26"/>
      <c r="DT26"/>
      <c r="DU26"/>
      <c r="DV26"/>
      <c r="DW26"/>
      <c r="DX26"/>
      <c r="DY26"/>
    </row>
    <row r="27" spans="1:129" s="3" customFormat="1" ht="30" customHeight="1" thickBot="1" x14ac:dyDescent="0.3">
      <c r="A27" s="37"/>
      <c r="B27" s="57" t="s">
        <v>41</v>
      </c>
      <c r="C27" s="52"/>
      <c r="D27" s="45">
        <v>44831</v>
      </c>
      <c r="E27" s="45">
        <v>44834</v>
      </c>
      <c r="F27" s="16"/>
      <c r="G27" s="16"/>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85"/>
      <c r="BJ27" s="33"/>
      <c r="BK27" s="33"/>
      <c r="BL27" s="33"/>
      <c r="BM27" s="33"/>
      <c r="BN27" s="33"/>
      <c r="BO27" s="84"/>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c r="DP27"/>
      <c r="DQ27"/>
      <c r="DR27"/>
      <c r="DS27"/>
      <c r="DT27"/>
      <c r="DU27"/>
      <c r="DV27"/>
      <c r="DW27"/>
      <c r="DX27"/>
      <c r="DY27"/>
    </row>
    <row r="28" spans="1:129" s="3" customFormat="1" ht="30" customHeight="1" thickBot="1" x14ac:dyDescent="0.3">
      <c r="A28" s="37"/>
      <c r="B28" s="57" t="s">
        <v>31</v>
      </c>
      <c r="C28" s="52" t="s">
        <v>32</v>
      </c>
      <c r="D28" s="45">
        <v>44834</v>
      </c>
      <c r="E28" s="45">
        <v>44834</v>
      </c>
      <c r="F28" s="16"/>
      <c r="G28" s="16"/>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82"/>
      <c r="BO28" s="88"/>
      <c r="BP28" s="8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c r="DP28"/>
      <c r="DQ28"/>
      <c r="DR28"/>
      <c r="DS28"/>
      <c r="DT28"/>
      <c r="DU28"/>
      <c r="DV28"/>
      <c r="DW28"/>
      <c r="DX28"/>
      <c r="DY28"/>
    </row>
    <row r="29" spans="1:129" s="3" customFormat="1" ht="30" customHeight="1" thickBot="1" x14ac:dyDescent="0.3">
      <c r="A29" s="37" t="s">
        <v>9</v>
      </c>
      <c r="B29" s="25" t="s">
        <v>27</v>
      </c>
      <c r="C29" s="53"/>
      <c r="D29" s="26">
        <v>44838</v>
      </c>
      <c r="E29" s="27">
        <v>44862</v>
      </c>
      <c r="F29" s="16"/>
      <c r="G29" s="16">
        <f t="shared" si="9"/>
        <v>25</v>
      </c>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85"/>
      <c r="BP29" s="33"/>
      <c r="BQ29" s="33"/>
      <c r="BR29" s="98"/>
      <c r="BS29" s="99"/>
      <c r="BT29" s="99"/>
      <c r="BU29" s="99"/>
      <c r="BV29" s="99"/>
      <c r="BW29" s="99"/>
      <c r="BX29" s="99"/>
      <c r="BY29" s="99"/>
      <c r="BZ29" s="99"/>
      <c r="CA29" s="99"/>
      <c r="CB29" s="99"/>
      <c r="CC29" s="99"/>
      <c r="CD29" s="99"/>
      <c r="CE29" s="99"/>
      <c r="CF29" s="99"/>
      <c r="CG29" s="99"/>
      <c r="CH29" s="99"/>
      <c r="CI29" s="99"/>
      <c r="CJ29" s="102"/>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c r="DP29"/>
      <c r="DQ29"/>
      <c r="DR29"/>
      <c r="DS29"/>
      <c r="DT29"/>
      <c r="DU29"/>
      <c r="DV29"/>
      <c r="DW29"/>
      <c r="DX29"/>
      <c r="DY29"/>
    </row>
    <row r="30" spans="1:129" s="3" customFormat="1" ht="30" customHeight="1" thickBot="1" x14ac:dyDescent="0.3">
      <c r="A30" s="37"/>
      <c r="B30" s="58" t="s">
        <v>42</v>
      </c>
      <c r="C30" s="54"/>
      <c r="D30" s="46">
        <v>44838</v>
      </c>
      <c r="E30" s="46">
        <v>44862</v>
      </c>
      <c r="F30" s="16"/>
      <c r="G30" s="16">
        <f t="shared" si="9"/>
        <v>25</v>
      </c>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98"/>
      <c r="BS30" s="99"/>
      <c r="BT30" s="99"/>
      <c r="BU30" s="100"/>
      <c r="BV30" s="99"/>
      <c r="BW30" s="99"/>
      <c r="BX30" s="99"/>
      <c r="BY30" s="99"/>
      <c r="BZ30" s="100"/>
      <c r="CA30" s="99"/>
      <c r="CB30" s="99"/>
      <c r="CC30" s="99"/>
      <c r="CD30" s="99"/>
      <c r="CE30" s="100"/>
      <c r="CF30" s="99"/>
      <c r="CG30" s="99"/>
      <c r="CH30" s="99"/>
      <c r="CI30" s="99"/>
      <c r="CJ30" s="101"/>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c r="DP30"/>
      <c r="DQ30"/>
      <c r="DR30"/>
      <c r="DS30"/>
      <c r="DT30"/>
      <c r="DU30"/>
      <c r="DV30"/>
      <c r="DW30"/>
      <c r="DX30"/>
      <c r="DY30"/>
    </row>
    <row r="31" spans="1:129" s="3" customFormat="1" ht="30" customHeight="1" thickBot="1" x14ac:dyDescent="0.3">
      <c r="A31" s="37"/>
      <c r="B31" s="58" t="s">
        <v>31</v>
      </c>
      <c r="C31" s="54" t="s">
        <v>32</v>
      </c>
      <c r="D31" s="46">
        <v>44838</v>
      </c>
      <c r="E31" s="46">
        <f>E30</f>
        <v>44862</v>
      </c>
      <c r="F31" s="16"/>
      <c r="G31" s="16">
        <f t="shared" si="9"/>
        <v>25</v>
      </c>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82"/>
      <c r="BU31" s="88"/>
      <c r="BV31" s="83"/>
      <c r="BW31" s="33"/>
      <c r="BX31" s="33"/>
      <c r="BY31" s="82"/>
      <c r="BZ31" s="88"/>
      <c r="CA31" s="83"/>
      <c r="CB31" s="33"/>
      <c r="CC31" s="33"/>
      <c r="CD31" s="82"/>
      <c r="CE31" s="88"/>
      <c r="CF31" s="83"/>
      <c r="CG31" s="33"/>
      <c r="CH31" s="33"/>
      <c r="CI31" s="82"/>
      <c r="CJ31" s="88"/>
      <c r="CK31" s="8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c r="DP31"/>
      <c r="DQ31"/>
      <c r="DR31"/>
      <c r="DS31"/>
      <c r="DT31"/>
      <c r="DU31"/>
      <c r="DV31"/>
      <c r="DW31"/>
      <c r="DX31"/>
      <c r="DY31"/>
    </row>
    <row r="32" spans="1:129" s="3" customFormat="1" ht="30" customHeight="1" thickBot="1" x14ac:dyDescent="0.3">
      <c r="A32" s="37" t="s">
        <v>11</v>
      </c>
      <c r="B32" s="65" t="s">
        <v>28</v>
      </c>
      <c r="C32" s="63"/>
      <c r="D32" s="64">
        <v>44866</v>
      </c>
      <c r="E32" s="64">
        <v>44890</v>
      </c>
      <c r="F32" s="16"/>
      <c r="G32" s="16">
        <f t="shared" si="9"/>
        <v>25</v>
      </c>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85"/>
      <c r="BV32" s="33"/>
      <c r="BW32" s="33"/>
      <c r="BX32" s="33"/>
      <c r="BY32" s="33"/>
      <c r="BZ32" s="85"/>
      <c r="CA32" s="33"/>
      <c r="CB32" s="33"/>
      <c r="CC32" s="33"/>
      <c r="CD32" s="33"/>
      <c r="CE32" s="85"/>
      <c r="CF32" s="33"/>
      <c r="CG32" s="33"/>
      <c r="CH32" s="33"/>
      <c r="CI32" s="33"/>
      <c r="CJ32" s="85"/>
      <c r="CK32" s="33"/>
      <c r="CL32" s="98"/>
      <c r="CM32" s="99"/>
      <c r="CN32" s="99"/>
      <c r="CO32" s="99"/>
      <c r="CP32" s="99"/>
      <c r="CQ32" s="99"/>
      <c r="CR32" s="99"/>
      <c r="CS32" s="99"/>
      <c r="CT32" s="99"/>
      <c r="CU32" s="99"/>
      <c r="CV32" s="99"/>
      <c r="CW32" s="99"/>
      <c r="CX32" s="99"/>
      <c r="CY32" s="99"/>
      <c r="CZ32" s="99"/>
      <c r="DA32" s="99"/>
      <c r="DB32" s="99"/>
      <c r="DC32" s="99"/>
      <c r="DD32" s="102"/>
      <c r="DE32" s="33"/>
      <c r="DF32" s="33"/>
      <c r="DG32" s="33"/>
      <c r="DH32" s="33"/>
      <c r="DI32" s="33"/>
      <c r="DJ32" s="33"/>
      <c r="DK32" s="33"/>
      <c r="DL32" s="33"/>
      <c r="DM32" s="33"/>
      <c r="DN32" s="33"/>
      <c r="DO32"/>
      <c r="DP32"/>
      <c r="DQ32"/>
      <c r="DR32"/>
      <c r="DS32"/>
      <c r="DT32"/>
      <c r="DU32"/>
      <c r="DV32"/>
      <c r="DW32"/>
      <c r="DX32"/>
      <c r="DY32"/>
    </row>
    <row r="33" spans="1:129" s="3" customFormat="1" ht="30" customHeight="1" thickBot="1" x14ac:dyDescent="0.3">
      <c r="A33" s="37"/>
      <c r="B33" s="71" t="s">
        <v>43</v>
      </c>
      <c r="C33" s="66"/>
      <c r="D33" s="67">
        <f>D32</f>
        <v>44866</v>
      </c>
      <c r="E33" s="67">
        <v>44869</v>
      </c>
      <c r="F33" s="16"/>
      <c r="G33" s="16"/>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98"/>
      <c r="CM33" s="99"/>
      <c r="CN33" s="99"/>
      <c r="CO33" s="101"/>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c r="DP33"/>
      <c r="DQ33"/>
      <c r="DR33"/>
      <c r="DS33"/>
      <c r="DT33"/>
      <c r="DU33"/>
      <c r="DV33"/>
      <c r="DW33"/>
      <c r="DX33"/>
      <c r="DY33"/>
    </row>
    <row r="34" spans="1:129" s="3" customFormat="1" ht="30" customHeight="1" thickBot="1" x14ac:dyDescent="0.3">
      <c r="A34" s="37"/>
      <c r="B34" s="71" t="s">
        <v>31</v>
      </c>
      <c r="C34" s="66" t="s">
        <v>32</v>
      </c>
      <c r="D34" s="67">
        <f>E33</f>
        <v>44869</v>
      </c>
      <c r="E34" s="67">
        <f>E33</f>
        <v>44869</v>
      </c>
      <c r="F34" s="16"/>
      <c r="G34" s="16"/>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82"/>
      <c r="CO34" s="88"/>
      <c r="CP34" s="8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c r="DP34"/>
      <c r="DQ34"/>
      <c r="DR34"/>
      <c r="DS34"/>
      <c r="DT34"/>
      <c r="DU34"/>
      <c r="DV34"/>
      <c r="DW34"/>
      <c r="DX34"/>
      <c r="DY34"/>
    </row>
    <row r="35" spans="1:129" s="3" customFormat="1" ht="30" customHeight="1" thickBot="1" x14ac:dyDescent="0.3">
      <c r="A35" s="37"/>
      <c r="B35" s="71" t="s">
        <v>44</v>
      </c>
      <c r="C35" s="66"/>
      <c r="D35" s="67">
        <v>44873</v>
      </c>
      <c r="E35" s="67">
        <v>44876</v>
      </c>
      <c r="F35" s="16"/>
      <c r="G35" s="16"/>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85"/>
      <c r="CP35" s="33"/>
      <c r="CQ35" s="98"/>
      <c r="CR35" s="99"/>
      <c r="CS35" s="99"/>
      <c r="CT35" s="101"/>
      <c r="CU35" s="33"/>
      <c r="CV35" s="33"/>
      <c r="CW35" s="33"/>
      <c r="CX35" s="33"/>
      <c r="CY35" s="33"/>
      <c r="CZ35" s="33"/>
      <c r="DA35" s="33"/>
      <c r="DB35" s="33"/>
      <c r="DC35" s="33"/>
      <c r="DD35" s="33"/>
      <c r="DE35" s="33"/>
      <c r="DF35" s="33"/>
      <c r="DG35" s="33"/>
      <c r="DH35" s="33"/>
      <c r="DI35" s="33"/>
      <c r="DJ35" s="33"/>
      <c r="DK35" s="33"/>
      <c r="DL35" s="33"/>
      <c r="DM35" s="33"/>
      <c r="DN35" s="33"/>
      <c r="DO35"/>
      <c r="DP35"/>
      <c r="DQ35"/>
      <c r="DR35"/>
      <c r="DS35"/>
      <c r="DT35"/>
      <c r="DU35"/>
      <c r="DV35"/>
      <c r="DW35"/>
      <c r="DX35"/>
      <c r="DY35"/>
    </row>
    <row r="36" spans="1:129" s="3" customFormat="1" ht="30" customHeight="1" thickBot="1" x14ac:dyDescent="0.3">
      <c r="A36" s="37"/>
      <c r="B36" s="71" t="s">
        <v>31</v>
      </c>
      <c r="C36" s="66" t="s">
        <v>32</v>
      </c>
      <c r="D36" s="67">
        <f>E35</f>
        <v>44876</v>
      </c>
      <c r="E36" s="67">
        <f>D36</f>
        <v>44876</v>
      </c>
      <c r="F36" s="16"/>
      <c r="G36" s="16"/>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82"/>
      <c r="CT36" s="88"/>
      <c r="CU36" s="83"/>
      <c r="CV36" s="33"/>
      <c r="CW36" s="33"/>
      <c r="CX36" s="33"/>
      <c r="CY36" s="33"/>
      <c r="CZ36" s="33"/>
      <c r="DA36" s="33"/>
      <c r="DB36" s="33"/>
      <c r="DC36" s="33"/>
      <c r="DD36" s="33"/>
      <c r="DE36" s="33"/>
      <c r="DF36" s="33"/>
      <c r="DG36" s="33"/>
      <c r="DH36" s="33"/>
      <c r="DI36" s="33"/>
      <c r="DJ36" s="33"/>
      <c r="DK36" s="33"/>
      <c r="DL36" s="33"/>
      <c r="DM36" s="33"/>
      <c r="DN36" s="33"/>
      <c r="DO36"/>
      <c r="DP36"/>
      <c r="DQ36"/>
      <c r="DR36"/>
      <c r="DS36"/>
      <c r="DT36"/>
      <c r="DU36"/>
      <c r="DV36"/>
      <c r="DW36"/>
      <c r="DX36"/>
      <c r="DY36"/>
    </row>
    <row r="37" spans="1:129" s="3" customFormat="1" ht="30" customHeight="1" thickBot="1" x14ac:dyDescent="0.3">
      <c r="A37" s="37"/>
      <c r="B37" s="71" t="s">
        <v>44</v>
      </c>
      <c r="C37" s="66"/>
      <c r="D37" s="67">
        <v>44880</v>
      </c>
      <c r="E37" s="67">
        <v>44883</v>
      </c>
      <c r="F37" s="16"/>
      <c r="G37" s="16"/>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91"/>
      <c r="CU37" s="92"/>
      <c r="CV37" s="93"/>
      <c r="CW37" s="94"/>
      <c r="CX37" s="94"/>
      <c r="CY37" s="95"/>
      <c r="CZ37" s="33"/>
      <c r="DA37" s="33"/>
      <c r="DB37" s="33"/>
      <c r="DC37" s="33"/>
      <c r="DD37" s="33"/>
      <c r="DE37" s="33"/>
      <c r="DF37" s="33"/>
      <c r="DG37" s="33"/>
      <c r="DH37" s="33"/>
      <c r="DI37" s="33"/>
      <c r="DJ37" s="33"/>
      <c r="DK37" s="33"/>
      <c r="DL37" s="33"/>
      <c r="DM37" s="33"/>
      <c r="DN37" s="33"/>
      <c r="DO37"/>
      <c r="DP37"/>
      <c r="DQ37"/>
      <c r="DR37"/>
      <c r="DS37"/>
      <c r="DT37"/>
      <c r="DU37"/>
      <c r="DV37"/>
      <c r="DW37"/>
      <c r="DX37"/>
      <c r="DY37"/>
    </row>
    <row r="38" spans="1:129" s="3" customFormat="1" ht="30" customHeight="1" thickBot="1" x14ac:dyDescent="0.3">
      <c r="A38" s="37"/>
      <c r="B38" s="71" t="s">
        <v>31</v>
      </c>
      <c r="C38" s="66" t="s">
        <v>32</v>
      </c>
      <c r="D38" s="67">
        <f>E37</f>
        <v>44883</v>
      </c>
      <c r="E38" s="67">
        <f>E37</f>
        <v>44883</v>
      </c>
      <c r="F38" s="16"/>
      <c r="G38" s="16"/>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82"/>
      <c r="CU38" s="83"/>
      <c r="CV38" s="82"/>
      <c r="CW38" s="90"/>
      <c r="CX38" s="90"/>
      <c r="CY38" s="88"/>
      <c r="CZ38" s="83"/>
      <c r="DA38" s="33"/>
      <c r="DB38" s="33"/>
      <c r="DC38" s="33"/>
      <c r="DD38" s="33"/>
      <c r="DE38" s="33"/>
      <c r="DF38" s="33"/>
      <c r="DG38" s="33"/>
      <c r="DH38" s="33"/>
      <c r="DI38" s="33"/>
      <c r="DJ38" s="33"/>
      <c r="DK38" s="33"/>
      <c r="DL38" s="33"/>
      <c r="DM38" s="33"/>
      <c r="DN38" s="33"/>
      <c r="DO38"/>
      <c r="DP38"/>
      <c r="DQ38"/>
      <c r="DR38"/>
      <c r="DS38"/>
      <c r="DT38"/>
      <c r="DU38"/>
      <c r="DV38"/>
      <c r="DW38"/>
      <c r="DX38"/>
      <c r="DY38"/>
    </row>
    <row r="39" spans="1:129" s="3" customFormat="1" ht="30" customHeight="1" thickBot="1" x14ac:dyDescent="0.3">
      <c r="A39" s="37"/>
      <c r="B39" s="71" t="s">
        <v>45</v>
      </c>
      <c r="C39" s="66"/>
      <c r="D39" s="67">
        <v>44887</v>
      </c>
      <c r="E39" s="67">
        <v>44890</v>
      </c>
      <c r="F39" s="16"/>
      <c r="G39" s="1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85"/>
      <c r="CU39" s="33"/>
      <c r="CV39" s="103"/>
      <c r="CW39" s="104"/>
      <c r="CX39" s="104"/>
      <c r="CY39" s="105"/>
      <c r="CZ39" s="33"/>
      <c r="DA39" s="98"/>
      <c r="DB39" s="99"/>
      <c r="DC39" s="99"/>
      <c r="DD39" s="101"/>
      <c r="DE39" s="33"/>
      <c r="DF39" s="33"/>
      <c r="DG39" s="33"/>
      <c r="DH39" s="33"/>
      <c r="DI39" s="33"/>
      <c r="DJ39" s="33"/>
      <c r="DK39" s="33"/>
      <c r="DL39" s="33"/>
      <c r="DM39" s="33"/>
      <c r="DN39" s="33"/>
      <c r="DO39"/>
      <c r="DP39"/>
      <c r="DQ39"/>
      <c r="DR39"/>
      <c r="DS39"/>
      <c r="DT39"/>
      <c r="DU39"/>
      <c r="DV39"/>
      <c r="DW39"/>
      <c r="DX39"/>
      <c r="DY39"/>
    </row>
    <row r="40" spans="1:129" s="3" customFormat="1" ht="30" customHeight="1" thickBot="1" x14ac:dyDescent="0.3">
      <c r="A40" s="37"/>
      <c r="B40" s="71" t="s">
        <v>31</v>
      </c>
      <c r="C40" s="66" t="s">
        <v>32</v>
      </c>
      <c r="D40" s="67">
        <f>E39</f>
        <v>44890</v>
      </c>
      <c r="E40" s="67">
        <f>D40</f>
        <v>44890</v>
      </c>
      <c r="F40" s="16"/>
      <c r="G40" s="16"/>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82"/>
      <c r="CZ40" s="83"/>
      <c r="DA40" s="33"/>
      <c r="DB40" s="33"/>
      <c r="DC40" s="82"/>
      <c r="DD40" s="88"/>
      <c r="DE40" s="83"/>
      <c r="DF40" s="33"/>
      <c r="DG40" s="33"/>
      <c r="DH40" s="33"/>
      <c r="DI40" s="33"/>
      <c r="DJ40" s="33"/>
      <c r="DK40" s="33"/>
      <c r="DL40" s="33"/>
      <c r="DM40" s="33"/>
      <c r="DN40" s="33"/>
      <c r="DO40"/>
      <c r="DP40"/>
      <c r="DQ40"/>
      <c r="DR40"/>
      <c r="DS40"/>
      <c r="DT40"/>
      <c r="DU40"/>
      <c r="DV40"/>
      <c r="DW40"/>
      <c r="DX40"/>
      <c r="DY40"/>
    </row>
    <row r="41" spans="1:129" s="3" customFormat="1" ht="30" customHeight="1" thickBot="1" x14ac:dyDescent="0.3">
      <c r="A41" s="37"/>
      <c r="B41" s="68" t="s">
        <v>29</v>
      </c>
      <c r="C41" s="69"/>
      <c r="D41" s="70"/>
      <c r="E41" s="70"/>
      <c r="F41" s="16"/>
      <c r="G41" s="16"/>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85"/>
      <c r="CZ41" s="33"/>
      <c r="DA41" s="33"/>
      <c r="DB41" s="33"/>
      <c r="DC41" s="33"/>
      <c r="DD41" s="85"/>
      <c r="DE41" s="33"/>
      <c r="DF41" s="98"/>
      <c r="DG41" s="99"/>
      <c r="DH41" s="99"/>
      <c r="DI41" s="99"/>
      <c r="DJ41" s="99"/>
      <c r="DK41" s="99"/>
      <c r="DL41" s="99"/>
      <c r="DM41" s="99"/>
      <c r="DN41" s="102"/>
      <c r="DO41"/>
      <c r="DP41"/>
      <c r="DQ41"/>
      <c r="DR41"/>
      <c r="DS41"/>
      <c r="DT41"/>
      <c r="DU41"/>
      <c r="DV41"/>
      <c r="DW41"/>
      <c r="DX41"/>
      <c r="DY41"/>
    </row>
    <row r="42" spans="1:129" s="3" customFormat="1" ht="30" customHeight="1" thickBot="1" x14ac:dyDescent="0.3">
      <c r="A42" s="37"/>
      <c r="B42" s="72" t="s">
        <v>46</v>
      </c>
      <c r="C42" s="69"/>
      <c r="D42" s="70"/>
      <c r="E42" s="70"/>
      <c r="F42" s="16"/>
      <c r="G42" s="16"/>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98"/>
      <c r="DG42" s="99"/>
      <c r="DH42" s="99"/>
      <c r="DI42" s="101"/>
      <c r="DJ42" s="33"/>
      <c r="DK42" s="33"/>
      <c r="DL42" s="33"/>
      <c r="DM42" s="33"/>
      <c r="DN42" s="33"/>
      <c r="DO42"/>
      <c r="DP42"/>
      <c r="DQ42"/>
      <c r="DR42"/>
      <c r="DS42"/>
      <c r="DT42"/>
      <c r="DU42"/>
      <c r="DV42"/>
      <c r="DW42"/>
      <c r="DX42"/>
      <c r="DY42"/>
    </row>
    <row r="43" spans="1:129" s="3" customFormat="1" ht="30" customHeight="1" thickBot="1" x14ac:dyDescent="0.3">
      <c r="A43" s="37"/>
      <c r="B43" s="72" t="s">
        <v>31</v>
      </c>
      <c r="C43" s="69" t="s">
        <v>32</v>
      </c>
      <c r="D43" s="70"/>
      <c r="E43" s="70"/>
      <c r="F43" s="16"/>
      <c r="G43" s="16"/>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82"/>
      <c r="DI43" s="88"/>
      <c r="DJ43" s="83"/>
      <c r="DK43" s="33"/>
      <c r="DL43" s="33"/>
      <c r="DM43" s="33"/>
      <c r="DN43" s="33"/>
      <c r="DO43"/>
      <c r="DP43"/>
      <c r="DQ43"/>
      <c r="DR43"/>
      <c r="DS43"/>
      <c r="DT43"/>
      <c r="DU43"/>
      <c r="DV43"/>
      <c r="DW43"/>
      <c r="DX43"/>
      <c r="DY43"/>
    </row>
    <row r="44" spans="1:129" s="3" customFormat="1" ht="30" customHeight="1" thickBot="1" x14ac:dyDescent="0.3">
      <c r="A44" s="37"/>
      <c r="B44" s="72" t="s">
        <v>47</v>
      </c>
      <c r="C44" s="69"/>
      <c r="D44" s="70"/>
      <c r="E44" s="70"/>
      <c r="F44" s="16"/>
      <c r="G44" s="16"/>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85"/>
      <c r="DJ44" s="33"/>
      <c r="DK44" s="98"/>
      <c r="DL44" s="99"/>
      <c r="DM44" s="99"/>
      <c r="DN44" s="101"/>
      <c r="DO44"/>
      <c r="DP44"/>
      <c r="DQ44"/>
      <c r="DR44"/>
      <c r="DS44"/>
      <c r="DT44"/>
      <c r="DU44"/>
      <c r="DV44"/>
      <c r="DW44"/>
      <c r="DX44"/>
      <c r="DY44"/>
    </row>
    <row r="45" spans="1:129" s="3" customFormat="1" ht="30" customHeight="1" thickBot="1" x14ac:dyDescent="0.3">
      <c r="A45" s="37"/>
      <c r="B45" s="72" t="s">
        <v>31</v>
      </c>
      <c r="C45" s="69" t="s">
        <v>32</v>
      </c>
      <c r="D45" s="70"/>
      <c r="E45" s="70"/>
      <c r="F45" s="16"/>
      <c r="G45" s="16"/>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82"/>
      <c r="DN45" s="88"/>
      <c r="DO45"/>
      <c r="DP45"/>
      <c r="DQ45"/>
      <c r="DR45"/>
      <c r="DS45"/>
      <c r="DT45"/>
      <c r="DU45"/>
      <c r="DV45"/>
      <c r="DW45"/>
      <c r="DX45"/>
      <c r="DY45"/>
    </row>
    <row r="46" spans="1:129" s="3" customFormat="1" ht="30" customHeight="1" thickBot="1" x14ac:dyDescent="0.3">
      <c r="A46" s="38" t="s">
        <v>10</v>
      </c>
      <c r="B46" s="28" t="s">
        <v>0</v>
      </c>
      <c r="C46" s="29"/>
      <c r="D46" s="30"/>
      <c r="E46" s="31"/>
      <c r="F46" s="32"/>
      <c r="G46" s="32" t="str">
        <f t="shared" si="9"/>
        <v/>
      </c>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96"/>
      <c r="DO46"/>
      <c r="DP46"/>
      <c r="DQ46"/>
      <c r="DR46"/>
      <c r="DS46"/>
      <c r="DT46"/>
      <c r="DU46"/>
      <c r="DV46"/>
      <c r="DW46"/>
      <c r="DX46"/>
      <c r="DY46"/>
    </row>
    <row r="47" spans="1:129" ht="30" customHeight="1" x14ac:dyDescent="0.25">
      <c r="F47" s="6"/>
    </row>
    <row r="48" spans="1:129" ht="30" customHeight="1" x14ac:dyDescent="0.25">
      <c r="C48" s="14"/>
      <c r="E48" s="39"/>
    </row>
    <row r="49" spans="3:3" ht="30" customHeight="1" x14ac:dyDescent="0.25">
      <c r="C49" s="15"/>
    </row>
  </sheetData>
  <mergeCells count="30">
    <mergeCell ref="DJ4:DN4"/>
    <mergeCell ref="BE4:BK4"/>
    <mergeCell ref="D3:E3"/>
    <mergeCell ref="H4:N4"/>
    <mergeCell ref="O4:U4"/>
    <mergeCell ref="V4:AB4"/>
    <mergeCell ref="AC4:AI4"/>
    <mergeCell ref="AJ4:AP4"/>
    <mergeCell ref="AQ4:AW4"/>
    <mergeCell ref="AX4:BD4"/>
    <mergeCell ref="CK4:CO4"/>
    <mergeCell ref="CP4:CT4"/>
    <mergeCell ref="CU4:CY4"/>
    <mergeCell ref="CZ4:DD4"/>
    <mergeCell ref="DE4:DI4"/>
    <mergeCell ref="BL4:BP4"/>
    <mergeCell ref="BQ4:BU4"/>
    <mergeCell ref="BV4:BZ4"/>
    <mergeCell ref="CA4:CE4"/>
    <mergeCell ref="CF4:CJ4"/>
    <mergeCell ref="BR29:CJ29"/>
    <mergeCell ref="BR30:CJ30"/>
    <mergeCell ref="CL32:DD32"/>
    <mergeCell ref="CL33:CO33"/>
    <mergeCell ref="CQ35:CT35"/>
    <mergeCell ref="DK44:DN44"/>
    <mergeCell ref="CV39:CY39"/>
    <mergeCell ref="DA39:DD39"/>
    <mergeCell ref="DF41:DN41"/>
    <mergeCell ref="DF42:DI42"/>
  </mergeCells>
  <phoneticPr fontId="19" type="noConversion"/>
  <conditionalFormatting sqref="H5:BK7 H8:BH8 BJ8 BL5:BO5 H9:BO46 BQ9:DM28 BQ31:DM31 CK29:DM30 BQ29:BR30 BQ34:DM34 DE32:DM32 BQ32:CL33 CP33:DM33 BQ36:DM36 BQ35:CQ35 CU35:DM35 BQ40:DM40 BQ39:CV39 CZ39:DA39 BQ43:DM43 BQ41:DF42 DJ42:DM42 BQ38:DM38 BQ37:CS37 CV37:DM37 DE39:DM39 BQ45:DM46 BQ44:DK44">
    <cfRule type="expression" dxfId="11" priority="34">
      <formula>AND(TODAY()&gt;=H$5,TODAY()&lt;I$5)</formula>
    </cfRule>
  </conditionalFormatting>
  <conditionalFormatting sqref="H7:BK7 H8:BH8 BJ8 H9:BO46 BQ9:DM28 BQ31:DM31 CK29:DM30 BQ29:BR30 BQ34:DM34 DE32:DM32 BQ32:CL33 CP33:DM33 BQ36:DM36 BQ35:CQ35 CU35:DM35 BQ40:DM40 BQ39:CV39 CZ39:DA39 BQ43:DM43 BQ41:DF42 DJ42:DM42 BQ38:DM38 BQ37:CS37 CV37:DM37 DE39:DM39 BQ45:DM46 BQ44:DK44">
    <cfRule type="expression" dxfId="10" priority="28">
      <formula>AND(task_start&lt;=H$5,ROUNDDOWN((task_end-task_start+1)*task_progress,0)+task_start-1&gt;=H$5)</formula>
    </cfRule>
    <cfRule type="expression" dxfId="9" priority="29" stopIfTrue="1">
      <formula>AND(task_end&gt;=H$5,task_start&lt;I$5)</formula>
    </cfRule>
  </conditionalFormatting>
  <conditionalFormatting sqref="BK8:BP8">
    <cfRule type="expression" dxfId="8" priority="36">
      <formula>AND(TODAY()&gt;=BI$5,TODAY()&lt;BJ$5)</formula>
    </cfRule>
  </conditionalFormatting>
  <conditionalFormatting sqref="BK8:BP8">
    <cfRule type="expression" dxfId="7" priority="39">
      <formula>AND(task_start&lt;=BI$5,ROUNDDOWN((task_end-task_start+1)*task_progress,0)+task_start-1&gt;=BI$5)</formula>
    </cfRule>
    <cfRule type="expression" dxfId="6" priority="40" stopIfTrue="1">
      <formula>AND(task_end&gt;=BI$5,task_start&lt;BJ$5)</formula>
    </cfRule>
  </conditionalFormatting>
  <conditionalFormatting sqref="BP5 BP9:BP46 DN9:DN40 DN42:DN43 DN45:DN46">
    <cfRule type="expression" dxfId="5" priority="42">
      <formula>AND(TODAY()&gt;=BP$5,TODAY()&lt;#REF!)</formula>
    </cfRule>
  </conditionalFormatting>
  <conditionalFormatting sqref="BP9:BP46 DN9:DN40 DN42:DN43 DN45:DN46">
    <cfRule type="expression" dxfId="4" priority="50">
      <formula>AND(task_start&lt;=BP$5,ROUNDDOWN((task_end-task_start+1)*task_progress,0)+task_start-1&gt;=BP$5)</formula>
    </cfRule>
    <cfRule type="expression" dxfId="3" priority="51" stopIfTrue="1">
      <formula>AND(task_end&gt;=BP$5,task_start&lt;#REF!)</formula>
    </cfRule>
  </conditionalFormatting>
  <conditionalFormatting sqref="BQ8:DN8">
    <cfRule type="expression" dxfId="2" priority="53">
      <formula>AND(TODAY()&gt;=BP$5,TODAY()&lt;#REF!)</formula>
    </cfRule>
  </conditionalFormatting>
  <conditionalFormatting sqref="BQ8:DN8">
    <cfRule type="expression" dxfId="1" priority="56">
      <formula>AND(task_start&lt;=BP$5,ROUNDDOWN((task_end-task_start+1)*task_progress,0)+task_start-1&gt;=BP$5)</formula>
    </cfRule>
    <cfRule type="expression" dxfId="0" priority="57" stopIfTrue="1">
      <formula>AND(task_end&gt;=BP$5,task_start&lt;#REF!)</formula>
    </cfRule>
  </conditionalFormatting>
  <conditionalFormatting sqref="I8:Z8">
    <cfRule type="dataBar" priority="1">
      <dataBar>
        <cfvo type="min"/>
        <cfvo type="max"/>
        <color rgb="FFFFB628"/>
      </dataBar>
      <extLst>
        <ext xmlns:x14="http://schemas.microsoft.com/office/spreadsheetml/2009/9/main" uri="{B025F937-C7B1-47D3-B67F-A62EFF666E3E}">
          <x14:id>{7A339A7B-C2C7-49B4-9E79-34A3F815BD98}</x14:id>
        </ext>
      </extLst>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A339A7B-C2C7-49B4-9E79-34A3F815BD98}">
            <x14:dataBar minLength="0" maxLength="100" gradient="0">
              <x14:cfvo type="autoMin"/>
              <x14:cfvo type="autoMax"/>
              <x14:negativeFillColor rgb="FFFF0000"/>
              <x14:axisColor rgb="FF000000"/>
            </x14:dataBar>
          </x14:cfRule>
          <xm:sqref>I8:Z8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ProjectSchedule</vt:lpstr>
      <vt:lpstr>Display_Week</vt:lpstr>
      <vt:lpstr>ProjectSchedule!Print_Titles</vt:lpstr>
      <vt:lpstr>Project_Start</vt:lpstr>
      <vt:lpstr>ProjectSchedule!task_end</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2022-08-15T18:46:02Z</dcterms:modified>
</cp:coreProperties>
</file>