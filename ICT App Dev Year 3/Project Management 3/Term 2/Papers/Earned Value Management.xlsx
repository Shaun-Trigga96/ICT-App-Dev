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/>
  <mc:AlternateContent xmlns:mc="http://schemas.openxmlformats.org/markup-compatibility/2006">
    <mc:Choice Requires="x15">
      <x15ac:absPath xmlns:x15ac="http://schemas.microsoft.com/office/spreadsheetml/2010/11/ac" url="C:\Users\solly\Desktop\2019 CPUT\Project Management 3 - Leopoldt Small\"/>
    </mc:Choice>
  </mc:AlternateContent>
  <xr:revisionPtr revIDLastSave="0" documentId="13_ncr:1_{C7202209-4606-441B-86DC-A04E83F38D61}" xr6:coauthVersionLast="43" xr6:coauthVersionMax="43" xr10:uidLastSave="{00000000-0000-0000-0000-000000000000}"/>
  <bookViews>
    <workbookView xWindow="-120" yWindow="-120" windowWidth="20730" windowHeight="11160" activeTab="1" xr2:uid="{00000000-000D-0000-FFFF-FFFF00000000}"/>
  </bookViews>
  <sheets>
    <sheet name="Scenario 1" sheetId="1" r:id="rId1"/>
    <sheet name="Scenario 1 - Earned Value Calc" sheetId="5" r:id="rId2"/>
    <sheet name="Scenario 1 - Solution" sheetId="6" r:id="rId3"/>
    <sheet name="Equations" sheetId="2" r:id="rId4"/>
    <sheet name="Scenario 2" sheetId="7" r:id="rId5"/>
    <sheet name="Scenario 2 - Earned Value C" sheetId="9" r:id="rId6"/>
    <sheet name="Scenario 2 - Solution " sheetId="10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0" l="1"/>
  <c r="D9" i="10"/>
  <c r="E9" i="10"/>
  <c r="F9" i="10"/>
  <c r="G9" i="10"/>
  <c r="H9" i="10"/>
  <c r="B9" i="10"/>
  <c r="C8" i="10"/>
  <c r="D8" i="10"/>
  <c r="E8" i="10"/>
  <c r="F8" i="10"/>
  <c r="G8" i="10"/>
  <c r="H8" i="10"/>
  <c r="B8" i="10"/>
  <c r="C7" i="10"/>
  <c r="D7" i="10"/>
  <c r="E7" i="10"/>
  <c r="F7" i="10"/>
  <c r="G7" i="10"/>
  <c r="H7" i="10"/>
  <c r="B7" i="10"/>
  <c r="C6" i="10"/>
  <c r="D6" i="10"/>
  <c r="E6" i="10"/>
  <c r="F6" i="10"/>
  <c r="G6" i="10"/>
  <c r="H6" i="10"/>
  <c r="B6" i="10"/>
  <c r="H12" i="9"/>
  <c r="G12" i="9"/>
  <c r="F12" i="9"/>
  <c r="E12" i="9"/>
  <c r="D12" i="9"/>
  <c r="C12" i="9"/>
  <c r="B12" i="9"/>
  <c r="H11" i="9"/>
  <c r="G11" i="9"/>
  <c r="F11" i="9"/>
  <c r="E11" i="9"/>
  <c r="D11" i="9"/>
  <c r="C11" i="9"/>
  <c r="B11" i="9"/>
  <c r="H10" i="9"/>
  <c r="G10" i="9"/>
  <c r="F10" i="9"/>
  <c r="E10" i="9"/>
  <c r="D10" i="9"/>
  <c r="C10" i="9"/>
  <c r="B10" i="9"/>
  <c r="H9" i="9"/>
  <c r="G9" i="9"/>
  <c r="F9" i="9"/>
  <c r="E9" i="9"/>
  <c r="D9" i="9"/>
  <c r="C9" i="9"/>
  <c r="B9" i="9"/>
  <c r="B13" i="9" s="1"/>
  <c r="B9" i="5"/>
  <c r="B11" i="7"/>
  <c r="B12" i="7"/>
  <c r="B13" i="7"/>
  <c r="B10" i="7"/>
  <c r="B3" i="7"/>
  <c r="B4" i="7"/>
  <c r="B5" i="7"/>
  <c r="B2" i="7"/>
  <c r="I14" i="7"/>
  <c r="H14" i="7"/>
  <c r="G14" i="7"/>
  <c r="F14" i="7"/>
  <c r="E14" i="7"/>
  <c r="D14" i="7"/>
  <c r="C14" i="7"/>
  <c r="C15" i="7" s="1"/>
  <c r="K6" i="7"/>
  <c r="J6" i="7"/>
  <c r="I6" i="7"/>
  <c r="H6" i="7"/>
  <c r="G6" i="7"/>
  <c r="F6" i="7"/>
  <c r="E6" i="7"/>
  <c r="D6" i="7"/>
  <c r="C6" i="7"/>
  <c r="C7" i="7" s="1"/>
  <c r="C13" i="9" l="1"/>
  <c r="G13" i="9"/>
  <c r="D13" i="9"/>
  <c r="H13" i="9"/>
  <c r="F13" i="9"/>
  <c r="E13" i="9"/>
  <c r="B15" i="7"/>
  <c r="D15" i="7"/>
  <c r="E15" i="7"/>
  <c r="F15" i="7" s="1"/>
  <c r="G15" i="7" s="1"/>
  <c r="H15" i="7" s="1"/>
  <c r="I15" i="7" s="1"/>
  <c r="B7" i="7"/>
  <c r="D7" i="7"/>
  <c r="E7" i="7" s="1"/>
  <c r="F7" i="7" s="1"/>
  <c r="G7" i="7" s="1"/>
  <c r="H7" i="7" s="1"/>
  <c r="I7" i="7" s="1"/>
  <c r="J7" i="7" s="1"/>
  <c r="K7" i="7" s="1"/>
  <c r="D14" i="1"/>
  <c r="E14" i="1"/>
  <c r="F14" i="1"/>
  <c r="G14" i="1"/>
  <c r="H14" i="1"/>
  <c r="I14" i="1"/>
  <c r="J14" i="1"/>
  <c r="K14" i="1"/>
  <c r="C14" i="1"/>
  <c r="D6" i="1"/>
  <c r="E6" i="1"/>
  <c r="F6" i="1"/>
  <c r="G6" i="1"/>
  <c r="H6" i="1"/>
  <c r="I6" i="1"/>
  <c r="J6" i="1"/>
  <c r="K6" i="1"/>
  <c r="L6" i="1"/>
  <c r="M6" i="1"/>
  <c r="N6" i="1"/>
  <c r="C6" i="1"/>
  <c r="C9" i="6" l="1"/>
  <c r="D9" i="6"/>
  <c r="E9" i="6"/>
  <c r="F9" i="6"/>
  <c r="G9" i="6"/>
  <c r="H9" i="6"/>
  <c r="I9" i="6"/>
  <c r="J9" i="6"/>
  <c r="B9" i="6"/>
  <c r="C8" i="6"/>
  <c r="D8" i="6"/>
  <c r="E8" i="6"/>
  <c r="F8" i="6"/>
  <c r="G8" i="6"/>
  <c r="H8" i="6"/>
  <c r="I8" i="6"/>
  <c r="J8" i="6"/>
  <c r="B8" i="6"/>
  <c r="C7" i="6"/>
  <c r="D7" i="6"/>
  <c r="E7" i="6"/>
  <c r="F7" i="6"/>
  <c r="G7" i="6"/>
  <c r="H7" i="6"/>
  <c r="I7" i="6"/>
  <c r="J7" i="6"/>
  <c r="B7" i="6"/>
  <c r="C6" i="6"/>
  <c r="D6" i="6"/>
  <c r="E6" i="6"/>
  <c r="F6" i="6"/>
  <c r="G6" i="6"/>
  <c r="H6" i="6"/>
  <c r="I6" i="6"/>
  <c r="J6" i="6"/>
  <c r="B6" i="6"/>
  <c r="C12" i="5"/>
  <c r="D12" i="5"/>
  <c r="E12" i="5"/>
  <c r="F12" i="5"/>
  <c r="G12" i="5"/>
  <c r="H12" i="5"/>
  <c r="I12" i="5"/>
  <c r="J12" i="5"/>
  <c r="B12" i="5"/>
  <c r="C11" i="5"/>
  <c r="D11" i="5"/>
  <c r="E11" i="5"/>
  <c r="F11" i="5"/>
  <c r="G11" i="5"/>
  <c r="H11" i="5"/>
  <c r="I11" i="5"/>
  <c r="J11" i="5"/>
  <c r="B11" i="5"/>
  <c r="C10" i="5"/>
  <c r="D10" i="5"/>
  <c r="E10" i="5"/>
  <c r="F10" i="5"/>
  <c r="G10" i="5"/>
  <c r="H10" i="5"/>
  <c r="I10" i="5"/>
  <c r="J10" i="5"/>
  <c r="B10" i="5"/>
  <c r="C9" i="5"/>
  <c r="D9" i="5"/>
  <c r="E9" i="5"/>
  <c r="F9" i="5"/>
  <c r="G9" i="5"/>
  <c r="H9" i="5"/>
  <c r="I9" i="5"/>
  <c r="J9" i="5"/>
  <c r="J13" i="5" l="1"/>
  <c r="E13" i="5"/>
  <c r="B13" i="5"/>
  <c r="F13" i="5"/>
  <c r="I13" i="5"/>
  <c r="D13" i="5"/>
  <c r="G13" i="5"/>
  <c r="C13" i="5"/>
  <c r="H13" i="5"/>
</calcChain>
</file>

<file path=xl/sharedStrings.xml><?xml version="1.0" encoding="utf-8"?>
<sst xmlns="http://schemas.openxmlformats.org/spreadsheetml/2006/main" count="115" uniqueCount="28">
  <si>
    <t>TBC</t>
  </si>
  <si>
    <t>Design</t>
  </si>
  <si>
    <t>Build</t>
  </si>
  <si>
    <t>Testing</t>
  </si>
  <si>
    <t>Implementation</t>
  </si>
  <si>
    <t>CBC</t>
  </si>
  <si>
    <t>1,000</t>
  </si>
  <si>
    <t>TAC</t>
  </si>
  <si>
    <t>CAC</t>
  </si>
  <si>
    <t>ANALYSIS</t>
  </si>
  <si>
    <t>CPI</t>
  </si>
  <si>
    <t>CEV/CAC</t>
  </si>
  <si>
    <t>SPI</t>
  </si>
  <si>
    <t>CEV/CBC</t>
  </si>
  <si>
    <t>CV</t>
  </si>
  <si>
    <t>Cost Performance Index</t>
  </si>
  <si>
    <t>Schedule Performance Index</t>
  </si>
  <si>
    <t>Cost Variance</t>
  </si>
  <si>
    <t>Schedule Variance</t>
  </si>
  <si>
    <t>SV</t>
  </si>
  <si>
    <t>CEV - CAC</t>
  </si>
  <si>
    <t>CEV - CBC</t>
  </si>
  <si>
    <t>CEV</t>
  </si>
  <si>
    <t xml:space="preserve">TOTAL </t>
  </si>
  <si>
    <t>TOTAL</t>
  </si>
  <si>
    <t>Training</t>
  </si>
  <si>
    <t>Development</t>
  </si>
  <si>
    <t>User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</si>
</sst>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&quot;* #,##0.00_);_(&quot;R&quot;* \(#,##0.00\);_(&quot;R&quot;* &quot;-&quot;??_);_(@_)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2" fontId="0" fillId="0" borderId="0" xfId="0" applyNumberFormat="1" applyFont="1"/>
    <xf numFmtId="0" fontId="0" fillId="0" borderId="0" xfId="0" applyFont="1"/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/>
    <xf numFmtId="0" fontId="5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top"/>
    </xf>
    <xf numFmtId="9" fontId="6" fillId="2" borderId="4" xfId="0" applyNumberFormat="1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5" fillId="3" borderId="4" xfId="0" applyFont="1" applyFill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5" fillId="0" borderId="6" xfId="0" applyFont="1" applyBorder="1"/>
    <xf numFmtId="0" fontId="5" fillId="0" borderId="5" xfId="0" applyFont="1" applyBorder="1" applyAlignment="1">
      <alignment horizontal="right"/>
    </xf>
    <xf numFmtId="0" fontId="3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9" fontId="5" fillId="2" borderId="4" xfId="0" applyNumberFormat="1" applyFont="1" applyFill="1" applyBorder="1" applyAlignment="1">
      <alignment horizontal="right" vertical="center"/>
    </xf>
    <xf numFmtId="165" fontId="5" fillId="2" borderId="4" xfId="1" applyNumberFormat="1" applyFont="1" applyFill="1" applyBorder="1" applyAlignment="1">
      <alignment horizontal="right" vertical="center"/>
    </xf>
    <xf numFmtId="165" fontId="3" fillId="2" borderId="4" xfId="1" applyNumberFormat="1" applyFont="1" applyFill="1" applyBorder="1" applyAlignment="1">
      <alignment horizontal="right" vertical="center"/>
    </xf>
    <xf numFmtId="2" fontId="5" fillId="0" borderId="0" xfId="0" applyNumberFormat="1" applyFont="1"/>
    <xf numFmtId="0" fontId="5" fillId="3" borderId="1" xfId="0" applyFont="1" applyFill="1" applyBorder="1" applyAlignment="1">
      <alignment horizontal="right" vertical="center"/>
    </xf>
    <xf numFmtId="165" fontId="5" fillId="2" borderId="7" xfId="1" applyNumberFormat="1" applyFont="1" applyFill="1" applyBorder="1" applyAlignment="1">
      <alignment horizontal="right" vertical="center"/>
    </xf>
    <xf numFmtId="165" fontId="5" fillId="2" borderId="1" xfId="1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vertical="center"/>
    </xf>
    <xf numFmtId="0" fontId="7" fillId="0" borderId="0" xfId="0" applyFont="1"/>
    <xf numFmtId="165" fontId="5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zoomScaleNormal="100" workbookViewId="0">
      <selection activeCell="E7" sqref="E7"/>
    </sheetView>
  </sheetViews>
  <sheetFormatPr defaultRowHeight="15.75" x14ac:dyDescent="0.25"/>
  <cols>
    <col min="1" max="1" width="16.140625" style="9" bestFit="1" customWidth="1"/>
    <col min="2" max="2" width="7" style="9" customWidth="1"/>
    <col min="3" max="14" width="6.42578125" style="9" customWidth="1"/>
    <col min="15" max="16384" width="9.140625" style="9"/>
  </cols>
  <sheetData>
    <row r="1" spans="1:14" ht="16.5" thickBot="1" x14ac:dyDescent="0.3">
      <c r="A1" s="6"/>
      <c r="B1" s="7" t="s">
        <v>0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  <c r="L1" s="8">
        <v>10</v>
      </c>
      <c r="M1" s="8">
        <v>11</v>
      </c>
      <c r="N1" s="8">
        <v>12</v>
      </c>
    </row>
    <row r="2" spans="1:14" ht="16.5" thickBot="1" x14ac:dyDescent="0.3">
      <c r="A2" s="16" t="s">
        <v>1</v>
      </c>
      <c r="B2" s="17">
        <v>100</v>
      </c>
      <c r="C2" s="18">
        <v>20</v>
      </c>
      <c r="D2" s="18">
        <v>30</v>
      </c>
      <c r="E2" s="18">
        <v>30</v>
      </c>
      <c r="F2" s="18">
        <v>20</v>
      </c>
      <c r="G2" s="10"/>
      <c r="H2" s="10"/>
      <c r="I2" s="10"/>
      <c r="J2" s="10"/>
      <c r="K2" s="10"/>
      <c r="L2" s="10"/>
      <c r="M2" s="10"/>
      <c r="N2" s="10"/>
    </row>
    <row r="3" spans="1:14" ht="16.5" thickBot="1" x14ac:dyDescent="0.3">
      <c r="A3" s="16" t="s">
        <v>2</v>
      </c>
      <c r="B3" s="17">
        <v>620</v>
      </c>
      <c r="C3" s="10"/>
      <c r="D3" s="10"/>
      <c r="E3" s="10"/>
      <c r="F3" s="18">
        <v>100</v>
      </c>
      <c r="G3" s="18">
        <v>120</v>
      </c>
      <c r="H3" s="18">
        <v>150</v>
      </c>
      <c r="I3" s="18">
        <v>200</v>
      </c>
      <c r="J3" s="18">
        <v>50</v>
      </c>
      <c r="K3" s="10"/>
      <c r="L3" s="10"/>
      <c r="M3" s="10"/>
      <c r="N3" s="10"/>
    </row>
    <row r="4" spans="1:14" ht="16.5" thickBot="1" x14ac:dyDescent="0.3">
      <c r="A4" s="16" t="s">
        <v>3</v>
      </c>
      <c r="B4" s="17">
        <v>220</v>
      </c>
      <c r="C4" s="10"/>
      <c r="D4" s="10"/>
      <c r="E4" s="10"/>
      <c r="F4" s="10"/>
      <c r="G4" s="10"/>
      <c r="H4" s="10"/>
      <c r="I4" s="10"/>
      <c r="J4" s="18">
        <v>80</v>
      </c>
      <c r="K4" s="18">
        <v>80</v>
      </c>
      <c r="L4" s="18">
        <v>40</v>
      </c>
      <c r="M4" s="18">
        <v>20</v>
      </c>
      <c r="N4" s="10"/>
    </row>
    <row r="5" spans="1:14" ht="16.5" thickBot="1" x14ac:dyDescent="0.3">
      <c r="A5" s="16" t="s">
        <v>4</v>
      </c>
      <c r="B5" s="17">
        <v>60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8">
        <v>35</v>
      </c>
      <c r="N5" s="18">
        <v>25</v>
      </c>
    </row>
    <row r="6" spans="1:14" ht="16.5" thickBot="1" x14ac:dyDescent="0.3">
      <c r="A6" s="16" t="s">
        <v>23</v>
      </c>
      <c r="B6" s="17"/>
      <c r="C6" s="10">
        <f>SUM(C2:C5)</f>
        <v>20</v>
      </c>
      <c r="D6" s="10">
        <f t="shared" ref="D6:N6" si="0">SUM(D2:D5)</f>
        <v>30</v>
      </c>
      <c r="E6" s="10">
        <f t="shared" si="0"/>
        <v>30</v>
      </c>
      <c r="F6" s="10">
        <f t="shared" si="0"/>
        <v>120</v>
      </c>
      <c r="G6" s="10">
        <f t="shared" si="0"/>
        <v>120</v>
      </c>
      <c r="H6" s="10">
        <f t="shared" si="0"/>
        <v>150</v>
      </c>
      <c r="I6" s="10">
        <f t="shared" si="0"/>
        <v>200</v>
      </c>
      <c r="J6" s="10">
        <f t="shared" si="0"/>
        <v>130</v>
      </c>
      <c r="K6" s="10">
        <f t="shared" si="0"/>
        <v>80</v>
      </c>
      <c r="L6" s="10">
        <f t="shared" si="0"/>
        <v>40</v>
      </c>
      <c r="M6" s="10">
        <f t="shared" si="0"/>
        <v>55</v>
      </c>
      <c r="N6" s="10">
        <f t="shared" si="0"/>
        <v>25</v>
      </c>
    </row>
    <row r="7" spans="1:14" ht="16.5" thickBot="1" x14ac:dyDescent="0.3">
      <c r="A7" s="11" t="s">
        <v>5</v>
      </c>
      <c r="B7" s="17" t="s">
        <v>6</v>
      </c>
      <c r="C7" s="18">
        <v>20</v>
      </c>
      <c r="D7" s="18">
        <v>50</v>
      </c>
      <c r="E7" s="18">
        <v>80</v>
      </c>
      <c r="F7" s="18">
        <v>200</v>
      </c>
      <c r="G7" s="18">
        <v>320</v>
      </c>
      <c r="H7" s="18">
        <v>470</v>
      </c>
      <c r="I7" s="18">
        <v>670</v>
      </c>
      <c r="J7" s="18">
        <v>800</v>
      </c>
      <c r="K7" s="18">
        <v>880</v>
      </c>
      <c r="L7" s="18">
        <v>920</v>
      </c>
      <c r="M7" s="18">
        <v>975</v>
      </c>
      <c r="N7" s="18" t="s">
        <v>6</v>
      </c>
    </row>
    <row r="8" spans="1:14" ht="16.5" thickBot="1" x14ac:dyDescent="0.3"/>
    <row r="9" spans="1:14" ht="16.5" thickBot="1" x14ac:dyDescent="0.3">
      <c r="A9" s="6"/>
      <c r="B9" s="7" t="s">
        <v>7</v>
      </c>
      <c r="C9" s="8">
        <v>1</v>
      </c>
      <c r="D9" s="8">
        <v>2</v>
      </c>
      <c r="E9" s="8">
        <v>3</v>
      </c>
      <c r="F9" s="8">
        <v>4</v>
      </c>
      <c r="G9" s="8">
        <v>5</v>
      </c>
      <c r="H9" s="8">
        <v>6</v>
      </c>
      <c r="I9" s="8">
        <v>7</v>
      </c>
      <c r="J9" s="8">
        <v>8</v>
      </c>
      <c r="K9" s="8">
        <v>9</v>
      </c>
      <c r="L9" s="12">
        <v>10</v>
      </c>
      <c r="M9" s="12">
        <v>11</v>
      </c>
      <c r="N9" s="12">
        <v>12</v>
      </c>
    </row>
    <row r="10" spans="1:14" ht="16.5" thickBot="1" x14ac:dyDescent="0.3">
      <c r="A10" s="16" t="s">
        <v>1</v>
      </c>
      <c r="B10" s="17">
        <v>130</v>
      </c>
      <c r="C10" s="19">
        <v>40</v>
      </c>
      <c r="D10" s="19">
        <v>40</v>
      </c>
      <c r="E10" s="19">
        <v>30</v>
      </c>
      <c r="F10" s="19">
        <v>15</v>
      </c>
      <c r="G10" s="19">
        <v>5</v>
      </c>
      <c r="H10" s="13"/>
      <c r="I10" s="13"/>
      <c r="J10" s="13"/>
      <c r="K10" s="13"/>
      <c r="L10" s="20"/>
      <c r="M10" s="20"/>
      <c r="N10" s="20"/>
    </row>
    <row r="11" spans="1:14" ht="16.5" thickBot="1" x14ac:dyDescent="0.3">
      <c r="A11" s="16" t="s">
        <v>2</v>
      </c>
      <c r="B11" s="17">
        <v>610</v>
      </c>
      <c r="C11" s="13"/>
      <c r="D11" s="13"/>
      <c r="E11" s="13"/>
      <c r="F11" s="19">
        <v>30</v>
      </c>
      <c r="G11" s="19">
        <v>30</v>
      </c>
      <c r="H11" s="19">
        <v>200</v>
      </c>
      <c r="I11" s="19">
        <v>200</v>
      </c>
      <c r="J11" s="19">
        <v>150</v>
      </c>
      <c r="K11" s="13"/>
      <c r="L11" s="20"/>
      <c r="M11" s="20"/>
      <c r="N11" s="20"/>
    </row>
    <row r="12" spans="1:14" ht="16.5" thickBot="1" x14ac:dyDescent="0.3">
      <c r="A12" s="16" t="s">
        <v>3</v>
      </c>
      <c r="B12" s="17">
        <v>200</v>
      </c>
      <c r="C12" s="13"/>
      <c r="D12" s="13"/>
      <c r="E12" s="13"/>
      <c r="F12" s="13"/>
      <c r="G12" s="13"/>
      <c r="H12" s="13"/>
      <c r="I12" s="13"/>
      <c r="J12" s="19">
        <v>120</v>
      </c>
      <c r="K12" s="19">
        <v>80</v>
      </c>
      <c r="L12" s="20"/>
      <c r="M12" s="20"/>
      <c r="N12" s="20"/>
    </row>
    <row r="13" spans="1:14" ht="16.5" thickBot="1" x14ac:dyDescent="0.3">
      <c r="A13" s="16" t="s">
        <v>4</v>
      </c>
      <c r="B13" s="17">
        <v>0</v>
      </c>
      <c r="C13" s="13"/>
      <c r="D13" s="13"/>
      <c r="E13" s="13"/>
      <c r="F13" s="13"/>
      <c r="G13" s="13"/>
      <c r="H13" s="13"/>
      <c r="I13" s="13"/>
      <c r="J13" s="13"/>
      <c r="K13" s="13"/>
      <c r="L13" s="20"/>
      <c r="M13" s="20"/>
      <c r="N13" s="20"/>
    </row>
    <row r="14" spans="1:14" ht="16.5" thickBot="1" x14ac:dyDescent="0.3">
      <c r="A14" s="16" t="s">
        <v>24</v>
      </c>
      <c r="B14" s="17"/>
      <c r="C14" s="13">
        <f>SUM(C10:C13)</f>
        <v>40</v>
      </c>
      <c r="D14" s="13">
        <f t="shared" ref="D14:K14" si="1">SUM(D10:D13)</f>
        <v>40</v>
      </c>
      <c r="E14" s="13">
        <f t="shared" si="1"/>
        <v>30</v>
      </c>
      <c r="F14" s="13">
        <f t="shared" si="1"/>
        <v>45</v>
      </c>
      <c r="G14" s="13">
        <f t="shared" si="1"/>
        <v>35</v>
      </c>
      <c r="H14" s="13">
        <f t="shared" si="1"/>
        <v>200</v>
      </c>
      <c r="I14" s="13">
        <f t="shared" si="1"/>
        <v>200</v>
      </c>
      <c r="J14" s="13">
        <f t="shared" si="1"/>
        <v>270</v>
      </c>
      <c r="K14" s="13">
        <f t="shared" si="1"/>
        <v>80</v>
      </c>
      <c r="L14" s="20"/>
      <c r="M14" s="20"/>
      <c r="N14" s="20"/>
    </row>
    <row r="15" spans="1:14" ht="16.5" thickBot="1" x14ac:dyDescent="0.3">
      <c r="A15" s="11" t="s">
        <v>8</v>
      </c>
      <c r="B15" s="17">
        <v>940</v>
      </c>
      <c r="C15" s="19">
        <v>40</v>
      </c>
      <c r="D15" s="19">
        <v>80</v>
      </c>
      <c r="E15" s="19">
        <v>110</v>
      </c>
      <c r="F15" s="19">
        <v>155</v>
      </c>
      <c r="G15" s="19">
        <v>190</v>
      </c>
      <c r="H15" s="19">
        <v>390</v>
      </c>
      <c r="I15" s="19">
        <v>590</v>
      </c>
      <c r="J15" s="19">
        <v>860</v>
      </c>
      <c r="K15" s="19">
        <v>940</v>
      </c>
      <c r="L15" s="20"/>
      <c r="M15" s="20"/>
      <c r="N15" s="20"/>
    </row>
    <row r="16" spans="1:14" ht="16.5" thickBot="1" x14ac:dyDescent="0.3"/>
    <row r="17" spans="1:15" ht="16.5" thickBot="1" x14ac:dyDescent="0.3">
      <c r="A17" s="6"/>
      <c r="B17" s="7"/>
      <c r="C17" s="8">
        <v>1</v>
      </c>
      <c r="D17" s="8">
        <v>2</v>
      </c>
      <c r="E17" s="8">
        <v>3</v>
      </c>
      <c r="F17" s="8">
        <v>4</v>
      </c>
      <c r="G17" s="8">
        <v>5</v>
      </c>
      <c r="H17" s="8">
        <v>6</v>
      </c>
      <c r="I17" s="8">
        <v>7</v>
      </c>
      <c r="J17" s="8">
        <v>8</v>
      </c>
      <c r="K17" s="8">
        <v>9</v>
      </c>
      <c r="L17" s="12">
        <v>10</v>
      </c>
      <c r="M17" s="12">
        <v>11</v>
      </c>
      <c r="N17" s="12">
        <v>12</v>
      </c>
      <c r="O17" s="21" t="s">
        <v>0</v>
      </c>
    </row>
    <row r="18" spans="1:15" ht="16.5" thickBot="1" x14ac:dyDescent="0.3">
      <c r="A18" s="16" t="s">
        <v>1</v>
      </c>
      <c r="B18" s="10"/>
      <c r="C18" s="14">
        <v>0.1</v>
      </c>
      <c r="D18" s="14">
        <v>0.15</v>
      </c>
      <c r="E18" s="14">
        <v>0.4</v>
      </c>
      <c r="F18" s="14">
        <v>0.6</v>
      </c>
      <c r="G18" s="14">
        <v>1</v>
      </c>
      <c r="H18" s="14">
        <v>1</v>
      </c>
      <c r="I18" s="14">
        <v>1</v>
      </c>
      <c r="J18" s="14">
        <v>1</v>
      </c>
      <c r="K18" s="14">
        <v>1</v>
      </c>
      <c r="L18" s="20"/>
      <c r="M18" s="20"/>
      <c r="N18" s="20"/>
      <c r="O18" s="16">
        <v>100</v>
      </c>
    </row>
    <row r="19" spans="1:15" ht="16.5" thickBot="1" x14ac:dyDescent="0.3">
      <c r="A19" s="16" t="s">
        <v>2</v>
      </c>
      <c r="B19" s="10"/>
      <c r="C19" s="15"/>
      <c r="D19" s="15"/>
      <c r="E19" s="15"/>
      <c r="F19" s="14">
        <v>0.2</v>
      </c>
      <c r="G19" s="14">
        <v>0.35</v>
      </c>
      <c r="H19" s="14">
        <v>0.5</v>
      </c>
      <c r="I19" s="14">
        <v>0.8</v>
      </c>
      <c r="J19" s="14">
        <v>0.95</v>
      </c>
      <c r="K19" s="14">
        <v>1</v>
      </c>
      <c r="L19" s="20"/>
      <c r="M19" s="20"/>
      <c r="N19" s="20"/>
      <c r="O19" s="16">
        <v>620</v>
      </c>
    </row>
    <row r="20" spans="1:15" ht="16.5" thickBot="1" x14ac:dyDescent="0.3">
      <c r="A20" s="16" t="s">
        <v>3</v>
      </c>
      <c r="B20" s="10"/>
      <c r="C20" s="15"/>
      <c r="D20" s="15"/>
      <c r="E20" s="15"/>
      <c r="F20" s="15"/>
      <c r="G20" s="15"/>
      <c r="H20" s="15"/>
      <c r="I20" s="15"/>
      <c r="J20" s="14">
        <v>0.3</v>
      </c>
      <c r="K20" s="14">
        <v>0.7</v>
      </c>
      <c r="L20" s="20"/>
      <c r="M20" s="20"/>
      <c r="N20" s="20"/>
      <c r="O20" s="16">
        <v>220</v>
      </c>
    </row>
    <row r="21" spans="1:15" ht="16.5" thickBot="1" x14ac:dyDescent="0.3">
      <c r="A21" s="16" t="s">
        <v>4</v>
      </c>
      <c r="B21" s="10"/>
      <c r="C21" s="15"/>
      <c r="D21" s="15"/>
      <c r="E21" s="15"/>
      <c r="F21" s="15"/>
      <c r="G21" s="15"/>
      <c r="H21" s="15"/>
      <c r="I21" s="15"/>
      <c r="J21" s="15"/>
      <c r="K21" s="15"/>
      <c r="L21" s="20"/>
      <c r="M21" s="20"/>
      <c r="N21" s="20"/>
      <c r="O21" s="16">
        <v>60</v>
      </c>
    </row>
    <row r="22" spans="1:15" ht="16.5" thickBot="1" x14ac:dyDescent="0.3">
      <c r="C22" s="9">
        <v>1</v>
      </c>
      <c r="D22" s="9">
        <v>15</v>
      </c>
      <c r="E22" s="9">
        <v>40</v>
      </c>
      <c r="F22" s="9">
        <v>60</v>
      </c>
      <c r="G22" s="9">
        <v>100</v>
      </c>
      <c r="O22" s="23" t="s">
        <v>6</v>
      </c>
    </row>
    <row r="23" spans="1:15" x14ac:dyDescent="0.25">
      <c r="F23" s="9">
        <v>124</v>
      </c>
      <c r="G23" s="9">
        <v>217</v>
      </c>
      <c r="H23" s="9">
        <v>310</v>
      </c>
      <c r="I23" s="9">
        <v>496</v>
      </c>
      <c r="J23" s="9">
        <v>589</v>
      </c>
      <c r="K23" s="9">
        <v>620</v>
      </c>
    </row>
    <row r="24" spans="1:15" x14ac:dyDescent="0.25">
      <c r="J24" s="9">
        <v>66</v>
      </c>
      <c r="K24" s="9">
        <v>154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3"/>
  <sheetViews>
    <sheetView tabSelected="1" zoomScale="140" zoomScaleNormal="140" workbookViewId="0">
      <selection activeCell="G14" sqref="G14"/>
    </sheetView>
  </sheetViews>
  <sheetFormatPr defaultRowHeight="15.75" x14ac:dyDescent="0.25"/>
  <cols>
    <col min="1" max="1" width="16" style="9" bestFit="1" customWidth="1"/>
    <col min="2" max="10" width="8.140625" style="9" customWidth="1"/>
    <col min="11" max="14" width="6.42578125" style="9" customWidth="1"/>
    <col min="15" max="16384" width="9.140625" style="9"/>
  </cols>
  <sheetData>
    <row r="1" spans="1:14" ht="16.5" thickBot="1" x14ac:dyDescent="0.3">
      <c r="A1" s="24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6">
        <v>10</v>
      </c>
      <c r="L1" s="26">
        <v>11</v>
      </c>
      <c r="M1" s="26">
        <v>12</v>
      </c>
    </row>
    <row r="2" spans="1:14" ht="16.5" thickBot="1" x14ac:dyDescent="0.3">
      <c r="A2" s="16" t="s">
        <v>1</v>
      </c>
      <c r="B2" s="27">
        <v>0.1</v>
      </c>
      <c r="C2" s="27">
        <v>0.15</v>
      </c>
      <c r="D2" s="27">
        <v>0.4</v>
      </c>
      <c r="E2" s="27">
        <v>0.6</v>
      </c>
      <c r="F2" s="27">
        <v>1</v>
      </c>
      <c r="G2" s="27">
        <v>1</v>
      </c>
      <c r="H2" s="27">
        <v>1</v>
      </c>
      <c r="I2" s="27">
        <v>1</v>
      </c>
      <c r="J2" s="27">
        <v>1</v>
      </c>
      <c r="K2" s="20"/>
      <c r="L2" s="20"/>
      <c r="M2" s="20"/>
    </row>
    <row r="3" spans="1:14" ht="16.5" thickBot="1" x14ac:dyDescent="0.3">
      <c r="A3" s="16" t="s">
        <v>2</v>
      </c>
      <c r="B3" s="19"/>
      <c r="C3" s="19"/>
      <c r="D3" s="19"/>
      <c r="E3" s="27">
        <v>0.2</v>
      </c>
      <c r="F3" s="27">
        <v>0.35</v>
      </c>
      <c r="G3" s="27">
        <v>0.5</v>
      </c>
      <c r="H3" s="27">
        <v>0.8</v>
      </c>
      <c r="I3" s="27">
        <v>0.95</v>
      </c>
      <c r="J3" s="27">
        <v>1</v>
      </c>
      <c r="K3" s="20"/>
      <c r="L3" s="20"/>
      <c r="M3" s="20"/>
    </row>
    <row r="4" spans="1:14" ht="16.5" thickBot="1" x14ac:dyDescent="0.3">
      <c r="A4" s="16" t="s">
        <v>3</v>
      </c>
      <c r="B4" s="19"/>
      <c r="C4" s="19"/>
      <c r="D4" s="19"/>
      <c r="E4" s="19"/>
      <c r="F4" s="19"/>
      <c r="G4" s="19"/>
      <c r="H4" s="19"/>
      <c r="I4" s="27">
        <v>0.3</v>
      </c>
      <c r="J4" s="27">
        <v>0.7</v>
      </c>
      <c r="K4" s="20"/>
      <c r="L4" s="20"/>
      <c r="M4" s="20"/>
    </row>
    <row r="5" spans="1:14" ht="16.5" thickBot="1" x14ac:dyDescent="0.3">
      <c r="A5" s="16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20"/>
      <c r="L5" s="20"/>
      <c r="M5" s="20"/>
    </row>
    <row r="7" spans="1:14" ht="16.5" thickBot="1" x14ac:dyDescent="0.3"/>
    <row r="8" spans="1:14" ht="16.5" thickBot="1" x14ac:dyDescent="0.3">
      <c r="A8" s="24"/>
      <c r="B8" s="25">
        <v>1</v>
      </c>
      <c r="C8" s="25">
        <v>2</v>
      </c>
      <c r="D8" s="25">
        <v>3</v>
      </c>
      <c r="E8" s="25">
        <v>4</v>
      </c>
      <c r="F8" s="25">
        <v>5</v>
      </c>
      <c r="G8" s="25">
        <v>6</v>
      </c>
      <c r="H8" s="25">
        <v>7</v>
      </c>
      <c r="I8" s="25">
        <v>8</v>
      </c>
      <c r="J8" s="25">
        <v>9</v>
      </c>
      <c r="K8" s="26">
        <v>10</v>
      </c>
      <c r="L8" s="26">
        <v>11</v>
      </c>
      <c r="M8" s="26">
        <v>12</v>
      </c>
      <c r="N8" s="26" t="s">
        <v>0</v>
      </c>
    </row>
    <row r="9" spans="1:14" ht="16.5" thickBot="1" x14ac:dyDescent="0.3">
      <c r="A9" s="16" t="s">
        <v>1</v>
      </c>
      <c r="B9" s="28">
        <f t="shared" ref="B9:J9" si="0">B2*$N$9</f>
        <v>10</v>
      </c>
      <c r="C9" s="28">
        <f t="shared" si="0"/>
        <v>15</v>
      </c>
      <c r="D9" s="28">
        <f t="shared" si="0"/>
        <v>40</v>
      </c>
      <c r="E9" s="28">
        <f t="shared" si="0"/>
        <v>60</v>
      </c>
      <c r="F9" s="28">
        <f t="shared" si="0"/>
        <v>100</v>
      </c>
      <c r="G9" s="28">
        <f t="shared" si="0"/>
        <v>100</v>
      </c>
      <c r="H9" s="28">
        <f t="shared" si="0"/>
        <v>100</v>
      </c>
      <c r="I9" s="29">
        <f t="shared" si="0"/>
        <v>100</v>
      </c>
      <c r="J9" s="28">
        <f t="shared" si="0"/>
        <v>100</v>
      </c>
      <c r="K9" s="20"/>
      <c r="L9" s="20"/>
      <c r="M9" s="20"/>
      <c r="N9" s="20">
        <v>100</v>
      </c>
    </row>
    <row r="10" spans="1:14" ht="16.5" thickBot="1" x14ac:dyDescent="0.3">
      <c r="A10" s="16" t="s">
        <v>2</v>
      </c>
      <c r="B10" s="28">
        <f t="shared" ref="B10:J10" si="1">B3*$N$10</f>
        <v>0</v>
      </c>
      <c r="C10" s="28">
        <f t="shared" si="1"/>
        <v>0</v>
      </c>
      <c r="D10" s="28">
        <f t="shared" si="1"/>
        <v>0</v>
      </c>
      <c r="E10" s="28">
        <f t="shared" si="1"/>
        <v>124</v>
      </c>
      <c r="F10" s="28">
        <f t="shared" si="1"/>
        <v>217</v>
      </c>
      <c r="G10" s="28">
        <f t="shared" si="1"/>
        <v>310</v>
      </c>
      <c r="H10" s="28">
        <f t="shared" si="1"/>
        <v>496</v>
      </c>
      <c r="I10" s="28">
        <f t="shared" si="1"/>
        <v>589</v>
      </c>
      <c r="J10" s="28">
        <f t="shared" si="1"/>
        <v>620</v>
      </c>
      <c r="K10" s="20"/>
      <c r="L10" s="20"/>
      <c r="M10" s="20"/>
      <c r="N10" s="20">
        <v>620</v>
      </c>
    </row>
    <row r="11" spans="1:14" ht="16.5" thickBot="1" x14ac:dyDescent="0.3">
      <c r="A11" s="16" t="s">
        <v>3</v>
      </c>
      <c r="B11" s="28">
        <f t="shared" ref="B11:J11" si="2">B4*$N$11</f>
        <v>0</v>
      </c>
      <c r="C11" s="28">
        <f t="shared" si="2"/>
        <v>0</v>
      </c>
      <c r="D11" s="28">
        <f t="shared" si="2"/>
        <v>0</v>
      </c>
      <c r="E11" s="28">
        <f t="shared" si="2"/>
        <v>0</v>
      </c>
      <c r="F11" s="28">
        <f t="shared" si="2"/>
        <v>0</v>
      </c>
      <c r="G11" s="28">
        <f t="shared" si="2"/>
        <v>0</v>
      </c>
      <c r="H11" s="28">
        <f t="shared" si="2"/>
        <v>0</v>
      </c>
      <c r="I11" s="28">
        <f t="shared" si="2"/>
        <v>66</v>
      </c>
      <c r="J11" s="28">
        <f t="shared" si="2"/>
        <v>154</v>
      </c>
      <c r="K11" s="20"/>
      <c r="L11" s="20"/>
      <c r="M11" s="20"/>
      <c r="N11" s="20">
        <v>220</v>
      </c>
    </row>
    <row r="12" spans="1:14" ht="16.5" thickBot="1" x14ac:dyDescent="0.3">
      <c r="A12" s="16" t="s">
        <v>4</v>
      </c>
      <c r="B12" s="32">
        <f t="shared" ref="B12:J12" si="3">B5*$N$12</f>
        <v>0</v>
      </c>
      <c r="C12" s="32">
        <f t="shared" si="3"/>
        <v>0</v>
      </c>
      <c r="D12" s="32">
        <f t="shared" si="3"/>
        <v>0</v>
      </c>
      <c r="E12" s="33">
        <f t="shared" si="3"/>
        <v>0</v>
      </c>
      <c r="F12" s="33">
        <f t="shared" si="3"/>
        <v>0</v>
      </c>
      <c r="G12" s="33">
        <f t="shared" si="3"/>
        <v>0</v>
      </c>
      <c r="H12" s="33">
        <f t="shared" si="3"/>
        <v>0</v>
      </c>
      <c r="I12" s="33">
        <f t="shared" si="3"/>
        <v>0</v>
      </c>
      <c r="J12" s="33">
        <f t="shared" si="3"/>
        <v>0</v>
      </c>
      <c r="K12" s="20"/>
      <c r="L12" s="20"/>
      <c r="M12" s="20"/>
      <c r="N12" s="20">
        <v>60</v>
      </c>
    </row>
    <row r="13" spans="1:14" ht="16.5" thickBot="1" x14ac:dyDescent="0.3">
      <c r="A13" s="34" t="s">
        <v>22</v>
      </c>
      <c r="B13" s="33">
        <f>SUM(B9:B12)</f>
        <v>10</v>
      </c>
      <c r="C13" s="33">
        <f t="shared" ref="C13:J13" si="4">SUM(C9:C12)</f>
        <v>15</v>
      </c>
      <c r="D13" s="33">
        <f t="shared" si="4"/>
        <v>40</v>
      </c>
      <c r="E13" s="28">
        <f t="shared" si="4"/>
        <v>184</v>
      </c>
      <c r="F13" s="28">
        <f t="shared" si="4"/>
        <v>317</v>
      </c>
      <c r="G13" s="28">
        <f t="shared" si="4"/>
        <v>410</v>
      </c>
      <c r="H13" s="28">
        <f t="shared" si="4"/>
        <v>596</v>
      </c>
      <c r="I13" s="28">
        <f t="shared" si="4"/>
        <v>755</v>
      </c>
      <c r="J13" s="28">
        <f t="shared" si="4"/>
        <v>874</v>
      </c>
      <c r="K13" s="20"/>
      <c r="L13" s="20"/>
      <c r="M13" s="20"/>
      <c r="N13" s="31">
        <v>1000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2"/>
  <sheetViews>
    <sheetView zoomScaleNormal="100" workbookViewId="0">
      <selection activeCell="L16" sqref="L16"/>
    </sheetView>
  </sheetViews>
  <sheetFormatPr defaultRowHeight="15" x14ac:dyDescent="0.25"/>
  <cols>
    <col min="1" max="1" width="29.42578125" bestFit="1" customWidth="1"/>
    <col min="2" max="2" width="8" bestFit="1" customWidth="1"/>
    <col min="3" max="3" width="13.7109375" bestFit="1" customWidth="1"/>
    <col min="4" max="10" width="9.42578125" bestFit="1" customWidth="1"/>
    <col min="11" max="13" width="9.28515625" bestFit="1" customWidth="1"/>
  </cols>
  <sheetData>
    <row r="1" spans="1:14" ht="15.75" x14ac:dyDescent="0.25">
      <c r="A1" s="9"/>
      <c r="B1" s="9">
        <v>1</v>
      </c>
      <c r="C1" s="9">
        <v>2</v>
      </c>
      <c r="D1" s="9">
        <v>3</v>
      </c>
      <c r="E1" s="9">
        <v>4</v>
      </c>
      <c r="F1" s="9">
        <v>5</v>
      </c>
      <c r="G1" s="9">
        <v>6</v>
      </c>
      <c r="H1" s="9">
        <v>7</v>
      </c>
      <c r="I1" s="9">
        <v>8</v>
      </c>
      <c r="J1" s="9">
        <v>9</v>
      </c>
      <c r="K1" s="9">
        <v>10</v>
      </c>
      <c r="L1" s="9">
        <v>11</v>
      </c>
      <c r="M1" s="9">
        <v>12</v>
      </c>
      <c r="N1" s="9"/>
    </row>
    <row r="2" spans="1:14" ht="15.75" x14ac:dyDescent="0.25">
      <c r="A2" s="9" t="s">
        <v>5</v>
      </c>
      <c r="B2" s="9">
        <v>20</v>
      </c>
      <c r="C2" s="9">
        <v>50</v>
      </c>
      <c r="D2" s="9">
        <v>80</v>
      </c>
      <c r="E2" s="9">
        <v>200</v>
      </c>
      <c r="F2" s="9">
        <v>320</v>
      </c>
      <c r="G2" s="9">
        <v>470</v>
      </c>
      <c r="H2" s="9">
        <v>670</v>
      </c>
      <c r="I2" s="9">
        <v>800</v>
      </c>
      <c r="J2" s="9">
        <v>880</v>
      </c>
      <c r="K2" s="9">
        <v>920</v>
      </c>
      <c r="L2" s="9">
        <v>975</v>
      </c>
      <c r="M2" s="9" t="s">
        <v>6</v>
      </c>
      <c r="N2" s="9"/>
    </row>
    <row r="3" spans="1:14" ht="15.75" x14ac:dyDescent="0.25">
      <c r="A3" s="9" t="s">
        <v>8</v>
      </c>
      <c r="B3" s="9">
        <v>40</v>
      </c>
      <c r="C3" s="9">
        <v>80</v>
      </c>
      <c r="D3" s="9">
        <v>110</v>
      </c>
      <c r="E3" s="9">
        <v>155</v>
      </c>
      <c r="F3" s="9">
        <v>190</v>
      </c>
      <c r="G3" s="9">
        <v>390</v>
      </c>
      <c r="H3" s="9">
        <v>590</v>
      </c>
      <c r="I3" s="9">
        <v>860</v>
      </c>
      <c r="J3" s="9">
        <v>940</v>
      </c>
      <c r="K3" s="9"/>
      <c r="L3" s="9"/>
      <c r="M3" s="9"/>
      <c r="N3" s="9"/>
    </row>
    <row r="4" spans="1:14" ht="15.75" x14ac:dyDescent="0.25">
      <c r="A4" s="9" t="s">
        <v>22</v>
      </c>
      <c r="B4" s="9">
        <v>10</v>
      </c>
      <c r="C4" s="9">
        <v>15</v>
      </c>
      <c r="D4" s="9">
        <v>40</v>
      </c>
      <c r="E4" s="9">
        <v>184</v>
      </c>
      <c r="F4" s="9">
        <v>317</v>
      </c>
      <c r="G4" s="9">
        <v>410</v>
      </c>
      <c r="H4" s="9">
        <v>596</v>
      </c>
      <c r="I4" s="9">
        <v>755</v>
      </c>
      <c r="J4" s="9">
        <v>874</v>
      </c>
      <c r="K4" s="9"/>
      <c r="L4" s="9"/>
      <c r="M4" s="9"/>
      <c r="N4" s="9"/>
    </row>
    <row r="5" spans="1:14" ht="15.75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ht="15.75" x14ac:dyDescent="0.25">
      <c r="A6" s="9" t="s">
        <v>10</v>
      </c>
      <c r="B6" s="30">
        <f>B4/B3</f>
        <v>0.25</v>
      </c>
      <c r="C6" s="30">
        <f t="shared" ref="C6:J6" si="0">C4/C3</f>
        <v>0.1875</v>
      </c>
      <c r="D6" s="30">
        <f t="shared" si="0"/>
        <v>0.36363636363636365</v>
      </c>
      <c r="E6" s="30">
        <f t="shared" si="0"/>
        <v>1.1870967741935483</v>
      </c>
      <c r="F6" s="30">
        <f t="shared" si="0"/>
        <v>1.668421052631579</v>
      </c>
      <c r="G6" s="30">
        <f t="shared" si="0"/>
        <v>1.0512820512820513</v>
      </c>
      <c r="H6" s="30">
        <f t="shared" si="0"/>
        <v>1.0101694915254238</v>
      </c>
      <c r="I6" s="30">
        <f t="shared" si="0"/>
        <v>0.87790697674418605</v>
      </c>
      <c r="J6" s="30">
        <f t="shared" si="0"/>
        <v>0.92978723404255315</v>
      </c>
      <c r="K6" s="9"/>
      <c r="L6" s="9"/>
      <c r="M6" s="9"/>
      <c r="N6" s="9"/>
    </row>
    <row r="7" spans="1:14" ht="15.75" x14ac:dyDescent="0.25">
      <c r="A7" s="9" t="s">
        <v>14</v>
      </c>
      <c r="B7" s="30">
        <f>B4-B3</f>
        <v>-30</v>
      </c>
      <c r="C7" s="30">
        <f t="shared" ref="C7:J7" si="1">C4-C3</f>
        <v>-65</v>
      </c>
      <c r="D7" s="30">
        <f t="shared" si="1"/>
        <v>-70</v>
      </c>
      <c r="E7" s="30">
        <f t="shared" si="1"/>
        <v>29</v>
      </c>
      <c r="F7" s="30">
        <f t="shared" si="1"/>
        <v>127</v>
      </c>
      <c r="G7" s="30">
        <f t="shared" si="1"/>
        <v>20</v>
      </c>
      <c r="H7" s="30">
        <f t="shared" si="1"/>
        <v>6</v>
      </c>
      <c r="I7" s="30">
        <f t="shared" si="1"/>
        <v>-105</v>
      </c>
      <c r="J7" s="30">
        <f t="shared" si="1"/>
        <v>-66</v>
      </c>
      <c r="K7" s="9"/>
      <c r="L7" s="9"/>
      <c r="M7" s="9"/>
      <c r="N7" s="9"/>
    </row>
    <row r="8" spans="1:14" ht="15.75" x14ac:dyDescent="0.25">
      <c r="A8" s="35" t="s">
        <v>12</v>
      </c>
      <c r="B8" s="30">
        <f>B4/B2</f>
        <v>0.5</v>
      </c>
      <c r="C8" s="30">
        <f t="shared" ref="C8:J8" si="2">C4/C2</f>
        <v>0.3</v>
      </c>
      <c r="D8" s="30">
        <f t="shared" si="2"/>
        <v>0.5</v>
      </c>
      <c r="E8" s="30">
        <f t="shared" si="2"/>
        <v>0.92</v>
      </c>
      <c r="F8" s="30">
        <f t="shared" si="2"/>
        <v>0.99062499999999998</v>
      </c>
      <c r="G8" s="30">
        <f t="shared" si="2"/>
        <v>0.87234042553191493</v>
      </c>
      <c r="H8" s="30">
        <f t="shared" si="2"/>
        <v>0.88955223880597012</v>
      </c>
      <c r="I8" s="30">
        <f t="shared" si="2"/>
        <v>0.94374999999999998</v>
      </c>
      <c r="J8" s="30">
        <f t="shared" si="2"/>
        <v>0.99318181818181817</v>
      </c>
      <c r="K8" s="9"/>
      <c r="L8" s="9"/>
      <c r="M8" s="9"/>
      <c r="N8" s="9"/>
    </row>
    <row r="9" spans="1:14" ht="15.75" x14ac:dyDescent="0.25">
      <c r="A9" s="35" t="s">
        <v>19</v>
      </c>
      <c r="B9" s="30">
        <f>B4-B2</f>
        <v>-10</v>
      </c>
      <c r="C9" s="30">
        <f t="shared" ref="C9:J9" si="3">C4-C2</f>
        <v>-35</v>
      </c>
      <c r="D9" s="30">
        <f t="shared" si="3"/>
        <v>-40</v>
      </c>
      <c r="E9" s="30">
        <f t="shared" si="3"/>
        <v>-16</v>
      </c>
      <c r="F9" s="30">
        <f t="shared" si="3"/>
        <v>-3</v>
      </c>
      <c r="G9" s="30">
        <f t="shared" si="3"/>
        <v>-60</v>
      </c>
      <c r="H9" s="30">
        <f t="shared" si="3"/>
        <v>-74</v>
      </c>
      <c r="I9" s="30">
        <f t="shared" si="3"/>
        <v>-45</v>
      </c>
      <c r="J9" s="30">
        <f t="shared" si="3"/>
        <v>-6</v>
      </c>
      <c r="K9" s="9"/>
      <c r="L9" s="9"/>
      <c r="M9" s="9"/>
      <c r="N9" s="9"/>
    </row>
    <row r="10" spans="1:14" ht="15.75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9"/>
      <c r="M10" s="9"/>
      <c r="N10" s="9"/>
    </row>
    <row r="12" spans="1:14" ht="21" x14ac:dyDescent="0.35">
      <c r="A12" s="1" t="s">
        <v>9</v>
      </c>
      <c r="B12" s="1"/>
      <c r="C12" s="1"/>
    </row>
    <row r="13" spans="1:14" ht="21" x14ac:dyDescent="0.35">
      <c r="A13" s="1"/>
      <c r="B13" s="1"/>
      <c r="C13" s="1"/>
    </row>
    <row r="14" spans="1:14" ht="21" x14ac:dyDescent="0.35">
      <c r="A14" s="3" t="s">
        <v>15</v>
      </c>
      <c r="B14" s="2" t="s">
        <v>10</v>
      </c>
      <c r="C14" s="2" t="s">
        <v>11</v>
      </c>
    </row>
    <row r="15" spans="1:14" ht="21" x14ac:dyDescent="0.35">
      <c r="A15" s="3" t="s">
        <v>16</v>
      </c>
      <c r="B15" s="2" t="s">
        <v>12</v>
      </c>
      <c r="C15" s="2" t="s">
        <v>13</v>
      </c>
    </row>
    <row r="16" spans="1:14" ht="21" x14ac:dyDescent="0.35">
      <c r="A16" s="3" t="s">
        <v>17</v>
      </c>
      <c r="B16" s="2" t="s">
        <v>14</v>
      </c>
      <c r="C16" s="2" t="s">
        <v>20</v>
      </c>
    </row>
    <row r="17" spans="1:8" ht="21" x14ac:dyDescent="0.35">
      <c r="A17" s="3" t="s">
        <v>18</v>
      </c>
      <c r="B17" s="2" t="s">
        <v>19</v>
      </c>
      <c r="C17" s="2" t="s">
        <v>21</v>
      </c>
    </row>
    <row r="18" spans="1:8" x14ac:dyDescent="0.25">
      <c r="E18" s="4"/>
      <c r="F18" s="4"/>
    </row>
    <row r="19" spans="1:8" x14ac:dyDescent="0.25">
      <c r="F19" s="4"/>
      <c r="H19" s="4"/>
    </row>
    <row r="20" spans="1:8" x14ac:dyDescent="0.25">
      <c r="F20" s="5"/>
      <c r="H20" s="4"/>
    </row>
    <row r="21" spans="1:8" x14ac:dyDescent="0.25">
      <c r="F21" s="4"/>
      <c r="H21" s="5"/>
    </row>
    <row r="22" spans="1:8" x14ac:dyDescent="0.25">
      <c r="H22" s="4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C6" sqref="A1:C6"/>
    </sheetView>
  </sheetViews>
  <sheetFormatPr defaultRowHeight="15" x14ac:dyDescent="0.25"/>
  <cols>
    <col min="1" max="1" width="37.85546875" bestFit="1" customWidth="1"/>
    <col min="2" max="2" width="8.140625" customWidth="1"/>
    <col min="3" max="3" width="15.140625" customWidth="1"/>
  </cols>
  <sheetData>
    <row r="1" spans="1:3" ht="21" x14ac:dyDescent="0.35">
      <c r="A1" s="1" t="s">
        <v>9</v>
      </c>
      <c r="B1" s="1"/>
      <c r="C1" s="1"/>
    </row>
    <row r="2" spans="1:3" ht="21" x14ac:dyDescent="0.35">
      <c r="A2" s="1"/>
      <c r="B2" s="1"/>
      <c r="C2" s="1"/>
    </row>
    <row r="3" spans="1:3" ht="21" x14ac:dyDescent="0.35">
      <c r="A3" s="1" t="s">
        <v>15</v>
      </c>
      <c r="B3" s="2" t="s">
        <v>10</v>
      </c>
      <c r="C3" s="2" t="s">
        <v>11</v>
      </c>
    </row>
    <row r="4" spans="1:3" ht="21" x14ac:dyDescent="0.35">
      <c r="A4" s="1" t="s">
        <v>16</v>
      </c>
      <c r="B4" s="2" t="s">
        <v>12</v>
      </c>
      <c r="C4" s="2" t="s">
        <v>13</v>
      </c>
    </row>
    <row r="5" spans="1:3" ht="21" x14ac:dyDescent="0.35">
      <c r="A5" s="1" t="s">
        <v>17</v>
      </c>
      <c r="B5" s="2" t="s">
        <v>14</v>
      </c>
      <c r="C5" s="2" t="s">
        <v>20</v>
      </c>
    </row>
    <row r="6" spans="1:3" ht="21" x14ac:dyDescent="0.35">
      <c r="A6" s="1" t="s">
        <v>18</v>
      </c>
      <c r="B6" s="2" t="s">
        <v>19</v>
      </c>
      <c r="C6" s="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0563-4035-4E3D-B412-F66E9820D168}">
  <dimension ref="A1:L22"/>
  <sheetViews>
    <sheetView topLeftCell="A5" zoomScale="130" zoomScaleNormal="130" workbookViewId="0">
      <selection activeCell="G18" sqref="G18"/>
    </sheetView>
  </sheetViews>
  <sheetFormatPr defaultRowHeight="15.75" x14ac:dyDescent="0.25"/>
  <cols>
    <col min="1" max="1" width="19" style="9" bestFit="1" customWidth="1"/>
    <col min="2" max="2" width="7" style="9" customWidth="1"/>
    <col min="3" max="14" width="6.42578125" style="9" customWidth="1"/>
    <col min="15" max="16384" width="9.140625" style="9"/>
  </cols>
  <sheetData>
    <row r="1" spans="1:11" ht="16.5" thickBot="1" x14ac:dyDescent="0.3">
      <c r="A1" s="6"/>
      <c r="B1" s="7" t="s">
        <v>0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</row>
    <row r="2" spans="1:11" ht="16.5" thickBot="1" x14ac:dyDescent="0.3">
      <c r="A2" s="16" t="s">
        <v>27</v>
      </c>
      <c r="B2" s="17">
        <f>SUM(C2:K2)</f>
        <v>40</v>
      </c>
      <c r="C2" s="18">
        <v>5</v>
      </c>
      <c r="D2" s="18">
        <v>8</v>
      </c>
      <c r="E2" s="18">
        <v>15</v>
      </c>
      <c r="F2" s="18">
        <v>12</v>
      </c>
      <c r="G2" s="10"/>
      <c r="H2" s="10"/>
      <c r="I2" s="10"/>
      <c r="J2" s="10"/>
      <c r="K2" s="10"/>
    </row>
    <row r="3" spans="1:11" ht="16.5" thickBot="1" x14ac:dyDescent="0.3">
      <c r="A3" s="16" t="s">
        <v>26</v>
      </c>
      <c r="B3" s="17">
        <f>SUM(C3:K3)</f>
        <v>200</v>
      </c>
      <c r="C3" s="10"/>
      <c r="D3" s="10"/>
      <c r="E3" s="10">
        <v>20</v>
      </c>
      <c r="F3" s="18">
        <v>50</v>
      </c>
      <c r="G3" s="18">
        <v>60</v>
      </c>
      <c r="H3" s="18">
        <v>65</v>
      </c>
      <c r="I3" s="18">
        <v>5</v>
      </c>
      <c r="J3" s="18"/>
      <c r="K3" s="10"/>
    </row>
    <row r="4" spans="1:11" ht="16.5" thickBot="1" x14ac:dyDescent="0.3">
      <c r="A4" s="16" t="s">
        <v>3</v>
      </c>
      <c r="B4" s="17">
        <f>SUM(C4:K4)</f>
        <v>70</v>
      </c>
      <c r="C4" s="10"/>
      <c r="D4" s="10"/>
      <c r="E4" s="10"/>
      <c r="F4" s="10">
        <v>10</v>
      </c>
      <c r="G4" s="10">
        <v>10</v>
      </c>
      <c r="H4" s="10">
        <v>10</v>
      </c>
      <c r="I4" s="10">
        <v>20</v>
      </c>
      <c r="J4" s="18">
        <v>20</v>
      </c>
      <c r="K4" s="18"/>
    </row>
    <row r="5" spans="1:11" ht="16.5" thickBot="1" x14ac:dyDescent="0.3">
      <c r="A5" s="16" t="s">
        <v>25</v>
      </c>
      <c r="B5" s="17">
        <f>SUM(C5:K5)</f>
        <v>150</v>
      </c>
      <c r="C5" s="10"/>
      <c r="D5" s="10"/>
      <c r="E5" s="10"/>
      <c r="F5" s="10"/>
      <c r="G5" s="10"/>
      <c r="H5" s="10">
        <v>30</v>
      </c>
      <c r="I5" s="10">
        <v>30</v>
      </c>
      <c r="J5" s="10">
        <v>30</v>
      </c>
      <c r="K5" s="10">
        <v>60</v>
      </c>
    </row>
    <row r="6" spans="1:11" ht="16.5" thickBot="1" x14ac:dyDescent="0.3">
      <c r="A6" s="16" t="s">
        <v>23</v>
      </c>
      <c r="B6" s="17"/>
      <c r="C6" s="10">
        <f>SUM(C2:C5)</f>
        <v>5</v>
      </c>
      <c r="D6" s="10">
        <f t="shared" ref="D6:K6" si="0">SUM(D2:D5)</f>
        <v>8</v>
      </c>
      <c r="E6" s="10">
        <f t="shared" si="0"/>
        <v>35</v>
      </c>
      <c r="F6" s="10">
        <f t="shared" si="0"/>
        <v>72</v>
      </c>
      <c r="G6" s="10">
        <f t="shared" si="0"/>
        <v>70</v>
      </c>
      <c r="H6" s="10">
        <f t="shared" si="0"/>
        <v>105</v>
      </c>
      <c r="I6" s="10">
        <f t="shared" si="0"/>
        <v>55</v>
      </c>
      <c r="J6" s="10">
        <f t="shared" si="0"/>
        <v>50</v>
      </c>
      <c r="K6" s="10">
        <f t="shared" si="0"/>
        <v>60</v>
      </c>
    </row>
    <row r="7" spans="1:11" ht="16.5" thickBot="1" x14ac:dyDescent="0.3">
      <c r="A7" s="11" t="s">
        <v>5</v>
      </c>
      <c r="B7" s="17">
        <f>SUM(B2:B6)</f>
        <v>460</v>
      </c>
      <c r="C7" s="18">
        <f>C6</f>
        <v>5</v>
      </c>
      <c r="D7" s="18">
        <f>D6+C7</f>
        <v>13</v>
      </c>
      <c r="E7" s="18">
        <f t="shared" ref="E7:K7" si="1">E6+D7</f>
        <v>48</v>
      </c>
      <c r="F7" s="18">
        <f t="shared" si="1"/>
        <v>120</v>
      </c>
      <c r="G7" s="18">
        <f t="shared" si="1"/>
        <v>190</v>
      </c>
      <c r="H7" s="18">
        <f t="shared" si="1"/>
        <v>295</v>
      </c>
      <c r="I7" s="18">
        <f t="shared" si="1"/>
        <v>350</v>
      </c>
      <c r="J7" s="18">
        <f t="shared" si="1"/>
        <v>400</v>
      </c>
      <c r="K7" s="18">
        <f t="shared" si="1"/>
        <v>460</v>
      </c>
    </row>
    <row r="8" spans="1:11" ht="16.5" thickBot="1" x14ac:dyDescent="0.3"/>
    <row r="9" spans="1:11" ht="16.5" thickBot="1" x14ac:dyDescent="0.3">
      <c r="A9" s="6"/>
      <c r="B9" s="7" t="s">
        <v>7</v>
      </c>
      <c r="C9" s="8">
        <v>1</v>
      </c>
      <c r="D9" s="8">
        <v>2</v>
      </c>
      <c r="E9" s="8">
        <v>3</v>
      </c>
      <c r="F9" s="8">
        <v>4</v>
      </c>
      <c r="G9" s="8">
        <v>5</v>
      </c>
      <c r="H9" s="8">
        <v>6</v>
      </c>
      <c r="I9" s="8">
        <v>7</v>
      </c>
      <c r="J9" s="8">
        <v>8</v>
      </c>
      <c r="K9" s="8">
        <v>9</v>
      </c>
    </row>
    <row r="10" spans="1:11" ht="16.5" thickBot="1" x14ac:dyDescent="0.3">
      <c r="A10" s="16" t="s">
        <v>27</v>
      </c>
      <c r="B10" s="17">
        <f>SUM(C10:K10)</f>
        <v>46</v>
      </c>
      <c r="C10" s="19">
        <v>2</v>
      </c>
      <c r="D10" s="19">
        <v>4</v>
      </c>
      <c r="E10" s="19">
        <v>20</v>
      </c>
      <c r="F10" s="19">
        <v>15</v>
      </c>
      <c r="G10" s="19">
        <v>5</v>
      </c>
      <c r="H10" s="13"/>
      <c r="I10" s="13"/>
      <c r="J10" s="20"/>
      <c r="K10" s="20"/>
    </row>
    <row r="11" spans="1:11" ht="16.5" thickBot="1" x14ac:dyDescent="0.3">
      <c r="A11" s="16" t="s">
        <v>26</v>
      </c>
      <c r="B11" s="17">
        <f t="shared" ref="B11:B13" si="2">SUM(C11:K11)</f>
        <v>205</v>
      </c>
      <c r="C11" s="13"/>
      <c r="D11" s="13"/>
      <c r="E11" s="13">
        <v>30</v>
      </c>
      <c r="F11" s="19">
        <v>50</v>
      </c>
      <c r="G11" s="19">
        <v>50</v>
      </c>
      <c r="H11" s="19">
        <v>55</v>
      </c>
      <c r="I11" s="19">
        <v>20</v>
      </c>
      <c r="J11" s="20"/>
      <c r="K11" s="20"/>
    </row>
    <row r="12" spans="1:11" ht="16.5" thickBot="1" x14ac:dyDescent="0.3">
      <c r="A12" s="16" t="s">
        <v>3</v>
      </c>
      <c r="B12" s="17">
        <f t="shared" si="2"/>
        <v>55</v>
      </c>
      <c r="C12" s="13"/>
      <c r="D12" s="13"/>
      <c r="E12" s="13"/>
      <c r="F12" s="13">
        <v>20</v>
      </c>
      <c r="G12" s="13">
        <v>10</v>
      </c>
      <c r="H12" s="13">
        <v>10</v>
      </c>
      <c r="I12" s="13">
        <v>15</v>
      </c>
      <c r="J12" s="20"/>
      <c r="K12" s="20"/>
    </row>
    <row r="13" spans="1:11" ht="16.5" thickBot="1" x14ac:dyDescent="0.3">
      <c r="A13" s="16" t="s">
        <v>25</v>
      </c>
      <c r="B13" s="17">
        <f t="shared" si="2"/>
        <v>70</v>
      </c>
      <c r="C13" s="13"/>
      <c r="D13" s="13"/>
      <c r="E13" s="13"/>
      <c r="F13" s="13"/>
      <c r="G13" s="13"/>
      <c r="H13" s="13">
        <v>40</v>
      </c>
      <c r="I13" s="13">
        <v>30</v>
      </c>
      <c r="J13" s="20"/>
      <c r="K13" s="20"/>
    </row>
    <row r="14" spans="1:11" ht="16.5" thickBot="1" x14ac:dyDescent="0.3">
      <c r="A14" s="16" t="s">
        <v>24</v>
      </c>
      <c r="B14" s="17"/>
      <c r="C14" s="13">
        <f>SUM(C10:C13)</f>
        <v>2</v>
      </c>
      <c r="D14" s="13">
        <f t="shared" ref="D14:I14" si="3">SUM(D10:D13)</f>
        <v>4</v>
      </c>
      <c r="E14" s="13">
        <f t="shared" si="3"/>
        <v>50</v>
      </c>
      <c r="F14" s="13">
        <f t="shared" si="3"/>
        <v>85</v>
      </c>
      <c r="G14" s="13">
        <f t="shared" si="3"/>
        <v>65</v>
      </c>
      <c r="H14" s="13">
        <f t="shared" si="3"/>
        <v>105</v>
      </c>
      <c r="I14" s="13">
        <f t="shared" si="3"/>
        <v>65</v>
      </c>
      <c r="J14" s="20"/>
      <c r="K14" s="20"/>
    </row>
    <row r="15" spans="1:11" ht="16.5" thickBot="1" x14ac:dyDescent="0.3">
      <c r="A15" s="11" t="s">
        <v>8</v>
      </c>
      <c r="B15" s="17">
        <f>SUM(B10:B14)</f>
        <v>376</v>
      </c>
      <c r="C15" s="19">
        <f>C14</f>
        <v>2</v>
      </c>
      <c r="D15" s="19">
        <f>D14+C15</f>
        <v>6</v>
      </c>
      <c r="E15" s="19">
        <f t="shared" ref="E15:I15" si="4">E14+D15</f>
        <v>56</v>
      </c>
      <c r="F15" s="19">
        <f t="shared" si="4"/>
        <v>141</v>
      </c>
      <c r="G15" s="19">
        <f t="shared" si="4"/>
        <v>206</v>
      </c>
      <c r="H15" s="19">
        <f t="shared" si="4"/>
        <v>311</v>
      </c>
      <c r="I15" s="19">
        <f t="shared" si="4"/>
        <v>376</v>
      </c>
      <c r="J15" s="20"/>
      <c r="K15" s="20"/>
    </row>
    <row r="16" spans="1:11" ht="16.5" thickBot="1" x14ac:dyDescent="0.3"/>
    <row r="17" spans="1:12" ht="16.5" thickBot="1" x14ac:dyDescent="0.3">
      <c r="A17" s="6"/>
      <c r="B17" s="7"/>
      <c r="C17" s="8">
        <v>1</v>
      </c>
      <c r="D17" s="8">
        <v>2</v>
      </c>
      <c r="E17" s="8">
        <v>3</v>
      </c>
      <c r="F17" s="8">
        <v>4</v>
      </c>
      <c r="G17" s="8">
        <v>5</v>
      </c>
      <c r="H17" s="8">
        <v>6</v>
      </c>
      <c r="I17" s="8">
        <v>7</v>
      </c>
      <c r="J17" s="8">
        <v>8</v>
      </c>
      <c r="K17" s="8">
        <v>9</v>
      </c>
      <c r="L17" s="21" t="s">
        <v>0</v>
      </c>
    </row>
    <row r="18" spans="1:12" ht="16.5" thickBot="1" x14ac:dyDescent="0.3">
      <c r="A18" s="16" t="s">
        <v>27</v>
      </c>
      <c r="B18" s="10"/>
      <c r="C18" s="14">
        <v>0.2</v>
      </c>
      <c r="D18" s="14">
        <v>0.3</v>
      </c>
      <c r="E18" s="14">
        <v>0.65</v>
      </c>
      <c r="F18" s="14">
        <v>0.8</v>
      </c>
      <c r="G18" s="14">
        <v>1</v>
      </c>
      <c r="H18" s="14">
        <v>1</v>
      </c>
      <c r="I18" s="14">
        <v>1</v>
      </c>
      <c r="J18" s="20"/>
      <c r="K18" s="20"/>
      <c r="L18" s="16">
        <v>40</v>
      </c>
    </row>
    <row r="19" spans="1:12" ht="16.5" thickBot="1" x14ac:dyDescent="0.3">
      <c r="A19" s="16" t="s">
        <v>26</v>
      </c>
      <c r="B19" s="10"/>
      <c r="C19" s="15"/>
      <c r="D19" s="15"/>
      <c r="E19" s="14">
        <v>0.05</v>
      </c>
      <c r="F19" s="14">
        <v>0.15</v>
      </c>
      <c r="G19" s="14">
        <v>0.5</v>
      </c>
      <c r="H19" s="14">
        <v>0.75</v>
      </c>
      <c r="I19" s="14">
        <v>0.9</v>
      </c>
      <c r="J19" s="20"/>
      <c r="K19" s="20"/>
      <c r="L19" s="16">
        <v>200</v>
      </c>
    </row>
    <row r="20" spans="1:12" ht="16.5" thickBot="1" x14ac:dyDescent="0.3">
      <c r="A20" s="16" t="s">
        <v>3</v>
      </c>
      <c r="B20" s="10"/>
      <c r="C20" s="15"/>
      <c r="D20" s="15"/>
      <c r="E20" s="15"/>
      <c r="F20" s="14">
        <v>0.2</v>
      </c>
      <c r="G20" s="14">
        <v>0.35</v>
      </c>
      <c r="H20" s="14">
        <v>0.5</v>
      </c>
      <c r="I20" s="14">
        <v>0.8</v>
      </c>
      <c r="J20" s="20"/>
      <c r="K20" s="20"/>
      <c r="L20" s="16">
        <v>70</v>
      </c>
    </row>
    <row r="21" spans="1:12" ht="16.5" thickBot="1" x14ac:dyDescent="0.3">
      <c r="A21" s="16" t="s">
        <v>25</v>
      </c>
      <c r="B21" s="10"/>
      <c r="C21" s="15"/>
      <c r="D21" s="15"/>
      <c r="E21" s="15"/>
      <c r="F21" s="15"/>
      <c r="G21" s="15"/>
      <c r="H21" s="14">
        <v>0.3</v>
      </c>
      <c r="I21" s="14">
        <v>0.55000000000000004</v>
      </c>
      <c r="J21" s="20"/>
      <c r="K21" s="20"/>
      <c r="L21" s="16">
        <v>120</v>
      </c>
    </row>
    <row r="22" spans="1:12" ht="16.5" thickBot="1" x14ac:dyDescent="0.3">
      <c r="L22" s="22">
        <v>430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56CDF-8BA6-48BF-AA3C-B2E55382BD5C}">
  <dimension ref="A1:K14"/>
  <sheetViews>
    <sheetView zoomScale="140" zoomScaleNormal="140" workbookViewId="0">
      <selection activeCell="C9" sqref="C9"/>
    </sheetView>
  </sheetViews>
  <sheetFormatPr defaultRowHeight="15.75" x14ac:dyDescent="0.25"/>
  <cols>
    <col min="1" max="1" width="16" style="9" bestFit="1" customWidth="1"/>
    <col min="2" max="10" width="8.140625" style="9" customWidth="1"/>
    <col min="11" max="14" width="6.42578125" style="9" customWidth="1"/>
    <col min="15" max="16384" width="9.140625" style="9"/>
  </cols>
  <sheetData>
    <row r="1" spans="1:11" ht="16.5" thickBot="1" x14ac:dyDescent="0.3">
      <c r="A1" s="24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</row>
    <row r="2" spans="1:11" ht="16.5" thickBot="1" x14ac:dyDescent="0.3">
      <c r="A2" s="16" t="s">
        <v>1</v>
      </c>
      <c r="B2" s="14">
        <v>0.2</v>
      </c>
      <c r="C2" s="14">
        <v>0.3</v>
      </c>
      <c r="D2" s="14">
        <v>0.65</v>
      </c>
      <c r="E2" s="14">
        <v>0.8</v>
      </c>
      <c r="F2" s="14">
        <v>1</v>
      </c>
      <c r="G2" s="14">
        <v>1</v>
      </c>
      <c r="H2" s="14">
        <v>1</v>
      </c>
      <c r="I2" s="20"/>
      <c r="J2" s="20"/>
    </row>
    <row r="3" spans="1:11" ht="16.5" thickBot="1" x14ac:dyDescent="0.3">
      <c r="A3" s="16" t="s">
        <v>2</v>
      </c>
      <c r="B3" s="15"/>
      <c r="C3" s="15"/>
      <c r="D3" s="14">
        <v>0.05</v>
      </c>
      <c r="E3" s="14">
        <v>0.15</v>
      </c>
      <c r="F3" s="14">
        <v>0.5</v>
      </c>
      <c r="G3" s="14">
        <v>0.75</v>
      </c>
      <c r="H3" s="14">
        <v>0.9</v>
      </c>
      <c r="I3" s="20"/>
      <c r="J3" s="20"/>
    </row>
    <row r="4" spans="1:11" ht="16.5" thickBot="1" x14ac:dyDescent="0.3">
      <c r="A4" s="16" t="s">
        <v>3</v>
      </c>
      <c r="B4" s="15"/>
      <c r="C4" s="15"/>
      <c r="D4" s="15"/>
      <c r="E4" s="14">
        <v>0.2</v>
      </c>
      <c r="F4" s="14">
        <v>0.35</v>
      </c>
      <c r="G4" s="14">
        <v>0.5</v>
      </c>
      <c r="H4" s="14">
        <v>0.8</v>
      </c>
      <c r="I4" s="20"/>
      <c r="J4" s="20"/>
    </row>
    <row r="5" spans="1:11" ht="16.5" thickBot="1" x14ac:dyDescent="0.3">
      <c r="A5" s="16" t="s">
        <v>4</v>
      </c>
      <c r="B5" s="15"/>
      <c r="C5" s="15"/>
      <c r="D5" s="15"/>
      <c r="E5" s="15"/>
      <c r="F5" s="15"/>
      <c r="G5" s="14">
        <v>0.3</v>
      </c>
      <c r="H5" s="14">
        <v>0.55000000000000004</v>
      </c>
      <c r="I5" s="20"/>
      <c r="J5" s="20"/>
    </row>
    <row r="7" spans="1:11" ht="16.5" thickBot="1" x14ac:dyDescent="0.3"/>
    <row r="8" spans="1:11" ht="16.5" thickBot="1" x14ac:dyDescent="0.3">
      <c r="A8" s="24"/>
      <c r="B8" s="25">
        <v>1</v>
      </c>
      <c r="C8" s="25">
        <v>2</v>
      </c>
      <c r="D8" s="25">
        <v>3</v>
      </c>
      <c r="E8" s="25">
        <v>4</v>
      </c>
      <c r="F8" s="25">
        <v>5</v>
      </c>
      <c r="G8" s="25">
        <v>6</v>
      </c>
      <c r="H8" s="25">
        <v>7</v>
      </c>
      <c r="I8" s="25">
        <v>8</v>
      </c>
      <c r="J8" s="25">
        <v>9</v>
      </c>
      <c r="K8" s="26" t="s">
        <v>0</v>
      </c>
    </row>
    <row r="9" spans="1:11" ht="16.5" thickBot="1" x14ac:dyDescent="0.3">
      <c r="A9" s="16" t="s">
        <v>1</v>
      </c>
      <c r="B9" s="28">
        <f t="shared" ref="B9:H9" si="0">B2*$K$9</f>
        <v>8</v>
      </c>
      <c r="C9" s="28">
        <f t="shared" si="0"/>
        <v>12</v>
      </c>
      <c r="D9" s="28">
        <f t="shared" si="0"/>
        <v>26</v>
      </c>
      <c r="E9" s="28">
        <f t="shared" si="0"/>
        <v>32</v>
      </c>
      <c r="F9" s="28">
        <f t="shared" si="0"/>
        <v>40</v>
      </c>
      <c r="G9" s="28">
        <f t="shared" si="0"/>
        <v>40</v>
      </c>
      <c r="H9" s="28">
        <f t="shared" si="0"/>
        <v>40</v>
      </c>
      <c r="I9" s="20"/>
      <c r="J9" s="20"/>
      <c r="K9" s="20">
        <v>40</v>
      </c>
    </row>
    <row r="10" spans="1:11" ht="16.5" thickBot="1" x14ac:dyDescent="0.3">
      <c r="A10" s="16" t="s">
        <v>2</v>
      </c>
      <c r="B10" s="28">
        <f t="shared" ref="B10:H10" si="1">B3*$K$10</f>
        <v>0</v>
      </c>
      <c r="C10" s="28">
        <f t="shared" si="1"/>
        <v>0</v>
      </c>
      <c r="D10" s="28">
        <f t="shared" si="1"/>
        <v>10</v>
      </c>
      <c r="E10" s="28">
        <f t="shared" si="1"/>
        <v>30</v>
      </c>
      <c r="F10" s="28">
        <f t="shared" si="1"/>
        <v>100</v>
      </c>
      <c r="G10" s="28">
        <f t="shared" si="1"/>
        <v>150</v>
      </c>
      <c r="H10" s="28">
        <f t="shared" si="1"/>
        <v>180</v>
      </c>
      <c r="I10" s="20"/>
      <c r="J10" s="20"/>
      <c r="K10" s="20">
        <v>200</v>
      </c>
    </row>
    <row r="11" spans="1:11" ht="16.5" thickBot="1" x14ac:dyDescent="0.3">
      <c r="A11" s="16" t="s">
        <v>3</v>
      </c>
      <c r="B11" s="28">
        <f t="shared" ref="B11:H11" si="2">B4*$K$11</f>
        <v>0</v>
      </c>
      <c r="C11" s="28">
        <f t="shared" si="2"/>
        <v>0</v>
      </c>
      <c r="D11" s="28">
        <f t="shared" si="2"/>
        <v>0</v>
      </c>
      <c r="E11" s="28">
        <f t="shared" si="2"/>
        <v>14</v>
      </c>
      <c r="F11" s="28">
        <f t="shared" si="2"/>
        <v>24.5</v>
      </c>
      <c r="G11" s="28">
        <f t="shared" si="2"/>
        <v>35</v>
      </c>
      <c r="H11" s="28">
        <f t="shared" si="2"/>
        <v>56</v>
      </c>
      <c r="I11" s="20"/>
      <c r="J11" s="20"/>
      <c r="K11" s="20">
        <v>70</v>
      </c>
    </row>
    <row r="12" spans="1:11" ht="16.5" thickBot="1" x14ac:dyDescent="0.3">
      <c r="A12" s="16" t="s">
        <v>4</v>
      </c>
      <c r="B12" s="32">
        <f t="shared" ref="B12:H12" si="3">B5*$K$12</f>
        <v>0</v>
      </c>
      <c r="C12" s="32">
        <f t="shared" si="3"/>
        <v>0</v>
      </c>
      <c r="D12" s="32">
        <f t="shared" si="3"/>
        <v>0</v>
      </c>
      <c r="E12" s="33">
        <f t="shared" si="3"/>
        <v>0</v>
      </c>
      <c r="F12" s="33">
        <f t="shared" si="3"/>
        <v>0</v>
      </c>
      <c r="G12" s="33">
        <f t="shared" si="3"/>
        <v>45</v>
      </c>
      <c r="H12" s="33">
        <f t="shared" si="3"/>
        <v>82.5</v>
      </c>
      <c r="I12" s="20"/>
      <c r="J12" s="20"/>
      <c r="K12" s="20">
        <v>150</v>
      </c>
    </row>
    <row r="13" spans="1:11" ht="16.5" thickBot="1" x14ac:dyDescent="0.3">
      <c r="A13" s="34" t="s">
        <v>22</v>
      </c>
      <c r="B13" s="33">
        <f>SUM(B9:B12)</f>
        <v>8</v>
      </c>
      <c r="C13" s="33">
        <f t="shared" ref="C13:H13" si="4">SUM(C9:C12)</f>
        <v>12</v>
      </c>
      <c r="D13" s="33">
        <f t="shared" si="4"/>
        <v>36</v>
      </c>
      <c r="E13" s="28">
        <f t="shared" si="4"/>
        <v>76</v>
      </c>
      <c r="F13" s="28">
        <f t="shared" si="4"/>
        <v>164.5</v>
      </c>
      <c r="G13" s="28">
        <f t="shared" si="4"/>
        <v>270</v>
      </c>
      <c r="H13" s="28">
        <f t="shared" si="4"/>
        <v>358.5</v>
      </c>
      <c r="I13" s="20"/>
      <c r="J13" s="20"/>
      <c r="K13" s="31"/>
    </row>
    <row r="14" spans="1:11" x14ac:dyDescent="0.25">
      <c r="K14" s="9">
        <v>460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C6E58-0B23-4D92-B0BC-3CE50229BA37}">
  <dimension ref="A1:N22"/>
  <sheetViews>
    <sheetView zoomScaleNormal="100" workbookViewId="0">
      <selection activeCell="B9" sqref="B9"/>
    </sheetView>
  </sheetViews>
  <sheetFormatPr defaultRowHeight="15" x14ac:dyDescent="0.25"/>
  <cols>
    <col min="1" max="1" width="29.42578125" bestFit="1" customWidth="1"/>
    <col min="2" max="2" width="8" bestFit="1" customWidth="1"/>
    <col min="3" max="3" width="13.7109375" bestFit="1" customWidth="1"/>
    <col min="4" max="10" width="9.42578125" bestFit="1" customWidth="1"/>
    <col min="11" max="13" width="9.28515625" bestFit="1" customWidth="1"/>
  </cols>
  <sheetData>
    <row r="1" spans="1:14" ht="15.75" x14ac:dyDescent="0.25">
      <c r="A1" s="9"/>
      <c r="B1" s="9">
        <v>1</v>
      </c>
      <c r="C1" s="9">
        <v>2</v>
      </c>
      <c r="D1" s="9">
        <v>3</v>
      </c>
      <c r="E1" s="9">
        <v>4</v>
      </c>
      <c r="F1" s="9">
        <v>5</v>
      </c>
      <c r="G1" s="9">
        <v>6</v>
      </c>
      <c r="H1" s="9">
        <v>7</v>
      </c>
      <c r="I1" s="9">
        <v>8</v>
      </c>
      <c r="J1" s="9">
        <v>9</v>
      </c>
      <c r="K1" s="9">
        <v>10</v>
      </c>
      <c r="L1" s="9">
        <v>11</v>
      </c>
      <c r="M1" s="9">
        <v>12</v>
      </c>
      <c r="N1" s="9"/>
    </row>
    <row r="2" spans="1:14" ht="15.75" x14ac:dyDescent="0.25">
      <c r="A2" s="9" t="s">
        <v>5</v>
      </c>
      <c r="B2" s="9">
        <v>5</v>
      </c>
      <c r="C2" s="9">
        <v>13</v>
      </c>
      <c r="D2" s="9">
        <v>48</v>
      </c>
      <c r="E2" s="9">
        <v>120</v>
      </c>
      <c r="F2" s="9">
        <v>190</v>
      </c>
      <c r="G2" s="9">
        <v>295</v>
      </c>
      <c r="H2" s="9">
        <v>350</v>
      </c>
      <c r="I2" s="9">
        <v>400</v>
      </c>
      <c r="J2" s="9">
        <v>460</v>
      </c>
      <c r="K2" s="9"/>
      <c r="L2" s="9"/>
      <c r="M2" s="9"/>
    </row>
    <row r="3" spans="1:14" ht="15.75" x14ac:dyDescent="0.25">
      <c r="A3" s="9" t="s">
        <v>8</v>
      </c>
      <c r="B3" s="9">
        <v>2</v>
      </c>
      <c r="C3" s="9">
        <v>6</v>
      </c>
      <c r="D3" s="9">
        <v>56</v>
      </c>
      <c r="E3" s="9">
        <v>141</v>
      </c>
      <c r="F3" s="9">
        <v>206</v>
      </c>
      <c r="G3" s="9">
        <v>311</v>
      </c>
      <c r="H3" s="9">
        <v>376</v>
      </c>
      <c r="I3" s="9"/>
      <c r="J3" s="9"/>
      <c r="K3" s="9"/>
      <c r="L3" s="9"/>
      <c r="M3" s="9"/>
    </row>
    <row r="4" spans="1:14" ht="15.75" x14ac:dyDescent="0.25">
      <c r="A4" s="9" t="s">
        <v>22</v>
      </c>
      <c r="B4" s="36">
        <v>8</v>
      </c>
      <c r="C4" s="36">
        <v>12</v>
      </c>
      <c r="D4" s="36">
        <v>36</v>
      </c>
      <c r="E4" s="36">
        <v>76</v>
      </c>
      <c r="F4" s="36">
        <v>164.5</v>
      </c>
      <c r="G4" s="36">
        <v>270</v>
      </c>
      <c r="H4" s="36">
        <v>358.5</v>
      </c>
      <c r="I4" s="9"/>
      <c r="J4" s="9"/>
      <c r="K4" s="9"/>
      <c r="L4" s="9"/>
      <c r="M4" s="9"/>
      <c r="N4" s="9"/>
    </row>
    <row r="5" spans="1:14" ht="15.75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ht="15.75" x14ac:dyDescent="0.25">
      <c r="A6" s="9" t="s">
        <v>10</v>
      </c>
      <c r="B6" s="30">
        <f>B4/B3</f>
        <v>4</v>
      </c>
      <c r="C6" s="30">
        <f t="shared" ref="C6:H6" si="0">C4/C3</f>
        <v>2</v>
      </c>
      <c r="D6" s="30">
        <f t="shared" si="0"/>
        <v>0.6428571428571429</v>
      </c>
      <c r="E6" s="30">
        <f t="shared" si="0"/>
        <v>0.53900709219858156</v>
      </c>
      <c r="F6" s="30">
        <f t="shared" si="0"/>
        <v>0.79854368932038833</v>
      </c>
      <c r="G6" s="30">
        <f t="shared" si="0"/>
        <v>0.86816720257234725</v>
      </c>
      <c r="H6" s="30">
        <f t="shared" si="0"/>
        <v>0.95345744680851063</v>
      </c>
      <c r="I6" s="30"/>
      <c r="J6" s="30"/>
      <c r="K6" s="9"/>
      <c r="L6" s="9"/>
      <c r="M6" s="9"/>
      <c r="N6" s="9"/>
    </row>
    <row r="7" spans="1:14" ht="15.75" x14ac:dyDescent="0.25">
      <c r="A7" s="9" t="s">
        <v>14</v>
      </c>
      <c r="B7" s="30">
        <f>B4-B3</f>
        <v>6</v>
      </c>
      <c r="C7" s="30">
        <f t="shared" ref="C7:H7" si="1">C4-C3</f>
        <v>6</v>
      </c>
      <c r="D7" s="30">
        <f t="shared" si="1"/>
        <v>-20</v>
      </c>
      <c r="E7" s="30">
        <f t="shared" si="1"/>
        <v>-65</v>
      </c>
      <c r="F7" s="30">
        <f t="shared" si="1"/>
        <v>-41.5</v>
      </c>
      <c r="G7" s="30">
        <f t="shared" si="1"/>
        <v>-41</v>
      </c>
      <c r="H7" s="30">
        <f t="shared" si="1"/>
        <v>-17.5</v>
      </c>
      <c r="I7" s="30"/>
      <c r="J7" s="30"/>
      <c r="K7" s="9"/>
      <c r="L7" s="9"/>
      <c r="M7" s="9"/>
      <c r="N7" s="9"/>
    </row>
    <row r="8" spans="1:14" ht="15.75" x14ac:dyDescent="0.25">
      <c r="A8" s="35" t="s">
        <v>12</v>
      </c>
      <c r="B8" s="30">
        <f>B4/B2</f>
        <v>1.6</v>
      </c>
      <c r="C8" s="30">
        <f t="shared" ref="C8:H8" si="2">C4/C2</f>
        <v>0.92307692307692313</v>
      </c>
      <c r="D8" s="30">
        <f t="shared" si="2"/>
        <v>0.75</v>
      </c>
      <c r="E8" s="30">
        <f t="shared" si="2"/>
        <v>0.6333333333333333</v>
      </c>
      <c r="F8" s="30">
        <f t="shared" si="2"/>
        <v>0.86578947368421055</v>
      </c>
      <c r="G8" s="30">
        <f t="shared" si="2"/>
        <v>0.9152542372881356</v>
      </c>
      <c r="H8" s="30">
        <f t="shared" si="2"/>
        <v>1.0242857142857142</v>
      </c>
      <c r="I8" s="30"/>
      <c r="J8" s="30"/>
      <c r="K8" s="9"/>
      <c r="L8" s="9"/>
      <c r="M8" s="9"/>
      <c r="N8" s="9"/>
    </row>
    <row r="9" spans="1:14" ht="15.75" x14ac:dyDescent="0.25">
      <c r="A9" s="35" t="s">
        <v>19</v>
      </c>
      <c r="B9" s="30">
        <f>B4-B2</f>
        <v>3</v>
      </c>
      <c r="C9" s="30">
        <f t="shared" ref="C9:H9" si="3">C4-C2</f>
        <v>-1</v>
      </c>
      <c r="D9" s="30">
        <f t="shared" si="3"/>
        <v>-12</v>
      </c>
      <c r="E9" s="30">
        <f t="shared" si="3"/>
        <v>-44</v>
      </c>
      <c r="F9" s="30">
        <f t="shared" si="3"/>
        <v>-25.5</v>
      </c>
      <c r="G9" s="30">
        <f t="shared" si="3"/>
        <v>-25</v>
      </c>
      <c r="H9" s="30">
        <f t="shared" si="3"/>
        <v>8.5</v>
      </c>
      <c r="I9" s="30"/>
      <c r="J9" s="30"/>
      <c r="K9" s="9"/>
      <c r="L9" s="9"/>
      <c r="M9" s="9"/>
      <c r="N9" s="9"/>
    </row>
    <row r="10" spans="1:14" ht="15.75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9"/>
      <c r="M10" s="9"/>
      <c r="N10" s="9"/>
    </row>
    <row r="12" spans="1:14" ht="21" x14ac:dyDescent="0.35">
      <c r="A12" s="1" t="s">
        <v>9</v>
      </c>
      <c r="B12" s="1"/>
      <c r="C12" s="1"/>
    </row>
    <row r="13" spans="1:14" ht="21" x14ac:dyDescent="0.35">
      <c r="A13" s="1"/>
      <c r="B13" s="1"/>
      <c r="C13" s="1"/>
    </row>
    <row r="14" spans="1:14" ht="21" x14ac:dyDescent="0.35">
      <c r="A14" s="3" t="s">
        <v>15</v>
      </c>
      <c r="B14" s="2" t="s">
        <v>10</v>
      </c>
      <c r="C14" s="2" t="s">
        <v>11</v>
      </c>
    </row>
    <row r="15" spans="1:14" ht="21" x14ac:dyDescent="0.35">
      <c r="A15" s="3" t="s">
        <v>16</v>
      </c>
      <c r="B15" s="2" t="s">
        <v>12</v>
      </c>
      <c r="C15" s="2" t="s">
        <v>13</v>
      </c>
    </row>
    <row r="16" spans="1:14" ht="21" x14ac:dyDescent="0.35">
      <c r="A16" s="3" t="s">
        <v>17</v>
      </c>
      <c r="B16" s="2" t="s">
        <v>14</v>
      </c>
      <c r="C16" s="2" t="s">
        <v>20</v>
      </c>
    </row>
    <row r="17" spans="1:8" ht="21" x14ac:dyDescent="0.35">
      <c r="A17" s="3" t="s">
        <v>18</v>
      </c>
      <c r="B17" s="2" t="s">
        <v>19</v>
      </c>
      <c r="C17" s="2" t="s">
        <v>21</v>
      </c>
    </row>
    <row r="18" spans="1:8" x14ac:dyDescent="0.25">
      <c r="E18" s="4"/>
      <c r="F18" s="4"/>
    </row>
    <row r="19" spans="1:8" x14ac:dyDescent="0.25">
      <c r="F19" s="4"/>
      <c r="H19" s="4"/>
    </row>
    <row r="20" spans="1:8" x14ac:dyDescent="0.25">
      <c r="F20" s="5"/>
      <c r="H20" s="4"/>
    </row>
    <row r="21" spans="1:8" x14ac:dyDescent="0.25">
      <c r="F21" s="4"/>
      <c r="H21" s="5"/>
    </row>
    <row r="22" spans="1:8" x14ac:dyDescent="0.25">
      <c r="H22" s="4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Scenario 1</vt:lpstr>
      <vt:lpstr>Scenario 1 - Earned Value Calc</vt:lpstr>
      <vt:lpstr>Scenario 1 - Solution</vt:lpstr>
      <vt:lpstr>Equations</vt:lpstr>
      <vt:lpstr>Scenario 2</vt:lpstr>
      <vt:lpstr>Scenario 2 - Earned Value C</vt:lpstr>
      <vt:lpstr>Scenario 2 - Solution </vt:lpstr>
    </vt:vector>
  </TitlesOfParts>
  <Company>CPUT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solly</cp:lastModifiedBy>
  <dcterms:created xsi:type="dcterms:W3CDTF">2019-04-25T07:09:14Z</dcterms:created>
  <dcterms:modified xsi:type="dcterms:W3CDTF">2019-05-29T16:32:09Z</dcterms:modified>
</cp:coreProperties>
</file>