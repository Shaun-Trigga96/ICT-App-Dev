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ly\Desktop\2019 CPUT\Project Management 3 - Leopoldt Small\"/>
    </mc:Choice>
  </mc:AlternateContent>
  <xr:revisionPtr revIDLastSave="0" documentId="10_ncr:0_{E78B8080-EB42-40E5-88DF-F9BA394B363E}" xr6:coauthVersionLast="40" xr6:coauthVersionMax="40" xr10:uidLastSave="{00000000-0000-0000-0000-000000000000}"/>
  <bookViews>
    <workbookView xWindow="-120" yWindow="-120" windowWidth="20730" windowHeight="11160" xr2:uid="{81CE6F37-A3B0-482D-B1C6-A8FD7B0A1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2" i="1"/>
  <c r="F9" i="1"/>
  <c r="D17" i="1"/>
  <c r="E17" i="1"/>
  <c r="E13" i="1"/>
  <c r="E14" i="1"/>
  <c r="E15" i="1"/>
  <c r="E16" i="1"/>
  <c r="E12" i="1"/>
  <c r="C17" i="1"/>
  <c r="B17" i="1"/>
  <c r="F7" i="1"/>
  <c r="F8" i="1"/>
  <c r="F5" i="1"/>
  <c r="F6" i="1"/>
  <c r="F4" i="1"/>
  <c r="E4" i="1"/>
  <c r="C9" i="1"/>
  <c r="E9" i="1"/>
  <c r="E5" i="1"/>
  <c r="E6" i="1"/>
  <c r="E7" i="1"/>
  <c r="E8" i="1"/>
  <c r="D9" i="1"/>
  <c r="B9" i="1"/>
</calcChain>
</file>

<file path=xl/sharedStrings.xml><?xml version="1.0" encoding="utf-8"?>
<sst xmlns="http://schemas.openxmlformats.org/spreadsheetml/2006/main" count="13" uniqueCount="9">
  <si>
    <t>Problem</t>
  </si>
  <si>
    <t>Period</t>
  </si>
  <si>
    <t>Anticipated Savings/Income</t>
  </si>
  <si>
    <t>Project Cost</t>
  </si>
  <si>
    <t>Future Value(FV)</t>
  </si>
  <si>
    <t>PV</t>
  </si>
  <si>
    <t>Rate of Return</t>
  </si>
  <si>
    <t>Option 2 Rented Software</t>
  </si>
  <si>
    <t>Option1 Built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</si>
</sst>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-[$R-1C09]* #,##0.00_-;\-[$R-1C09]* #,##0.00_-;_-[$R-1C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7" fontId="0" fillId="0" borderId="0" xfId="1" applyNumberFormat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1403-9A0D-4F00-8D44-BFE1251566D6}">
  <dimension ref="A1:F17"/>
  <sheetViews>
    <sheetView tabSelected="1" zoomScaleNormal="100" workbookViewId="0">
      <selection activeCell="G17" sqref="G17"/>
    </sheetView>
  </sheetViews>
  <sheetFormatPr defaultRowHeight="15" x14ac:dyDescent="0.25"/>
  <cols>
    <col min="1" max="1" width="27.5703125" customWidth="1"/>
    <col min="2" max="2" width="27.42578125" customWidth="1"/>
    <col min="3" max="3" width="18" customWidth="1"/>
    <col min="4" max="4" width="19.140625" customWidth="1"/>
    <col min="5" max="5" width="20" customWidth="1"/>
    <col min="6" max="6" width="27.42578125" customWidth="1"/>
  </cols>
  <sheetData>
    <row r="1" spans="1:6" x14ac:dyDescent="0.25">
      <c r="A1" s="1" t="s">
        <v>0</v>
      </c>
    </row>
    <row r="2" spans="1:6" x14ac:dyDescent="0.25">
      <c r="A2" t="s">
        <v>8</v>
      </c>
      <c r="E2" t="s">
        <v>6</v>
      </c>
    </row>
    <row r="3" spans="1:6" x14ac:dyDescent="0.25">
      <c r="A3" t="s">
        <v>1</v>
      </c>
      <c r="B3" s="1" t="s">
        <v>2</v>
      </c>
      <c r="C3" s="1" t="s">
        <v>3</v>
      </c>
      <c r="D3" s="1" t="s">
        <v>4</v>
      </c>
      <c r="F3" s="1" t="s">
        <v>5</v>
      </c>
    </row>
    <row r="4" spans="1:6" x14ac:dyDescent="0.25">
      <c r="A4">
        <v>0</v>
      </c>
      <c r="B4" s="2"/>
      <c r="C4" s="2">
        <v>250000</v>
      </c>
      <c r="D4" s="2">
        <v>-250000</v>
      </c>
      <c r="E4" s="2">
        <f>NPV(0.1,D4)</f>
        <v>-227272.72727272726</v>
      </c>
      <c r="F4" s="2">
        <f>PV(0.1,5,C4,D4,1)</f>
        <v>-887236.03082253516</v>
      </c>
    </row>
    <row r="5" spans="1:6" x14ac:dyDescent="0.25">
      <c r="A5">
        <v>1</v>
      </c>
      <c r="B5" s="2">
        <v>40000</v>
      </c>
      <c r="C5" s="2">
        <v>30000</v>
      </c>
      <c r="D5" s="2">
        <v>10000</v>
      </c>
      <c r="E5" s="2">
        <f>NPV(0.1,D5)</f>
        <v>9090.9090909090901</v>
      </c>
      <c r="F5" s="2">
        <f t="shared" ref="F5:F9" si="0">PV(0.1,5,C5,D5,1)</f>
        <v>-131305.17662107042</v>
      </c>
    </row>
    <row r="6" spans="1:6" x14ac:dyDescent="0.25">
      <c r="A6">
        <v>2</v>
      </c>
      <c r="B6" s="2">
        <v>80000</v>
      </c>
      <c r="C6" s="2">
        <v>5000</v>
      </c>
      <c r="D6" s="2">
        <v>75000</v>
      </c>
      <c r="E6" s="2">
        <f>NPV(0.1,D6)</f>
        <v>68181.818181818177</v>
      </c>
      <c r="F6" s="2">
        <f t="shared" si="0"/>
        <v>-67418.426461183102</v>
      </c>
    </row>
    <row r="7" spans="1:6" x14ac:dyDescent="0.25">
      <c r="A7">
        <v>3</v>
      </c>
      <c r="B7" s="2">
        <v>160000</v>
      </c>
      <c r="C7" s="2">
        <v>5000</v>
      </c>
      <c r="D7" s="2">
        <v>155000</v>
      </c>
      <c r="E7" s="2">
        <f>NPV(0.1,D7)</f>
        <v>140909.09090909091</v>
      </c>
      <c r="F7" s="2">
        <f>PV(0.1,5,C7,D7,1)</f>
        <v>-117092.13230591551</v>
      </c>
    </row>
    <row r="8" spans="1:6" x14ac:dyDescent="0.25">
      <c r="A8">
        <v>4</v>
      </c>
      <c r="B8" s="2">
        <v>200000</v>
      </c>
      <c r="C8" s="2">
        <v>5000</v>
      </c>
      <c r="D8" s="2">
        <v>195000</v>
      </c>
      <c r="E8" s="2">
        <f>NPV(0.1,D8)</f>
        <v>177272.72727272726</v>
      </c>
      <c r="F8" s="2">
        <f t="shared" si="0"/>
        <v>-141928.9852282817</v>
      </c>
    </row>
    <row r="9" spans="1:6" x14ac:dyDescent="0.25">
      <c r="B9" s="2">
        <f>SUM(B5:B8)</f>
        <v>480000</v>
      </c>
      <c r="C9" s="2">
        <f>SUM(C4:C8)</f>
        <v>295000</v>
      </c>
      <c r="D9" s="2">
        <f>SUM(D5:D8)</f>
        <v>435000</v>
      </c>
      <c r="E9" s="2">
        <f>SUM(E5:E8)</f>
        <v>395454.54545454541</v>
      </c>
      <c r="F9" s="2">
        <f t="shared" si="0"/>
        <v>-1500211.0822037747</v>
      </c>
    </row>
    <row r="11" spans="1:6" x14ac:dyDescent="0.25">
      <c r="A11" t="s">
        <v>7</v>
      </c>
      <c r="B11" s="1" t="s">
        <v>2</v>
      </c>
      <c r="C11" s="1" t="s">
        <v>3</v>
      </c>
      <c r="D11" s="1" t="s">
        <v>4</v>
      </c>
      <c r="F11" s="1" t="s">
        <v>5</v>
      </c>
    </row>
    <row r="12" spans="1:6" x14ac:dyDescent="0.25">
      <c r="A12">
        <v>0</v>
      </c>
      <c r="B12" s="3">
        <v>45000</v>
      </c>
      <c r="C12" s="3">
        <v>60000</v>
      </c>
      <c r="D12" s="3">
        <v>-15000</v>
      </c>
      <c r="E12" s="3">
        <f>NPV(0.05,D12)</f>
        <v>-14285.714285714284</v>
      </c>
      <c r="F12" s="3">
        <f>PV(0.05,5,C12,D12,2)</f>
        <v>-261004.13775271483</v>
      </c>
    </row>
    <row r="13" spans="1:6" x14ac:dyDescent="0.25">
      <c r="A13">
        <v>1</v>
      </c>
      <c r="B13" s="3">
        <v>60000</v>
      </c>
      <c r="C13" s="3">
        <v>60000</v>
      </c>
      <c r="D13" s="3">
        <v>0</v>
      </c>
      <c r="E13" s="3">
        <f t="shared" ref="E13:E16" si="1">NPV(0.05,D13)</f>
        <v>0</v>
      </c>
      <c r="F13" s="3">
        <f t="shared" ref="F13:F17" si="2">PV(0.05,5,C13,D13,2)</f>
        <v>-272757.03024974174</v>
      </c>
    </row>
    <row r="14" spans="1:6" x14ac:dyDescent="0.25">
      <c r="A14">
        <v>2</v>
      </c>
      <c r="B14" s="3">
        <v>100000</v>
      </c>
      <c r="C14" s="3">
        <v>60000</v>
      </c>
      <c r="D14" s="3">
        <v>40000</v>
      </c>
      <c r="E14" s="3">
        <f t="shared" si="1"/>
        <v>38095.238095238092</v>
      </c>
      <c r="F14" s="3">
        <f t="shared" si="2"/>
        <v>-304098.07690848008</v>
      </c>
    </row>
    <row r="15" spans="1:6" x14ac:dyDescent="0.25">
      <c r="A15">
        <v>3</v>
      </c>
      <c r="B15" s="3">
        <v>125000</v>
      </c>
      <c r="C15" s="3">
        <v>60000</v>
      </c>
      <c r="D15" s="3">
        <v>65000</v>
      </c>
      <c r="E15" s="3">
        <f t="shared" si="1"/>
        <v>61904.761904761901</v>
      </c>
      <c r="F15" s="3">
        <f t="shared" si="2"/>
        <v>-323686.23107019154</v>
      </c>
    </row>
    <row r="16" spans="1:6" x14ac:dyDescent="0.25">
      <c r="A16">
        <v>4</v>
      </c>
      <c r="B16" s="3">
        <v>150000</v>
      </c>
      <c r="C16" s="3">
        <v>60000</v>
      </c>
      <c r="D16" s="3">
        <v>90000</v>
      </c>
      <c r="E16" s="3">
        <f t="shared" si="1"/>
        <v>85714.28571428571</v>
      </c>
      <c r="F16" s="3">
        <f t="shared" si="2"/>
        <v>-343274.385231903</v>
      </c>
    </row>
    <row r="17" spans="2:6" x14ac:dyDescent="0.25">
      <c r="B17" s="3">
        <f>SUM(B12:B16)</f>
        <v>480000</v>
      </c>
      <c r="C17" s="3">
        <f>SUM(C12:C16)</f>
        <v>300000</v>
      </c>
      <c r="D17" s="3">
        <f t="shared" ref="D17:E17" si="3">SUM(D12:D16)</f>
        <v>180000</v>
      </c>
      <c r="E17" s="3">
        <f t="shared" si="3"/>
        <v>171428.57142857142</v>
      </c>
      <c r="F17" s="3">
        <f t="shared" si="2"/>
        <v>-1504819.8612130312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solly</dc:creator>
  <cp:lastModifiedBy>solly</cp:lastModifiedBy>
  <dcterms:created xsi:type="dcterms:W3CDTF">2019-02-11T19:43:30Z</dcterms:created>
  <dcterms:modified xsi:type="dcterms:W3CDTF">2019-02-11T21:32:54Z</dcterms:modified>
</cp:coreProperties>
</file>