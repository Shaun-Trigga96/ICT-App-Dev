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CPUT\2019\2019 - Project Management 3\Tutorials\NPV\"/>
    </mc:Choice>
  </mc:AlternateContent>
  <xr:revisionPtr revIDLastSave="0" documentId="13_ncr:1_{0A14C5E4-4422-4DE5-8A4E-9416EE4D6A53}" xr6:coauthVersionLast="40" xr6:coauthVersionMax="40" xr10:uidLastSave="{00000000-0000-0000-0000-000000000000}"/>
  <bookViews>
    <workbookView xWindow="-120" yWindow="-120" windowWidth="21840" windowHeight="13140" activeTab="3" xr2:uid="{00000000-000D-0000-FFFF-FFFF00000000}"/>
  </bookViews>
  <sheets>
    <sheet name="NPV Prob 1" sheetId="1" r:id="rId1"/>
    <sheet name="NPV Prob 2" sheetId="5" r:id="rId2"/>
    <sheet name="NPV Prob 3" sheetId="6" r:id="rId3"/>
    <sheet name="NPV Prob 4" sheetId="7" r:id="rId4"/>
  </sheets>
  <calcPr calcId="191029"/>
</workbook>
</file>

<file path=xl/calcChain.xml><?xml version="1.0" encoding="utf-8"?>
<calcChain xmlns="http://schemas.openxmlformats.org/spreadsheetml/2006/main">
  <c r="F33" i="7" l="1"/>
  <c r="E33" i="7"/>
  <c r="D33" i="7"/>
  <c r="C33" i="7"/>
  <c r="B33" i="7"/>
  <c r="F32" i="7"/>
  <c r="F34" i="7" s="1"/>
  <c r="F35" i="7" s="1"/>
  <c r="E32" i="7"/>
  <c r="E34" i="7" s="1"/>
  <c r="E35" i="7" s="1"/>
  <c r="D32" i="7"/>
  <c r="D34" i="7" s="1"/>
  <c r="D35" i="7" s="1"/>
  <c r="C32" i="7"/>
  <c r="B32" i="7"/>
  <c r="B34" i="7" s="1"/>
  <c r="A31" i="7"/>
  <c r="F26" i="7"/>
  <c r="E26" i="7"/>
  <c r="D26" i="7"/>
  <c r="C26" i="7"/>
  <c r="G26" i="7" s="1"/>
  <c r="B26" i="7"/>
  <c r="F25" i="7"/>
  <c r="F27" i="7" s="1"/>
  <c r="F28" i="7" s="1"/>
  <c r="E25" i="7"/>
  <c r="E27" i="7" s="1"/>
  <c r="E28" i="7" s="1"/>
  <c r="D25" i="7"/>
  <c r="C25" i="7"/>
  <c r="B25" i="7"/>
  <c r="B27" i="7" s="1"/>
  <c r="A23" i="7"/>
  <c r="C18" i="7"/>
  <c r="B18" i="7"/>
  <c r="C9" i="7"/>
  <c r="B9" i="7"/>
  <c r="C18" i="6"/>
  <c r="B18" i="6"/>
  <c r="C9" i="6"/>
  <c r="B9" i="6"/>
  <c r="F33" i="6"/>
  <c r="E33" i="6"/>
  <c r="D33" i="6"/>
  <c r="C33" i="6"/>
  <c r="B33" i="6"/>
  <c r="F32" i="6"/>
  <c r="F34" i="6" s="1"/>
  <c r="F35" i="6" s="1"/>
  <c r="E32" i="6"/>
  <c r="D32" i="6"/>
  <c r="D34" i="6" s="1"/>
  <c r="D35" i="6" s="1"/>
  <c r="C32" i="6"/>
  <c r="C34" i="6" s="1"/>
  <c r="C35" i="6" s="1"/>
  <c r="B32" i="6"/>
  <c r="B34" i="6" s="1"/>
  <c r="A31" i="6"/>
  <c r="F26" i="6"/>
  <c r="E26" i="6"/>
  <c r="D26" i="6"/>
  <c r="C26" i="6"/>
  <c r="B26" i="6"/>
  <c r="F25" i="6"/>
  <c r="E25" i="6"/>
  <c r="E27" i="6" s="1"/>
  <c r="E28" i="6" s="1"/>
  <c r="D25" i="6"/>
  <c r="D27" i="6" s="1"/>
  <c r="D28" i="6" s="1"/>
  <c r="C25" i="6"/>
  <c r="C27" i="6" s="1"/>
  <c r="C28" i="6" s="1"/>
  <c r="B25" i="6"/>
  <c r="A23" i="6"/>
  <c r="F33" i="5"/>
  <c r="E33" i="5"/>
  <c r="D33" i="5"/>
  <c r="C33" i="5"/>
  <c r="B33" i="5"/>
  <c r="G33" i="5" s="1"/>
  <c r="G32" i="5"/>
  <c r="F32" i="5"/>
  <c r="F34" i="5" s="1"/>
  <c r="F35" i="5" s="1"/>
  <c r="E32" i="5"/>
  <c r="E34" i="5" s="1"/>
  <c r="E35" i="5" s="1"/>
  <c r="D32" i="5"/>
  <c r="D34" i="5" s="1"/>
  <c r="D35" i="5" s="1"/>
  <c r="C32" i="5"/>
  <c r="C34" i="5" s="1"/>
  <c r="C35" i="5" s="1"/>
  <c r="B32" i="5"/>
  <c r="B34" i="5" s="1"/>
  <c r="A31" i="5"/>
  <c r="G26" i="5"/>
  <c r="F26" i="5"/>
  <c r="E26" i="5"/>
  <c r="D26" i="5"/>
  <c r="C26" i="5"/>
  <c r="B26" i="5"/>
  <c r="F25" i="5"/>
  <c r="F27" i="5" s="1"/>
  <c r="F28" i="5" s="1"/>
  <c r="E25" i="5"/>
  <c r="E27" i="5" s="1"/>
  <c r="E28" i="5" s="1"/>
  <c r="D25" i="5"/>
  <c r="D27" i="5" s="1"/>
  <c r="D28" i="5" s="1"/>
  <c r="C25" i="5"/>
  <c r="C27" i="5" s="1"/>
  <c r="C28" i="5" s="1"/>
  <c r="B25" i="5"/>
  <c r="B27" i="5" s="1"/>
  <c r="A23" i="5"/>
  <c r="D36" i="1"/>
  <c r="E36" i="1"/>
  <c r="F36" i="1" s="1"/>
  <c r="C36" i="1"/>
  <c r="B36" i="1"/>
  <c r="G35" i="1"/>
  <c r="C35" i="1"/>
  <c r="D35" i="1"/>
  <c r="E35" i="1"/>
  <c r="F35" i="1"/>
  <c r="B35" i="1"/>
  <c r="G34" i="1"/>
  <c r="C34" i="1"/>
  <c r="D34" i="1"/>
  <c r="E34" i="1"/>
  <c r="F34" i="1"/>
  <c r="B34" i="1"/>
  <c r="G33" i="1"/>
  <c r="F33" i="1"/>
  <c r="E33" i="1"/>
  <c r="D33" i="1"/>
  <c r="C33" i="1"/>
  <c r="B33" i="1"/>
  <c r="G32" i="1"/>
  <c r="F32" i="1"/>
  <c r="E32" i="1"/>
  <c r="D32" i="1"/>
  <c r="C32" i="1"/>
  <c r="B32" i="1"/>
  <c r="G28" i="1"/>
  <c r="C28" i="1"/>
  <c r="B28" i="1"/>
  <c r="B29" i="1" s="1"/>
  <c r="F28" i="1"/>
  <c r="E28" i="1"/>
  <c r="D28" i="1"/>
  <c r="G26" i="1"/>
  <c r="G27" i="1"/>
  <c r="C27" i="1"/>
  <c r="D27" i="1"/>
  <c r="E27" i="1"/>
  <c r="F27" i="1"/>
  <c r="B27" i="1"/>
  <c r="G25" i="1"/>
  <c r="F26" i="1"/>
  <c r="E26" i="1"/>
  <c r="C26" i="1"/>
  <c r="D26" i="1"/>
  <c r="F25" i="1"/>
  <c r="E25" i="1"/>
  <c r="D25" i="1"/>
  <c r="C25" i="1"/>
  <c r="B25" i="1"/>
  <c r="B26" i="1"/>
  <c r="A31" i="1"/>
  <c r="A23" i="1"/>
  <c r="C34" i="7" l="1"/>
  <c r="C35" i="7" s="1"/>
  <c r="G32" i="7"/>
  <c r="G33" i="7"/>
  <c r="C27" i="7"/>
  <c r="C28" i="7" s="1"/>
  <c r="D27" i="7"/>
  <c r="D28" i="7" s="1"/>
  <c r="B35" i="7"/>
  <c r="G34" i="7"/>
  <c r="B28" i="7"/>
  <c r="G27" i="7"/>
  <c r="G25" i="7"/>
  <c r="G33" i="6"/>
  <c r="E34" i="6"/>
  <c r="E35" i="6" s="1"/>
  <c r="G26" i="6"/>
  <c r="G25" i="6"/>
  <c r="F27" i="6"/>
  <c r="F28" i="6" s="1"/>
  <c r="B35" i="6"/>
  <c r="G34" i="6"/>
  <c r="G32" i="6"/>
  <c r="B27" i="6"/>
  <c r="B35" i="5"/>
  <c r="G34" i="5"/>
  <c r="B28" i="5"/>
  <c r="G27" i="5"/>
  <c r="G25" i="5"/>
  <c r="C29" i="1"/>
  <c r="D29" i="1" s="1"/>
  <c r="E29" i="1" s="1"/>
  <c r="F29" i="1" s="1"/>
  <c r="B29" i="7" l="1"/>
  <c r="C29" i="7" s="1"/>
  <c r="D29" i="7" s="1"/>
  <c r="E29" i="7" s="1"/>
  <c r="F29" i="7" s="1"/>
  <c r="G28" i="7"/>
  <c r="B36" i="7"/>
  <c r="C36" i="7" s="1"/>
  <c r="D36" i="7" s="1"/>
  <c r="E36" i="7" s="1"/>
  <c r="F36" i="7" s="1"/>
  <c r="G35" i="7"/>
  <c r="B28" i="6"/>
  <c r="G27" i="6"/>
  <c r="B36" i="6"/>
  <c r="C36" i="6" s="1"/>
  <c r="D36" i="6" s="1"/>
  <c r="E36" i="6" s="1"/>
  <c r="F36" i="6" s="1"/>
  <c r="G35" i="6"/>
  <c r="G28" i="5"/>
  <c r="B29" i="5"/>
  <c r="C29" i="5" s="1"/>
  <c r="D29" i="5" s="1"/>
  <c r="E29" i="5" s="1"/>
  <c r="F29" i="5" s="1"/>
  <c r="B36" i="5"/>
  <c r="C36" i="5" s="1"/>
  <c r="D36" i="5" s="1"/>
  <c r="E36" i="5" s="1"/>
  <c r="F36" i="5" s="1"/>
  <c r="G35" i="5"/>
  <c r="B29" i="6" l="1"/>
  <c r="C29" i="6" s="1"/>
  <c r="D29" i="6" s="1"/>
  <c r="E29" i="6" s="1"/>
  <c r="F29" i="6" s="1"/>
  <c r="G28" i="6"/>
</calcChain>
</file>

<file path=xl/sharedStrings.xml><?xml version="1.0" encoding="utf-8"?>
<sst xmlns="http://schemas.openxmlformats.org/spreadsheetml/2006/main" count="96" uniqueCount="14">
  <si>
    <t>Project Cost</t>
  </si>
  <si>
    <t>Anticipated Savings/Income</t>
  </si>
  <si>
    <t>Period</t>
  </si>
  <si>
    <t>PROBLEM</t>
  </si>
  <si>
    <t>Net Present Value</t>
  </si>
  <si>
    <t>Present Value</t>
  </si>
  <si>
    <t>Future Value</t>
  </si>
  <si>
    <t>SOLUTION</t>
  </si>
  <si>
    <t>OPTION 1 (Build)</t>
  </si>
  <si>
    <t>OPTION 2 (Rent)</t>
  </si>
  <si>
    <t>TOTALS</t>
  </si>
  <si>
    <t>&gt;&gt; Period (n)</t>
  </si>
  <si>
    <t>Rate of Return (r)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</si>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</sst>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&quot;* #,##0.00_);_(&quot;R&quot;* \(#,##0.00\);_(&quot;R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2" fillId="0" borderId="0" xfId="0" applyFont="1"/>
    <xf numFmtId="9" fontId="0" fillId="2" borderId="0" xfId="0" applyNumberFormat="1" applyFill="1"/>
    <xf numFmtId="9" fontId="4" fillId="2" borderId="0" xfId="0" applyNumberFormat="1" applyFont="1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/>
    <xf numFmtId="164" fontId="0" fillId="3" borderId="0" xfId="0" applyNumberFormat="1" applyFill="1"/>
    <xf numFmtId="164" fontId="0" fillId="3" borderId="0" xfId="1" applyFont="1" applyFill="1"/>
    <xf numFmtId="0" fontId="2" fillId="3" borderId="0" xfId="0" applyFont="1" applyFill="1"/>
    <xf numFmtId="164" fontId="2" fillId="3" borderId="0" xfId="0" applyNumberFormat="1" applyFont="1" applyFill="1"/>
    <xf numFmtId="164" fontId="2" fillId="3" borderId="0" xfId="1" applyFont="1" applyFill="1"/>
    <xf numFmtId="0" fontId="4" fillId="2" borderId="0" xfId="0" applyFont="1" applyFill="1"/>
    <xf numFmtId="0" fontId="0" fillId="0" borderId="0" xfId="0" applyAlignment="1">
      <alignment horizontal="right"/>
    </xf>
    <xf numFmtId="0" fontId="4" fillId="0" borderId="0" xfId="0" applyFont="1"/>
    <xf numFmtId="164" fontId="4" fillId="0" borderId="0" xfId="0" applyNumberFormat="1" applyFont="1"/>
    <xf numFmtId="164" fontId="3" fillId="0" borderId="0" xfId="0" applyNumberFormat="1" applyFont="1"/>
    <xf numFmtId="164" fontId="0" fillId="0" borderId="0" xfId="0" applyNumberFormat="1" applyFont="1"/>
    <xf numFmtId="164" fontId="4" fillId="2" borderId="0" xfId="0" applyNumberFormat="1" applyFont="1" applyFill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87313</xdr:colOff>
      <xdr:row>7</xdr:row>
      <xdr:rowOff>142876</xdr:rowOff>
    </xdr:from>
    <xdr:to>
      <xdr:col>5</xdr:col>
      <xdr:colOff>894080</xdr:colOff>
      <xdr:row>11</xdr:row>
      <xdr:rowOff>57151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683251" y="1476376"/>
              <a:ext cx="1719579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𝑃𝑉</m:t>
                    </m:r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𝐹𝑉</m:t>
                        </m:r>
                      </m:num>
                      <m:den>
                        <m:sSup>
                          <m:sSupPr>
                            <m:ctrlP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</m:ctrlPr>
                          </m:sSupPr>
                          <m:e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(1+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𝑟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683251" y="1476376"/>
              <a:ext cx="1719579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ZA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𝑃𝑉=𝐹𝑉/〖(1+𝑟)〗^𝑛 </a:t>
              </a:r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87313</xdr:colOff>
      <xdr:row>7</xdr:row>
      <xdr:rowOff>142876</xdr:rowOff>
    </xdr:from>
    <xdr:to>
      <xdr:col>5</xdr:col>
      <xdr:colOff>894080</xdr:colOff>
      <xdr:row>11</xdr:row>
      <xdr:rowOff>57151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F5E65952-EBBF-4FDF-BCB4-C1936F16BF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4238" y="1476376"/>
              <a:ext cx="1721167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𝑃𝑉</m:t>
                    </m:r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𝐹𝑉</m:t>
                        </m:r>
                      </m:num>
                      <m:den>
                        <m:sSup>
                          <m:sSupPr>
                            <m:ctrlP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</m:ctrlPr>
                          </m:sSupPr>
                          <m:e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(1+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𝑟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F5E65952-EBBF-4FDF-BCB4-C1936F16BF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4238" y="1476376"/>
              <a:ext cx="1721167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ZA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𝑃𝑉=𝐹𝑉/〖(1+𝑟)〗^𝑛 </a:t>
              </a:r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87313</xdr:colOff>
      <xdr:row>7</xdr:row>
      <xdr:rowOff>142876</xdr:rowOff>
    </xdr:from>
    <xdr:to>
      <xdr:col>5</xdr:col>
      <xdr:colOff>894080</xdr:colOff>
      <xdr:row>11</xdr:row>
      <xdr:rowOff>57151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EAF672AA-2DC1-461A-B321-47BC5A2056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4238" y="1476376"/>
              <a:ext cx="1721167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𝑃𝑉</m:t>
                    </m:r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𝐹𝑉</m:t>
                        </m:r>
                      </m:num>
                      <m:den>
                        <m:sSup>
                          <m:sSupPr>
                            <m:ctrlP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</m:ctrlPr>
                          </m:sSupPr>
                          <m:e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(1+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𝑟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EAF672AA-2DC1-461A-B321-47BC5A205633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4238" y="1476376"/>
              <a:ext cx="1721167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ZA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𝑃𝑉=𝐹𝑉/〖(1+𝑟)〗^𝑛 </a:t>
              </a:r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87313</xdr:colOff>
      <xdr:row>7</xdr:row>
      <xdr:rowOff>142876</xdr:rowOff>
    </xdr:from>
    <xdr:to>
      <xdr:col>5</xdr:col>
      <xdr:colOff>894080</xdr:colOff>
      <xdr:row>11</xdr:row>
      <xdr:rowOff>57151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01237753-F5FB-4E40-BF15-2DAC4C0306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4238" y="1476376"/>
              <a:ext cx="1797367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𝑃𝑉</m:t>
                    </m:r>
                    <m:r>
                      <a:rPr lang="en-ZA" sz="1200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en-ZA" sz="1200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𝐹𝑉</m:t>
                        </m:r>
                      </m:num>
                      <m:den>
                        <m:sSup>
                          <m:sSupPr>
                            <m:ctrlP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</m:ctrlPr>
                          </m:sSupPr>
                          <m:e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(1+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𝑟</m:t>
                            </m:r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)</m:t>
                            </m:r>
                          </m:e>
                          <m:sup>
                            <m:r>
                              <a:rPr lang="en-ZA" sz="1200" i="1">
                                <a:effectLst/>
                                <a:latin typeface="Cambria Math" panose="02040503050406030204" pitchFamily="18" charset="0"/>
                                <a:ea typeface="Calibri" panose="020F0502020204030204" pitchFamily="34" charset="0"/>
                                <a:cs typeface="Times New Roman" panose="02020603050405020304" pitchFamily="18" charset="0"/>
                              </a:rPr>
                              <m:t>𝑛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Choice>
      <mc:Fallback>
        <xdr:sp macro="" textlink="">
          <xdr:nvSpPr>
            <xdr:cNvPr id="2" name="Text Box 2">
              <a:extLst>
                <a:ext uri="{FF2B5EF4-FFF2-40B4-BE49-F238E27FC236}">
                  <a16:creationId xmlns:a16="http://schemas.microsoft.com/office/drawing/2014/main" id="{01237753-F5FB-4E40-BF15-2DAC4C03067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964238" y="1476376"/>
              <a:ext cx="1797367" cy="67627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>
              <a:noAutofit/>
            </a:bodyPr>
            <a:lstStyle/>
            <a:p>
              <a:pPr>
                <a:lnSpc>
                  <a:spcPct val="115000"/>
                </a:lnSpc>
                <a:spcAft>
                  <a:spcPts val="1000"/>
                </a:spcAft>
              </a:pPr>
              <a:r>
                <a:rPr lang="en-ZA" sz="12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𝑃𝑉=𝐹𝑉/〖(1+𝑟)〗^𝑛 </a:t>
              </a:r>
              <a:endParaRPr lang="en-ZA" sz="1100">
                <a:effectLst/>
                <a:latin typeface="Calibri" panose="020F0502020204030204" pitchFamily="34" charset="0"/>
                <a:ea typeface="Calibri" panose="020F0502020204030204" pitchFamily="34" charset="0"/>
                <a:cs typeface="Times New Roman" panose="02020603050405020304" pitchFamily="18" charset="0"/>
              </a:endParaRP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6"/>
  <sheetViews>
    <sheetView zoomScale="120" zoomScaleNormal="120" workbookViewId="0">
      <selection activeCell="B9" sqref="B9"/>
    </sheetView>
  </sheetViews>
  <sheetFormatPr defaultColWidth="26.140625" defaultRowHeight="15" x14ac:dyDescent="0.25"/>
  <cols>
    <col min="1" max="2" width="26.28515625" bestFit="1" customWidth="1"/>
    <col min="3" max="3" width="17.7109375" customWidth="1"/>
    <col min="4" max="4" width="17.85546875" customWidth="1"/>
    <col min="5" max="6" width="13.7109375" bestFit="1" customWidth="1"/>
    <col min="7" max="7" width="17.28515625" customWidth="1"/>
  </cols>
  <sheetData>
    <row r="1" spans="1:7" x14ac:dyDescent="0.25">
      <c r="A1" s="9" t="s">
        <v>3</v>
      </c>
      <c r="B1" s="9"/>
      <c r="C1" s="9"/>
      <c r="D1" s="6"/>
      <c r="E1" s="6"/>
      <c r="F1" s="6"/>
      <c r="G1" s="6"/>
    </row>
    <row r="2" spans="1:7" x14ac:dyDescent="0.25">
      <c r="A2" s="9" t="s">
        <v>8</v>
      </c>
      <c r="B2" s="12" t="s">
        <v>12</v>
      </c>
      <c r="C2" s="3">
        <v>0.1</v>
      </c>
      <c r="D2" s="6"/>
      <c r="E2" s="6"/>
      <c r="F2" s="6"/>
      <c r="G2" s="6"/>
    </row>
    <row r="3" spans="1:7" x14ac:dyDescent="0.25">
      <c r="A3" s="9" t="s">
        <v>2</v>
      </c>
      <c r="B3" s="9" t="s">
        <v>1</v>
      </c>
      <c r="C3" s="9" t="s">
        <v>0</v>
      </c>
      <c r="D3" s="9"/>
      <c r="E3" s="9"/>
      <c r="F3" s="9"/>
      <c r="G3" s="6"/>
    </row>
    <row r="4" spans="1:7" x14ac:dyDescent="0.25">
      <c r="A4" s="6">
        <v>0</v>
      </c>
      <c r="B4" s="7">
        <v>0</v>
      </c>
      <c r="C4" s="7">
        <v>250000</v>
      </c>
      <c r="D4" s="7"/>
      <c r="E4" s="8"/>
      <c r="F4" s="7"/>
      <c r="G4" s="6"/>
    </row>
    <row r="5" spans="1:7" x14ac:dyDescent="0.25">
      <c r="A5" s="6">
        <v>1</v>
      </c>
      <c r="B5" s="7">
        <v>40000</v>
      </c>
      <c r="C5" s="7">
        <v>30000</v>
      </c>
      <c r="D5" s="7"/>
      <c r="E5" s="8"/>
      <c r="F5" s="7"/>
      <c r="G5" s="6"/>
    </row>
    <row r="6" spans="1:7" x14ac:dyDescent="0.25">
      <c r="A6" s="6">
        <v>2</v>
      </c>
      <c r="B6" s="7">
        <v>80000</v>
      </c>
      <c r="C6" s="7">
        <v>5000</v>
      </c>
      <c r="D6" s="7"/>
      <c r="E6" s="8"/>
      <c r="F6" s="7"/>
      <c r="G6" s="6"/>
    </row>
    <row r="7" spans="1:7" x14ac:dyDescent="0.25">
      <c r="A7" s="6">
        <v>3</v>
      </c>
      <c r="B7" s="7">
        <v>160000</v>
      </c>
      <c r="C7" s="7">
        <v>5000</v>
      </c>
      <c r="D7" s="7"/>
      <c r="E7" s="8"/>
      <c r="F7" s="7"/>
      <c r="G7" s="6"/>
    </row>
    <row r="8" spans="1:7" x14ac:dyDescent="0.25">
      <c r="A8" s="6">
        <v>4</v>
      </c>
      <c r="B8" s="7">
        <v>200000</v>
      </c>
      <c r="C8" s="7">
        <v>5000</v>
      </c>
      <c r="D8" s="7"/>
      <c r="E8" s="8"/>
      <c r="F8" s="7"/>
      <c r="G8" s="6"/>
    </row>
    <row r="9" spans="1:7" x14ac:dyDescent="0.25">
      <c r="A9" s="9" t="s">
        <v>10</v>
      </c>
      <c r="B9" s="10">
        <v>480000</v>
      </c>
      <c r="C9" s="10">
        <v>295000</v>
      </c>
      <c r="D9" s="7"/>
      <c r="E9" s="8"/>
      <c r="F9" s="10"/>
      <c r="G9" s="6"/>
    </row>
    <row r="10" spans="1:7" x14ac:dyDescent="0.25">
      <c r="A10" s="9"/>
      <c r="B10" s="10"/>
      <c r="C10" s="10"/>
      <c r="D10" s="7"/>
      <c r="E10" s="8"/>
      <c r="F10" s="10"/>
      <c r="G10" s="6"/>
    </row>
    <row r="11" spans="1:7" x14ac:dyDescent="0.25">
      <c r="A11" s="9" t="s">
        <v>9</v>
      </c>
      <c r="B11" s="6"/>
      <c r="C11" s="7"/>
      <c r="D11" s="7"/>
      <c r="E11" s="8"/>
      <c r="F11" s="7"/>
      <c r="G11" s="6"/>
    </row>
    <row r="12" spans="1:7" x14ac:dyDescent="0.25">
      <c r="A12" s="6"/>
      <c r="B12" s="9" t="s">
        <v>1</v>
      </c>
      <c r="C12" s="9" t="s">
        <v>0</v>
      </c>
      <c r="D12" s="7"/>
      <c r="E12" s="8"/>
      <c r="F12" s="7"/>
      <c r="G12" s="6"/>
    </row>
    <row r="13" spans="1:7" x14ac:dyDescent="0.25">
      <c r="A13" s="6">
        <v>0</v>
      </c>
      <c r="B13" s="7">
        <v>45000</v>
      </c>
      <c r="C13" s="7">
        <v>60000</v>
      </c>
      <c r="D13" s="7"/>
      <c r="E13" s="8"/>
      <c r="F13" s="7"/>
      <c r="G13" s="6"/>
    </row>
    <row r="14" spans="1:7" x14ac:dyDescent="0.25">
      <c r="A14" s="6">
        <v>1</v>
      </c>
      <c r="B14" s="7">
        <v>60000</v>
      </c>
      <c r="C14" s="7">
        <v>60000</v>
      </c>
      <c r="D14" s="7"/>
      <c r="E14" s="8"/>
      <c r="F14" s="7"/>
      <c r="G14" s="6"/>
    </row>
    <row r="15" spans="1:7" x14ac:dyDescent="0.25">
      <c r="A15" s="6">
        <v>2</v>
      </c>
      <c r="B15" s="7">
        <v>100000</v>
      </c>
      <c r="C15" s="7">
        <v>60000</v>
      </c>
      <c r="D15" s="7"/>
      <c r="E15" s="8"/>
      <c r="F15" s="7"/>
      <c r="G15" s="6"/>
    </row>
    <row r="16" spans="1:7" x14ac:dyDescent="0.25">
      <c r="A16" s="6">
        <v>3</v>
      </c>
      <c r="B16" s="7">
        <v>125000</v>
      </c>
      <c r="C16" s="7">
        <v>60000</v>
      </c>
      <c r="D16" s="7"/>
      <c r="E16" s="8"/>
      <c r="F16" s="7"/>
      <c r="G16" s="6"/>
    </row>
    <row r="17" spans="1:7" x14ac:dyDescent="0.25">
      <c r="A17" s="6">
        <v>4</v>
      </c>
      <c r="B17" s="7">
        <v>150000</v>
      </c>
      <c r="C17" s="7">
        <v>60000</v>
      </c>
      <c r="D17" s="7"/>
      <c r="E17" s="8"/>
      <c r="F17" s="7"/>
      <c r="G17" s="6"/>
    </row>
    <row r="18" spans="1:7" x14ac:dyDescent="0.25">
      <c r="A18" s="9" t="s">
        <v>10</v>
      </c>
      <c r="B18" s="10">
        <v>480000</v>
      </c>
      <c r="C18" s="10">
        <v>300000</v>
      </c>
      <c r="D18" s="7"/>
      <c r="E18" s="11"/>
      <c r="F18" s="10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2" spans="1:7" x14ac:dyDescent="0.25">
      <c r="A22" s="2" t="s">
        <v>7</v>
      </c>
    </row>
    <row r="23" spans="1:7" x14ac:dyDescent="0.25">
      <c r="A23" s="2" t="str">
        <f>A2</f>
        <v>OPTION 1 (Build)</v>
      </c>
    </row>
    <row r="24" spans="1:7" x14ac:dyDescent="0.25">
      <c r="A24" s="4" t="s">
        <v>11</v>
      </c>
      <c r="B24" s="5">
        <v>0</v>
      </c>
      <c r="C24" s="5">
        <v>1</v>
      </c>
      <c r="D24" s="5">
        <v>2</v>
      </c>
      <c r="E24" s="5">
        <v>3</v>
      </c>
      <c r="F24" s="5">
        <v>4</v>
      </c>
      <c r="G24" s="13" t="s">
        <v>13</v>
      </c>
    </row>
    <row r="25" spans="1:7" x14ac:dyDescent="0.25">
      <c r="A25" t="s">
        <v>1</v>
      </c>
      <c r="B25" s="1">
        <f>$B4</f>
        <v>0</v>
      </c>
      <c r="C25" s="1">
        <f>$B5</f>
        <v>40000</v>
      </c>
      <c r="D25" s="1">
        <f>$B6</f>
        <v>80000</v>
      </c>
      <c r="E25" s="1">
        <f>$B7</f>
        <v>160000</v>
      </c>
      <c r="F25" s="1">
        <f>$B8</f>
        <v>200000</v>
      </c>
      <c r="G25" s="1">
        <f>SUM(B25:F25)</f>
        <v>480000</v>
      </c>
    </row>
    <row r="26" spans="1:7" x14ac:dyDescent="0.25">
      <c r="A26" t="s">
        <v>0</v>
      </c>
      <c r="B26" s="1">
        <f>C4</f>
        <v>250000</v>
      </c>
      <c r="C26" s="1">
        <f>C5</f>
        <v>30000</v>
      </c>
      <c r="D26" s="1">
        <f>C6</f>
        <v>5000</v>
      </c>
      <c r="E26" s="1">
        <f>C7</f>
        <v>5000</v>
      </c>
      <c r="F26" s="1">
        <f>C8</f>
        <v>5000</v>
      </c>
      <c r="G26" s="1">
        <f t="shared" ref="G26:G27" si="0">SUM(B26:F26)</f>
        <v>295000</v>
      </c>
    </row>
    <row r="27" spans="1:7" s="2" customFormat="1" x14ac:dyDescent="0.25">
      <c r="A27" t="s">
        <v>6</v>
      </c>
      <c r="B27" s="1">
        <f>B25-B26</f>
        <v>-250000</v>
      </c>
      <c r="C27" s="1">
        <f t="shared" ref="C27:F27" si="1">C25-C26</f>
        <v>10000</v>
      </c>
      <c r="D27" s="1">
        <f t="shared" si="1"/>
        <v>75000</v>
      </c>
      <c r="E27" s="1">
        <f t="shared" si="1"/>
        <v>155000</v>
      </c>
      <c r="F27" s="1">
        <f t="shared" si="1"/>
        <v>195000</v>
      </c>
      <c r="G27" s="1">
        <f t="shared" si="0"/>
        <v>185000</v>
      </c>
    </row>
    <row r="28" spans="1:7" x14ac:dyDescent="0.25">
      <c r="A28" s="14" t="s">
        <v>5</v>
      </c>
      <c r="B28" s="15">
        <f>B27/(1+$C$2)^B24</f>
        <v>-250000</v>
      </c>
      <c r="C28" s="15">
        <f>C27/(1+$C$2)^C24</f>
        <v>9090.9090909090901</v>
      </c>
      <c r="D28" s="15">
        <f>D27/(1+$C$2)^D24</f>
        <v>61983.471074380155</v>
      </c>
      <c r="E28" s="15">
        <f>E27/(1+$C$2)^E24</f>
        <v>116453.79413974452</v>
      </c>
      <c r="F28" s="15">
        <f>F27/(1+$C$2)^F24</f>
        <v>133187.62379618874</v>
      </c>
      <c r="G28" s="18">
        <f>SUM(B28:F28)</f>
        <v>70715.798101222506</v>
      </c>
    </row>
    <row r="29" spans="1:7" x14ac:dyDescent="0.25">
      <c r="A29" t="s">
        <v>4</v>
      </c>
      <c r="B29" s="16">
        <f>B28</f>
        <v>-250000</v>
      </c>
      <c r="C29" s="16">
        <f>B29+C28</f>
        <v>-240909.09090909091</v>
      </c>
      <c r="D29" s="16">
        <f t="shared" ref="D29:F29" si="2">C29+D28</f>
        <v>-178925.61983471076</v>
      </c>
      <c r="E29" s="16">
        <f t="shared" si="2"/>
        <v>-62471.825694966232</v>
      </c>
      <c r="F29" s="18">
        <f t="shared" si="2"/>
        <v>70715.798101222506</v>
      </c>
      <c r="G29" s="1"/>
    </row>
    <row r="31" spans="1:7" x14ac:dyDescent="0.25">
      <c r="A31" s="2" t="str">
        <f>A11</f>
        <v>OPTION 2 (Rent)</v>
      </c>
      <c r="B31">
        <v>0</v>
      </c>
      <c r="C31">
        <v>1</v>
      </c>
      <c r="D31">
        <v>2</v>
      </c>
      <c r="E31">
        <v>3</v>
      </c>
      <c r="F31">
        <v>4</v>
      </c>
    </row>
    <row r="32" spans="1:7" x14ac:dyDescent="0.25">
      <c r="A32" t="s">
        <v>1</v>
      </c>
      <c r="B32" s="1">
        <f>B13</f>
        <v>45000</v>
      </c>
      <c r="C32" s="1">
        <f>B14</f>
        <v>60000</v>
      </c>
      <c r="D32" s="1">
        <f>B15</f>
        <v>100000</v>
      </c>
      <c r="E32" s="1">
        <f>B16</f>
        <v>125000</v>
      </c>
      <c r="F32" s="1">
        <f>B17</f>
        <v>150000</v>
      </c>
      <c r="G32" s="1">
        <f>SUM(B32:F32)</f>
        <v>480000</v>
      </c>
    </row>
    <row r="33" spans="1:7" x14ac:dyDescent="0.25">
      <c r="A33" t="s">
        <v>0</v>
      </c>
      <c r="B33" s="1">
        <f>C13</f>
        <v>60000</v>
      </c>
      <c r="C33" s="1">
        <f>C14</f>
        <v>60000</v>
      </c>
      <c r="D33" s="1">
        <f>C15</f>
        <v>60000</v>
      </c>
      <c r="E33" s="1">
        <f>C16</f>
        <v>60000</v>
      </c>
      <c r="F33" s="1">
        <f>C17</f>
        <v>60000</v>
      </c>
      <c r="G33" s="1">
        <f>SUM(B33:F33)</f>
        <v>300000</v>
      </c>
    </row>
    <row r="34" spans="1:7" x14ac:dyDescent="0.25">
      <c r="A34" t="s">
        <v>6</v>
      </c>
      <c r="B34" s="17">
        <f>B32-B33</f>
        <v>-15000</v>
      </c>
      <c r="C34" s="17">
        <f t="shared" ref="C34:F34" si="3">C32-C33</f>
        <v>0</v>
      </c>
      <c r="D34" s="17">
        <f t="shared" si="3"/>
        <v>40000</v>
      </c>
      <c r="E34" s="17">
        <f t="shared" si="3"/>
        <v>65000</v>
      </c>
      <c r="F34" s="17">
        <f t="shared" si="3"/>
        <v>90000</v>
      </c>
      <c r="G34" s="1">
        <f>SUM(B34:F34)</f>
        <v>180000</v>
      </c>
    </row>
    <row r="35" spans="1:7" s="14" customFormat="1" x14ac:dyDescent="0.25">
      <c r="A35" s="14" t="s">
        <v>5</v>
      </c>
      <c r="B35" s="15">
        <f>B34/(1+$C$2)^B31</f>
        <v>-15000</v>
      </c>
      <c r="C35" s="15">
        <f t="shared" ref="C35:G35" si="4">C34/(1+$C$2)^C31</f>
        <v>0</v>
      </c>
      <c r="D35" s="15">
        <f t="shared" si="4"/>
        <v>33057.851239669413</v>
      </c>
      <c r="E35" s="15">
        <f t="shared" si="4"/>
        <v>48835.462058602541</v>
      </c>
      <c r="F35" s="15">
        <f t="shared" si="4"/>
        <v>61471.210982856348</v>
      </c>
      <c r="G35" s="18">
        <f>SUM(B35:F35)</f>
        <v>128364.52428112831</v>
      </c>
    </row>
    <row r="36" spans="1:7" s="19" customFormat="1" x14ac:dyDescent="0.25">
      <c r="A36" s="19" t="s">
        <v>4</v>
      </c>
      <c r="B36" s="16">
        <f>B35</f>
        <v>-15000</v>
      </c>
      <c r="C36" s="16">
        <f>C35+B36</f>
        <v>-15000</v>
      </c>
      <c r="D36" s="16">
        <f t="shared" ref="D36:F36" si="5">D35+C36</f>
        <v>18057.851239669413</v>
      </c>
      <c r="E36" s="16">
        <f t="shared" si="5"/>
        <v>66893.313298271954</v>
      </c>
      <c r="F36" s="18">
        <f t="shared" si="5"/>
        <v>128364.52428112831</v>
      </c>
      <c r="G36" s="16"/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F9A3B-15FD-4980-8E45-58B65DBF852A}">
  <dimension ref="A1:G36"/>
  <sheetViews>
    <sheetView topLeftCell="A16" zoomScale="120" zoomScaleNormal="120" workbookViewId="0">
      <selection activeCell="H25" sqref="H25"/>
    </sheetView>
  </sheetViews>
  <sheetFormatPr defaultColWidth="26.140625" defaultRowHeight="15" x14ac:dyDescent="0.25"/>
  <cols>
    <col min="1" max="2" width="26.28515625" bestFit="1" customWidth="1"/>
    <col min="3" max="3" width="17.7109375" customWidth="1"/>
    <col min="4" max="4" width="17.85546875" customWidth="1"/>
    <col min="5" max="6" width="13.7109375" bestFit="1" customWidth="1"/>
    <col min="7" max="7" width="17.28515625" customWidth="1"/>
  </cols>
  <sheetData>
    <row r="1" spans="1:7" x14ac:dyDescent="0.25">
      <c r="A1" s="9" t="s">
        <v>3</v>
      </c>
      <c r="B1" s="9"/>
      <c r="C1" s="9"/>
      <c r="D1" s="6"/>
      <c r="E1" s="6"/>
      <c r="F1" s="6"/>
      <c r="G1" s="6"/>
    </row>
    <row r="2" spans="1:7" x14ac:dyDescent="0.25">
      <c r="A2" s="9" t="s">
        <v>8</v>
      </c>
      <c r="B2" s="12" t="s">
        <v>12</v>
      </c>
      <c r="C2" s="3">
        <v>0.05</v>
      </c>
      <c r="D2" s="6"/>
      <c r="E2" s="6"/>
      <c r="F2" s="6"/>
      <c r="G2" s="6"/>
    </row>
    <row r="3" spans="1:7" x14ac:dyDescent="0.25">
      <c r="A3" s="9" t="s">
        <v>2</v>
      </c>
      <c r="B3" s="9" t="s">
        <v>1</v>
      </c>
      <c r="C3" s="9" t="s">
        <v>0</v>
      </c>
      <c r="D3" s="9"/>
      <c r="E3" s="9"/>
      <c r="F3" s="9"/>
      <c r="G3" s="6"/>
    </row>
    <row r="4" spans="1:7" x14ac:dyDescent="0.25">
      <c r="A4" s="6">
        <v>0</v>
      </c>
      <c r="B4" s="7">
        <v>0</v>
      </c>
      <c r="C4" s="7">
        <v>250000</v>
      </c>
      <c r="D4" s="7"/>
      <c r="E4" s="8"/>
      <c r="F4" s="7"/>
      <c r="G4" s="6"/>
    </row>
    <row r="5" spans="1:7" x14ac:dyDescent="0.25">
      <c r="A5" s="6">
        <v>1</v>
      </c>
      <c r="B5" s="7">
        <v>40000</v>
      </c>
      <c r="C5" s="7">
        <v>30000</v>
      </c>
      <c r="D5" s="7"/>
      <c r="E5" s="8"/>
      <c r="F5" s="7"/>
      <c r="G5" s="6"/>
    </row>
    <row r="6" spans="1:7" x14ac:dyDescent="0.25">
      <c r="A6" s="6">
        <v>2</v>
      </c>
      <c r="B6" s="7">
        <v>80000</v>
      </c>
      <c r="C6" s="7">
        <v>5000</v>
      </c>
      <c r="D6" s="7"/>
      <c r="E6" s="8"/>
      <c r="F6" s="7"/>
      <c r="G6" s="6"/>
    </row>
    <row r="7" spans="1:7" x14ac:dyDescent="0.25">
      <c r="A7" s="6">
        <v>3</v>
      </c>
      <c r="B7" s="7">
        <v>160000</v>
      </c>
      <c r="C7" s="7">
        <v>5000</v>
      </c>
      <c r="D7" s="7"/>
      <c r="E7" s="8"/>
      <c r="F7" s="7"/>
      <c r="G7" s="6"/>
    </row>
    <row r="8" spans="1:7" x14ac:dyDescent="0.25">
      <c r="A8" s="6">
        <v>4</v>
      </c>
      <c r="B8" s="7">
        <v>200000</v>
      </c>
      <c r="C8" s="7">
        <v>5000</v>
      </c>
      <c r="D8" s="7"/>
      <c r="E8" s="8"/>
      <c r="F8" s="7"/>
      <c r="G8" s="6"/>
    </row>
    <row r="9" spans="1:7" x14ac:dyDescent="0.25">
      <c r="A9" s="9" t="s">
        <v>10</v>
      </c>
      <c r="B9" s="10">
        <v>480000</v>
      </c>
      <c r="C9" s="10">
        <v>295000</v>
      </c>
      <c r="D9" s="7"/>
      <c r="E9" s="8"/>
      <c r="F9" s="10"/>
      <c r="G9" s="6"/>
    </row>
    <row r="10" spans="1:7" x14ac:dyDescent="0.25">
      <c r="A10" s="9"/>
      <c r="B10" s="10"/>
      <c r="C10" s="10"/>
      <c r="D10" s="7"/>
      <c r="E10" s="8"/>
      <c r="F10" s="10"/>
      <c r="G10" s="6"/>
    </row>
    <row r="11" spans="1:7" x14ac:dyDescent="0.25">
      <c r="A11" s="9" t="s">
        <v>9</v>
      </c>
      <c r="B11" s="6"/>
      <c r="C11" s="7"/>
      <c r="D11" s="7"/>
      <c r="E11" s="8"/>
      <c r="F11" s="7"/>
      <c r="G11" s="6"/>
    </row>
    <row r="12" spans="1:7" x14ac:dyDescent="0.25">
      <c r="A12" s="6"/>
      <c r="B12" s="6" t="s">
        <v>1</v>
      </c>
      <c r="C12" s="6" t="s">
        <v>0</v>
      </c>
      <c r="D12" s="7"/>
      <c r="E12" s="8"/>
      <c r="F12" s="7"/>
      <c r="G12" s="6"/>
    </row>
    <row r="13" spans="1:7" x14ac:dyDescent="0.25">
      <c r="A13" s="6">
        <v>0</v>
      </c>
      <c r="B13" s="7">
        <v>45000</v>
      </c>
      <c r="C13" s="7">
        <v>60000</v>
      </c>
      <c r="D13" s="7"/>
      <c r="E13" s="8"/>
      <c r="F13" s="7"/>
      <c r="G13" s="6"/>
    </row>
    <row r="14" spans="1:7" x14ac:dyDescent="0.25">
      <c r="A14" s="6">
        <v>1</v>
      </c>
      <c r="B14" s="7">
        <v>60000</v>
      </c>
      <c r="C14" s="7">
        <v>60000</v>
      </c>
      <c r="D14" s="7"/>
      <c r="E14" s="8"/>
      <c r="F14" s="7"/>
      <c r="G14" s="6"/>
    </row>
    <row r="15" spans="1:7" x14ac:dyDescent="0.25">
      <c r="A15" s="6">
        <v>2</v>
      </c>
      <c r="B15" s="7">
        <v>100000</v>
      </c>
      <c r="C15" s="7">
        <v>60000</v>
      </c>
      <c r="D15" s="7"/>
      <c r="E15" s="8"/>
      <c r="F15" s="7"/>
      <c r="G15" s="6"/>
    </row>
    <row r="16" spans="1:7" x14ac:dyDescent="0.25">
      <c r="A16" s="6">
        <v>3</v>
      </c>
      <c r="B16" s="7">
        <v>125000</v>
      </c>
      <c r="C16" s="7">
        <v>60000</v>
      </c>
      <c r="D16" s="7"/>
      <c r="E16" s="8"/>
      <c r="F16" s="7"/>
      <c r="G16" s="6"/>
    </row>
    <row r="17" spans="1:7" x14ac:dyDescent="0.25">
      <c r="A17" s="6">
        <v>4</v>
      </c>
      <c r="B17" s="7">
        <v>150000</v>
      </c>
      <c r="C17" s="7">
        <v>60000</v>
      </c>
      <c r="D17" s="7"/>
      <c r="E17" s="8"/>
      <c r="F17" s="7"/>
      <c r="G17" s="6"/>
    </row>
    <row r="18" spans="1:7" x14ac:dyDescent="0.25">
      <c r="A18" s="9" t="s">
        <v>10</v>
      </c>
      <c r="B18" s="10">
        <v>480000</v>
      </c>
      <c r="C18" s="10">
        <v>300000</v>
      </c>
      <c r="D18" s="7"/>
      <c r="E18" s="11"/>
      <c r="F18" s="10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2" spans="1:7" x14ac:dyDescent="0.25">
      <c r="A22" s="2" t="s">
        <v>7</v>
      </c>
    </row>
    <row r="23" spans="1:7" x14ac:dyDescent="0.25">
      <c r="A23" s="2" t="str">
        <f>A2</f>
        <v>OPTION 1 (Build)</v>
      </c>
    </row>
    <row r="24" spans="1:7" x14ac:dyDescent="0.25">
      <c r="A24" s="4" t="s">
        <v>11</v>
      </c>
      <c r="B24" s="5">
        <v>0</v>
      </c>
      <c r="C24" s="5">
        <v>1</v>
      </c>
      <c r="D24" s="5">
        <v>2</v>
      </c>
      <c r="E24" s="5">
        <v>3</v>
      </c>
      <c r="F24" s="5">
        <v>4</v>
      </c>
      <c r="G24" s="13" t="s">
        <v>13</v>
      </c>
    </row>
    <row r="25" spans="1:7" x14ac:dyDescent="0.25">
      <c r="A25" t="s">
        <v>1</v>
      </c>
      <c r="B25" s="1">
        <f>$B4</f>
        <v>0</v>
      </c>
      <c r="C25" s="1">
        <f>$B5</f>
        <v>40000</v>
      </c>
      <c r="D25" s="1">
        <f>$B6</f>
        <v>80000</v>
      </c>
      <c r="E25" s="1">
        <f>$B7</f>
        <v>160000</v>
      </c>
      <c r="F25" s="1">
        <f>$B8</f>
        <v>200000</v>
      </c>
      <c r="G25" s="1">
        <f>SUM(B25:F25)</f>
        <v>480000</v>
      </c>
    </row>
    <row r="26" spans="1:7" x14ac:dyDescent="0.25">
      <c r="A26" t="s">
        <v>0</v>
      </c>
      <c r="B26" s="1">
        <f>C4</f>
        <v>250000</v>
      </c>
      <c r="C26" s="1">
        <f>C5</f>
        <v>30000</v>
      </c>
      <c r="D26" s="1">
        <f>C6</f>
        <v>5000</v>
      </c>
      <c r="E26" s="1">
        <f>C7</f>
        <v>5000</v>
      </c>
      <c r="F26" s="1">
        <f>C8</f>
        <v>5000</v>
      </c>
      <c r="G26" s="1">
        <f t="shared" ref="G26:G27" si="0">SUM(B26:F26)</f>
        <v>295000</v>
      </c>
    </row>
    <row r="27" spans="1:7" s="2" customFormat="1" x14ac:dyDescent="0.25">
      <c r="A27" t="s">
        <v>6</v>
      </c>
      <c r="B27" s="1">
        <f>B25-B26</f>
        <v>-250000</v>
      </c>
      <c r="C27" s="1">
        <f t="shared" ref="C27:F27" si="1">C25-C26</f>
        <v>10000</v>
      </c>
      <c r="D27" s="1">
        <f t="shared" si="1"/>
        <v>75000</v>
      </c>
      <c r="E27" s="1">
        <f t="shared" si="1"/>
        <v>155000</v>
      </c>
      <c r="F27" s="1">
        <f t="shared" si="1"/>
        <v>195000</v>
      </c>
      <c r="G27" s="1">
        <f t="shared" si="0"/>
        <v>185000</v>
      </c>
    </row>
    <row r="28" spans="1:7" x14ac:dyDescent="0.25">
      <c r="A28" s="14" t="s">
        <v>5</v>
      </c>
      <c r="B28" s="15">
        <f>B27/(1+$C$2)^B24</f>
        <v>-250000</v>
      </c>
      <c r="C28" s="15">
        <f>C27/(1+$C$2)^C24</f>
        <v>9523.8095238095229</v>
      </c>
      <c r="D28" s="15">
        <f>D27/(1+$C$2)^D24</f>
        <v>68027.210884353743</v>
      </c>
      <c r="E28" s="15">
        <f>E27/(1+$C$2)^E24</f>
        <v>133894.82777237878</v>
      </c>
      <c r="F28" s="15">
        <f>F27/(1+$C$2)^F24</f>
        <v>160426.98258441698</v>
      </c>
      <c r="G28" s="18">
        <f>SUM(B28:F28)</f>
        <v>121872.83076495901</v>
      </c>
    </row>
    <row r="29" spans="1:7" x14ac:dyDescent="0.25">
      <c r="A29" t="s">
        <v>4</v>
      </c>
      <c r="B29" s="16">
        <f>B28</f>
        <v>-250000</v>
      </c>
      <c r="C29" s="16">
        <f>B29+C28</f>
        <v>-240476.19047619047</v>
      </c>
      <c r="D29" s="16">
        <f t="shared" ref="D29:F29" si="2">C29+D28</f>
        <v>-172448.97959183675</v>
      </c>
      <c r="E29" s="16">
        <f t="shared" si="2"/>
        <v>-38554.151819457969</v>
      </c>
      <c r="F29" s="18">
        <f t="shared" si="2"/>
        <v>121872.83076495901</v>
      </c>
      <c r="G29" s="1"/>
    </row>
    <row r="31" spans="1:7" x14ac:dyDescent="0.25">
      <c r="A31" s="2" t="str">
        <f>A11</f>
        <v>OPTION 2 (Rent)</v>
      </c>
      <c r="B31">
        <v>0</v>
      </c>
      <c r="C31">
        <v>1</v>
      </c>
      <c r="D31">
        <v>2</v>
      </c>
      <c r="E31">
        <v>3</v>
      </c>
      <c r="F31">
        <v>4</v>
      </c>
    </row>
    <row r="32" spans="1:7" x14ac:dyDescent="0.25">
      <c r="A32" t="s">
        <v>1</v>
      </c>
      <c r="B32" s="1">
        <f>B13</f>
        <v>45000</v>
      </c>
      <c r="C32" s="1">
        <f>B14</f>
        <v>60000</v>
      </c>
      <c r="D32" s="1">
        <f>B15</f>
        <v>100000</v>
      </c>
      <c r="E32" s="1">
        <f>B16</f>
        <v>125000</v>
      </c>
      <c r="F32" s="1">
        <f>B17</f>
        <v>150000</v>
      </c>
      <c r="G32" s="1">
        <f>SUM(B32:F32)</f>
        <v>480000</v>
      </c>
    </row>
    <row r="33" spans="1:7" x14ac:dyDescent="0.25">
      <c r="A33" t="s">
        <v>0</v>
      </c>
      <c r="B33" s="1">
        <f>C13</f>
        <v>60000</v>
      </c>
      <c r="C33" s="1">
        <f>C14</f>
        <v>60000</v>
      </c>
      <c r="D33" s="1">
        <f>C15</f>
        <v>60000</v>
      </c>
      <c r="E33" s="1">
        <f>C16</f>
        <v>60000</v>
      </c>
      <c r="F33" s="1">
        <f>C17</f>
        <v>60000</v>
      </c>
      <c r="G33" s="1">
        <f>SUM(B33:F33)</f>
        <v>300000</v>
      </c>
    </row>
    <row r="34" spans="1:7" x14ac:dyDescent="0.25">
      <c r="A34" t="s">
        <v>6</v>
      </c>
      <c r="B34" s="17">
        <f>B32-B33</f>
        <v>-15000</v>
      </c>
      <c r="C34" s="17">
        <f t="shared" ref="C34:F34" si="3">C32-C33</f>
        <v>0</v>
      </c>
      <c r="D34" s="17">
        <f t="shared" si="3"/>
        <v>40000</v>
      </c>
      <c r="E34" s="17">
        <f t="shared" si="3"/>
        <v>65000</v>
      </c>
      <c r="F34" s="17">
        <f t="shared" si="3"/>
        <v>90000</v>
      </c>
      <c r="G34" s="1">
        <f>SUM(B34:F34)</f>
        <v>180000</v>
      </c>
    </row>
    <row r="35" spans="1:7" s="14" customFormat="1" x14ac:dyDescent="0.25">
      <c r="A35" s="14" t="s">
        <v>5</v>
      </c>
      <c r="B35" s="15">
        <f>B34/(1+$C$2)^B31</f>
        <v>-15000</v>
      </c>
      <c r="C35" s="15">
        <f t="shared" ref="C35:F35" si="4">C34/(1+$C$2)^C31</f>
        <v>0</v>
      </c>
      <c r="D35" s="15">
        <f t="shared" si="4"/>
        <v>36281.179138321997</v>
      </c>
      <c r="E35" s="15">
        <f t="shared" si="4"/>
        <v>56149.443904545937</v>
      </c>
      <c r="F35" s="15">
        <f t="shared" si="4"/>
        <v>74043.222731269372</v>
      </c>
      <c r="G35" s="18">
        <f>SUM(B35:F35)</f>
        <v>151473.8457741373</v>
      </c>
    </row>
    <row r="36" spans="1:7" s="19" customFormat="1" x14ac:dyDescent="0.25">
      <c r="A36" s="19" t="s">
        <v>4</v>
      </c>
      <c r="B36" s="16">
        <f>B35</f>
        <v>-15000</v>
      </c>
      <c r="C36" s="16">
        <f>C35+B36</f>
        <v>-15000</v>
      </c>
      <c r="D36" s="16">
        <f t="shared" ref="D36:F36" si="5">D35+C36</f>
        <v>21281.179138321997</v>
      </c>
      <c r="E36" s="16">
        <f t="shared" si="5"/>
        <v>77430.623042867926</v>
      </c>
      <c r="F36" s="18">
        <f t="shared" si="5"/>
        <v>151473.8457741373</v>
      </c>
      <c r="G36" s="16"/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7E97-B7AB-4CAF-AD87-30E96399CC8F}">
  <dimension ref="A1:G36"/>
  <sheetViews>
    <sheetView topLeftCell="A16" zoomScale="120" zoomScaleNormal="120" workbookViewId="0">
      <selection activeCell="H32" sqref="H32"/>
    </sheetView>
  </sheetViews>
  <sheetFormatPr defaultColWidth="26.140625" defaultRowHeight="15" x14ac:dyDescent="0.25"/>
  <cols>
    <col min="1" max="2" width="26.28515625" bestFit="1" customWidth="1"/>
    <col min="3" max="3" width="17.7109375" customWidth="1"/>
    <col min="4" max="4" width="17.85546875" customWidth="1"/>
    <col min="5" max="5" width="14.85546875" bestFit="1" customWidth="1"/>
    <col min="6" max="6" width="15.7109375" bestFit="1" customWidth="1"/>
    <col min="7" max="7" width="17.28515625" customWidth="1"/>
  </cols>
  <sheetData>
    <row r="1" spans="1:7" x14ac:dyDescent="0.25">
      <c r="A1" s="9" t="s">
        <v>3</v>
      </c>
      <c r="B1" s="9"/>
      <c r="C1" s="9"/>
      <c r="D1" s="6"/>
      <c r="E1" s="6"/>
      <c r="F1" s="6"/>
      <c r="G1" s="6"/>
    </row>
    <row r="2" spans="1:7" x14ac:dyDescent="0.25">
      <c r="A2" s="9" t="s">
        <v>8</v>
      </c>
      <c r="B2" s="12" t="s">
        <v>12</v>
      </c>
      <c r="C2" s="3">
        <v>0.03</v>
      </c>
      <c r="D2" s="6"/>
      <c r="E2" s="6"/>
      <c r="F2" s="6"/>
      <c r="G2" s="6"/>
    </row>
    <row r="3" spans="1:7" x14ac:dyDescent="0.25">
      <c r="A3" s="9" t="s">
        <v>2</v>
      </c>
      <c r="B3" s="9" t="s">
        <v>1</v>
      </c>
      <c r="C3" s="9" t="s">
        <v>0</v>
      </c>
      <c r="D3" s="9"/>
      <c r="E3" s="9"/>
      <c r="F3" s="9"/>
      <c r="G3" s="6"/>
    </row>
    <row r="4" spans="1:7" x14ac:dyDescent="0.25">
      <c r="A4" s="6">
        <v>0</v>
      </c>
      <c r="B4" s="7">
        <v>0</v>
      </c>
      <c r="C4" s="7">
        <v>1000000</v>
      </c>
      <c r="D4" s="7"/>
      <c r="E4" s="8"/>
      <c r="F4" s="7"/>
      <c r="G4" s="6"/>
    </row>
    <row r="5" spans="1:7" x14ac:dyDescent="0.25">
      <c r="A5" s="6">
        <v>1</v>
      </c>
      <c r="B5" s="7">
        <v>0</v>
      </c>
      <c r="C5" s="7">
        <v>500000</v>
      </c>
      <c r="D5" s="7"/>
      <c r="E5" s="8"/>
      <c r="F5" s="7"/>
      <c r="G5" s="6"/>
    </row>
    <row r="6" spans="1:7" x14ac:dyDescent="0.25">
      <c r="A6" s="6">
        <v>2</v>
      </c>
      <c r="B6" s="7">
        <v>1000000</v>
      </c>
      <c r="C6" s="7">
        <v>20000</v>
      </c>
      <c r="D6" s="7"/>
      <c r="E6" s="8"/>
      <c r="F6" s="7"/>
      <c r="G6" s="6"/>
    </row>
    <row r="7" spans="1:7" x14ac:dyDescent="0.25">
      <c r="A7" s="6">
        <v>3</v>
      </c>
      <c r="B7" s="7">
        <v>1000000</v>
      </c>
      <c r="C7" s="7">
        <v>20000</v>
      </c>
      <c r="D7" s="7"/>
      <c r="E7" s="8"/>
      <c r="F7" s="7"/>
      <c r="G7" s="6"/>
    </row>
    <row r="8" spans="1:7" x14ac:dyDescent="0.25">
      <c r="A8" s="6">
        <v>4</v>
      </c>
      <c r="B8" s="7">
        <v>1000000</v>
      </c>
      <c r="C8" s="7">
        <v>20000</v>
      </c>
      <c r="D8" s="7"/>
      <c r="E8" s="8"/>
      <c r="F8" s="7"/>
      <c r="G8" s="6"/>
    </row>
    <row r="9" spans="1:7" x14ac:dyDescent="0.25">
      <c r="A9" s="9" t="s">
        <v>10</v>
      </c>
      <c r="B9" s="10">
        <f>SUM(B4:B8)</f>
        <v>3000000</v>
      </c>
      <c r="C9" s="10">
        <f>SUM(C4:C8)</f>
        <v>1560000</v>
      </c>
      <c r="D9" s="7"/>
      <c r="E9" s="8"/>
      <c r="F9" s="10"/>
      <c r="G9" s="6"/>
    </row>
    <row r="10" spans="1:7" x14ac:dyDescent="0.25">
      <c r="A10" s="9"/>
      <c r="B10" s="10"/>
      <c r="C10" s="10"/>
      <c r="D10" s="7"/>
      <c r="E10" s="8"/>
      <c r="F10" s="10"/>
      <c r="G10" s="6"/>
    </row>
    <row r="11" spans="1:7" x14ac:dyDescent="0.25">
      <c r="A11" s="9" t="s">
        <v>9</v>
      </c>
      <c r="B11" s="6"/>
      <c r="C11" s="7"/>
      <c r="D11" s="7"/>
      <c r="E11" s="8"/>
      <c r="F11" s="7"/>
      <c r="G11" s="6"/>
    </row>
    <row r="12" spans="1:7" x14ac:dyDescent="0.25">
      <c r="A12" s="6"/>
      <c r="B12" s="6" t="s">
        <v>1</v>
      </c>
      <c r="C12" s="6" t="s">
        <v>0</v>
      </c>
      <c r="D12" s="7"/>
      <c r="E12" s="8"/>
      <c r="F12" s="7"/>
      <c r="G12" s="6"/>
    </row>
    <row r="13" spans="1:7" x14ac:dyDescent="0.25">
      <c r="A13" s="6">
        <v>0</v>
      </c>
      <c r="B13" s="7">
        <v>500000</v>
      </c>
      <c r="C13" s="7">
        <v>300000</v>
      </c>
      <c r="D13" s="7"/>
      <c r="E13" s="8"/>
      <c r="F13" s="7"/>
      <c r="G13" s="6"/>
    </row>
    <row r="14" spans="1:7" x14ac:dyDescent="0.25">
      <c r="A14" s="6">
        <v>1</v>
      </c>
      <c r="B14" s="7">
        <v>500000</v>
      </c>
      <c r="C14" s="7">
        <v>300000</v>
      </c>
      <c r="D14" s="7"/>
      <c r="E14" s="8"/>
      <c r="F14" s="7"/>
      <c r="G14" s="6"/>
    </row>
    <row r="15" spans="1:7" x14ac:dyDescent="0.25">
      <c r="A15" s="6">
        <v>2</v>
      </c>
      <c r="B15" s="7">
        <v>500000</v>
      </c>
      <c r="C15" s="7">
        <v>300000</v>
      </c>
      <c r="D15" s="7"/>
      <c r="E15" s="8"/>
      <c r="F15" s="7"/>
      <c r="G15" s="6"/>
    </row>
    <row r="16" spans="1:7" x14ac:dyDescent="0.25">
      <c r="A16" s="6">
        <v>3</v>
      </c>
      <c r="B16" s="7">
        <v>500000</v>
      </c>
      <c r="C16" s="7">
        <v>300000</v>
      </c>
      <c r="D16" s="7"/>
      <c r="E16" s="8"/>
      <c r="F16" s="7"/>
      <c r="G16" s="6"/>
    </row>
    <row r="17" spans="1:7" x14ac:dyDescent="0.25">
      <c r="A17" s="6">
        <v>4</v>
      </c>
      <c r="B17" s="7">
        <v>500000</v>
      </c>
      <c r="C17" s="7">
        <v>300000</v>
      </c>
      <c r="D17" s="7"/>
      <c r="E17" s="8"/>
      <c r="F17" s="7"/>
      <c r="G17" s="6"/>
    </row>
    <row r="18" spans="1:7" x14ac:dyDescent="0.25">
      <c r="A18" s="9" t="s">
        <v>10</v>
      </c>
      <c r="B18" s="10">
        <f>SUM(B13:B17)</f>
        <v>2500000</v>
      </c>
      <c r="C18" s="10">
        <f>SUM(C13:C17)</f>
        <v>1500000</v>
      </c>
      <c r="D18" s="7"/>
      <c r="E18" s="11"/>
      <c r="F18" s="10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2" spans="1:7" x14ac:dyDescent="0.25">
      <c r="A22" s="2" t="s">
        <v>7</v>
      </c>
    </row>
    <row r="23" spans="1:7" x14ac:dyDescent="0.25">
      <c r="A23" s="2" t="str">
        <f>A2</f>
        <v>OPTION 1 (Build)</v>
      </c>
    </row>
    <row r="24" spans="1:7" x14ac:dyDescent="0.25">
      <c r="A24" s="4" t="s">
        <v>11</v>
      </c>
      <c r="B24" s="5">
        <v>0</v>
      </c>
      <c r="C24" s="5">
        <v>1</v>
      </c>
      <c r="D24" s="5">
        <v>2</v>
      </c>
      <c r="E24" s="5">
        <v>3</v>
      </c>
      <c r="F24" s="5">
        <v>4</v>
      </c>
      <c r="G24" s="13" t="s">
        <v>13</v>
      </c>
    </row>
    <row r="25" spans="1:7" x14ac:dyDescent="0.25">
      <c r="A25" t="s">
        <v>1</v>
      </c>
      <c r="B25" s="1">
        <f>$B4</f>
        <v>0</v>
      </c>
      <c r="C25" s="1">
        <f>$B5</f>
        <v>0</v>
      </c>
      <c r="D25" s="1">
        <f>$B6</f>
        <v>1000000</v>
      </c>
      <c r="E25" s="1">
        <f>$B7</f>
        <v>1000000</v>
      </c>
      <c r="F25" s="1">
        <f>$B8</f>
        <v>1000000</v>
      </c>
      <c r="G25" s="1">
        <f>SUM(B25:F25)</f>
        <v>3000000</v>
      </c>
    </row>
    <row r="26" spans="1:7" x14ac:dyDescent="0.25">
      <c r="A26" t="s">
        <v>0</v>
      </c>
      <c r="B26" s="1">
        <f>C4</f>
        <v>1000000</v>
      </c>
      <c r="C26" s="1">
        <f>C5</f>
        <v>500000</v>
      </c>
      <c r="D26" s="1">
        <f>C6</f>
        <v>20000</v>
      </c>
      <c r="E26" s="1">
        <f>C7</f>
        <v>20000</v>
      </c>
      <c r="F26" s="1">
        <f>C8</f>
        <v>20000</v>
      </c>
      <c r="G26" s="1">
        <f t="shared" ref="G26:G27" si="0">SUM(B26:F26)</f>
        <v>1560000</v>
      </c>
    </row>
    <row r="27" spans="1:7" s="2" customFormat="1" x14ac:dyDescent="0.25">
      <c r="A27" t="s">
        <v>6</v>
      </c>
      <c r="B27" s="1">
        <f>B25-B26</f>
        <v>-1000000</v>
      </c>
      <c r="C27" s="1">
        <f t="shared" ref="C27:F27" si="1">C25-C26</f>
        <v>-500000</v>
      </c>
      <c r="D27" s="1">
        <f t="shared" si="1"/>
        <v>980000</v>
      </c>
      <c r="E27" s="1">
        <f t="shared" si="1"/>
        <v>980000</v>
      </c>
      <c r="F27" s="1">
        <f t="shared" si="1"/>
        <v>980000</v>
      </c>
      <c r="G27" s="1">
        <f t="shared" si="0"/>
        <v>1440000</v>
      </c>
    </row>
    <row r="28" spans="1:7" x14ac:dyDescent="0.25">
      <c r="A28" s="14" t="s">
        <v>5</v>
      </c>
      <c r="B28" s="15">
        <f>B27/(1+$C$2)^B24</f>
        <v>-1000000</v>
      </c>
      <c r="C28" s="15">
        <f>C27/(1+$C$2)^C24</f>
        <v>-485436.89320388349</v>
      </c>
      <c r="D28" s="15">
        <f>D27/(1+$C$2)^D24</f>
        <v>923743.99095107929</v>
      </c>
      <c r="E28" s="15">
        <f>E27/(1+$C$2)^E24</f>
        <v>896838.82616609638</v>
      </c>
      <c r="F28" s="15">
        <f>F27/(1+$C$2)^F24</f>
        <v>870717.30695737514</v>
      </c>
      <c r="G28" s="18">
        <f>SUM(B28:F28)</f>
        <v>1205863.2308706674</v>
      </c>
    </row>
    <row r="29" spans="1:7" x14ac:dyDescent="0.25">
      <c r="A29" t="s">
        <v>4</v>
      </c>
      <c r="B29" s="16">
        <f>B28</f>
        <v>-1000000</v>
      </c>
      <c r="C29" s="16">
        <f>B29+C28</f>
        <v>-1485436.8932038834</v>
      </c>
      <c r="D29" s="16">
        <f t="shared" ref="D29:F29" si="2">C29+D28</f>
        <v>-561692.90225280414</v>
      </c>
      <c r="E29" s="16">
        <f t="shared" si="2"/>
        <v>335145.92391329224</v>
      </c>
      <c r="F29" s="18">
        <f t="shared" si="2"/>
        <v>1205863.2308706674</v>
      </c>
      <c r="G29" s="1"/>
    </row>
    <row r="31" spans="1:7" x14ac:dyDescent="0.25">
      <c r="A31" s="2" t="str">
        <f>A11</f>
        <v>OPTION 2 (Rent)</v>
      </c>
      <c r="B31">
        <v>0</v>
      </c>
      <c r="C31">
        <v>1</v>
      </c>
      <c r="D31">
        <v>2</v>
      </c>
      <c r="E31">
        <v>3</v>
      </c>
      <c r="F31">
        <v>4</v>
      </c>
    </row>
    <row r="32" spans="1:7" x14ac:dyDescent="0.25">
      <c r="A32" t="s">
        <v>1</v>
      </c>
      <c r="B32" s="1">
        <f>B13</f>
        <v>500000</v>
      </c>
      <c r="C32" s="1">
        <f>B14</f>
        <v>500000</v>
      </c>
      <c r="D32" s="1">
        <f>B15</f>
        <v>500000</v>
      </c>
      <c r="E32" s="1">
        <f>B16</f>
        <v>500000</v>
      </c>
      <c r="F32" s="1">
        <f>B17</f>
        <v>500000</v>
      </c>
      <c r="G32" s="1">
        <f>SUM(B32:F32)</f>
        <v>2500000</v>
      </c>
    </row>
    <row r="33" spans="1:7" x14ac:dyDescent="0.25">
      <c r="A33" t="s">
        <v>0</v>
      </c>
      <c r="B33" s="1">
        <f>C13</f>
        <v>300000</v>
      </c>
      <c r="C33" s="1">
        <f>C14</f>
        <v>300000</v>
      </c>
      <c r="D33" s="1">
        <f>C15</f>
        <v>300000</v>
      </c>
      <c r="E33" s="1">
        <f>C16</f>
        <v>300000</v>
      </c>
      <c r="F33" s="1">
        <f>C17</f>
        <v>300000</v>
      </c>
      <c r="G33" s="1">
        <f>SUM(B33:F33)</f>
        <v>1500000</v>
      </c>
    </row>
    <row r="34" spans="1:7" x14ac:dyDescent="0.25">
      <c r="A34" t="s">
        <v>6</v>
      </c>
      <c r="B34" s="17">
        <f>B32-B33</f>
        <v>200000</v>
      </c>
      <c r="C34" s="17">
        <f t="shared" ref="C34:F34" si="3">C32-C33</f>
        <v>200000</v>
      </c>
      <c r="D34" s="17">
        <f t="shared" si="3"/>
        <v>200000</v>
      </c>
      <c r="E34" s="17">
        <f t="shared" si="3"/>
        <v>200000</v>
      </c>
      <c r="F34" s="17">
        <f t="shared" si="3"/>
        <v>200000</v>
      </c>
      <c r="G34" s="1">
        <f>SUM(B34:F34)</f>
        <v>1000000</v>
      </c>
    </row>
    <row r="35" spans="1:7" s="14" customFormat="1" x14ac:dyDescent="0.25">
      <c r="A35" s="14" t="s">
        <v>5</v>
      </c>
      <c r="B35" s="15">
        <f>B34/(1+$C$2)^B31</f>
        <v>200000</v>
      </c>
      <c r="C35" s="15">
        <f t="shared" ref="C35:F35" si="4">C34/(1+$C$2)^C31</f>
        <v>194174.75728155338</v>
      </c>
      <c r="D35" s="15">
        <f t="shared" si="4"/>
        <v>188519.18182675089</v>
      </c>
      <c r="E35" s="15">
        <f t="shared" si="4"/>
        <v>183028.33187063193</v>
      </c>
      <c r="F35" s="15">
        <f t="shared" si="4"/>
        <v>177697.40958313781</v>
      </c>
      <c r="G35" s="18">
        <f>SUM(B35:F35)</f>
        <v>943419.68056207395</v>
      </c>
    </row>
    <row r="36" spans="1:7" s="19" customFormat="1" x14ac:dyDescent="0.25">
      <c r="A36" s="19" t="s">
        <v>4</v>
      </c>
      <c r="B36" s="16">
        <f>B35</f>
        <v>200000</v>
      </c>
      <c r="C36" s="16">
        <f>C35+B36</f>
        <v>394174.75728155335</v>
      </c>
      <c r="D36" s="16">
        <f t="shared" ref="D36:F36" si="5">D35+C36</f>
        <v>582693.93910830421</v>
      </c>
      <c r="E36" s="16">
        <f t="shared" si="5"/>
        <v>765722.27097893611</v>
      </c>
      <c r="F36" s="18">
        <f t="shared" si="5"/>
        <v>943419.68056207395</v>
      </c>
      <c r="G36" s="16"/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0B0A-8CC5-4B77-9D91-A62ABD7F3AB7}">
  <dimension ref="A1:G36"/>
  <sheetViews>
    <sheetView tabSelected="1" zoomScale="120" zoomScaleNormal="120" workbookViewId="0">
      <selection activeCell="H29" sqref="H29"/>
    </sheetView>
  </sheetViews>
  <sheetFormatPr defaultColWidth="26.140625" defaultRowHeight="15" x14ac:dyDescent="0.25"/>
  <cols>
    <col min="1" max="2" width="26.28515625" bestFit="1" customWidth="1"/>
    <col min="3" max="3" width="17.7109375" customWidth="1"/>
    <col min="4" max="4" width="17.85546875" customWidth="1"/>
    <col min="5" max="5" width="14.85546875" bestFit="1" customWidth="1"/>
    <col min="6" max="6" width="15.7109375" bestFit="1" customWidth="1"/>
    <col min="7" max="7" width="17.28515625" customWidth="1"/>
  </cols>
  <sheetData>
    <row r="1" spans="1:7" x14ac:dyDescent="0.25">
      <c r="A1" s="9" t="s">
        <v>3</v>
      </c>
      <c r="B1" s="9"/>
      <c r="C1" s="9"/>
      <c r="D1" s="6"/>
      <c r="E1" s="6"/>
      <c r="F1" s="6"/>
      <c r="G1" s="6"/>
    </row>
    <row r="2" spans="1:7" x14ac:dyDescent="0.25">
      <c r="A2" s="9" t="s">
        <v>8</v>
      </c>
      <c r="B2" s="12" t="s">
        <v>12</v>
      </c>
      <c r="C2" s="3">
        <v>0.12</v>
      </c>
      <c r="D2" s="6"/>
      <c r="E2" s="6"/>
      <c r="F2" s="6"/>
      <c r="G2" s="6"/>
    </row>
    <row r="3" spans="1:7" x14ac:dyDescent="0.25">
      <c r="A3" s="9" t="s">
        <v>2</v>
      </c>
      <c r="B3" s="9" t="s">
        <v>1</v>
      </c>
      <c r="C3" s="9" t="s">
        <v>0</v>
      </c>
      <c r="D3" s="9"/>
      <c r="E3" s="9"/>
      <c r="F3" s="9"/>
      <c r="G3" s="6"/>
    </row>
    <row r="4" spans="1:7" x14ac:dyDescent="0.25">
      <c r="A4" s="6">
        <v>0</v>
      </c>
      <c r="B4" s="7">
        <v>0</v>
      </c>
      <c r="C4" s="7">
        <v>1000000</v>
      </c>
      <c r="D4" s="7"/>
      <c r="E4" s="8"/>
      <c r="F4" s="7"/>
      <c r="G4" s="6"/>
    </row>
    <row r="5" spans="1:7" x14ac:dyDescent="0.25">
      <c r="A5" s="6">
        <v>1</v>
      </c>
      <c r="B5" s="7">
        <v>0</v>
      </c>
      <c r="C5" s="7">
        <v>500000</v>
      </c>
      <c r="D5" s="7"/>
      <c r="E5" s="8"/>
      <c r="F5" s="7"/>
      <c r="G5" s="6"/>
    </row>
    <row r="6" spans="1:7" x14ac:dyDescent="0.25">
      <c r="A6" s="6">
        <v>2</v>
      </c>
      <c r="B6" s="7">
        <v>1000000</v>
      </c>
      <c r="C6" s="7">
        <v>20000</v>
      </c>
      <c r="D6" s="7"/>
      <c r="E6" s="8"/>
      <c r="F6" s="7"/>
      <c r="G6" s="6"/>
    </row>
    <row r="7" spans="1:7" x14ac:dyDescent="0.25">
      <c r="A7" s="6">
        <v>3</v>
      </c>
      <c r="B7" s="7">
        <v>1000000</v>
      </c>
      <c r="C7" s="7">
        <v>20000</v>
      </c>
      <c r="D7" s="7"/>
      <c r="E7" s="8"/>
      <c r="F7" s="7"/>
      <c r="G7" s="6"/>
    </row>
    <row r="8" spans="1:7" x14ac:dyDescent="0.25">
      <c r="A8" s="6">
        <v>4</v>
      </c>
      <c r="B8" s="7">
        <v>1000000</v>
      </c>
      <c r="C8" s="7">
        <v>20000</v>
      </c>
      <c r="D8" s="7"/>
      <c r="E8" s="8"/>
      <c r="F8" s="7"/>
      <c r="G8" s="6"/>
    </row>
    <row r="9" spans="1:7" x14ac:dyDescent="0.25">
      <c r="A9" s="9" t="s">
        <v>10</v>
      </c>
      <c r="B9" s="10">
        <f>SUM(B4:B8)</f>
        <v>3000000</v>
      </c>
      <c r="C9" s="10">
        <f>SUM(C4:C8)</f>
        <v>1560000</v>
      </c>
      <c r="D9" s="7"/>
      <c r="E9" s="8"/>
      <c r="F9" s="10"/>
      <c r="G9" s="6"/>
    </row>
    <row r="10" spans="1:7" x14ac:dyDescent="0.25">
      <c r="A10" s="9"/>
      <c r="B10" s="10"/>
      <c r="C10" s="10"/>
      <c r="D10" s="7"/>
      <c r="E10" s="8"/>
      <c r="F10" s="10"/>
      <c r="G10" s="6"/>
    </row>
    <row r="11" spans="1:7" x14ac:dyDescent="0.25">
      <c r="A11" s="9" t="s">
        <v>9</v>
      </c>
      <c r="B11" s="6"/>
      <c r="C11" s="7"/>
      <c r="D11" s="7"/>
      <c r="E11" s="8"/>
      <c r="F11" s="7"/>
      <c r="G11" s="6"/>
    </row>
    <row r="12" spans="1:7" x14ac:dyDescent="0.25">
      <c r="A12" s="6"/>
      <c r="B12" s="6" t="s">
        <v>1</v>
      </c>
      <c r="C12" s="6" t="s">
        <v>0</v>
      </c>
      <c r="D12" s="7"/>
      <c r="E12" s="8"/>
      <c r="F12" s="7"/>
      <c r="G12" s="6"/>
    </row>
    <row r="13" spans="1:7" x14ac:dyDescent="0.25">
      <c r="A13" s="6">
        <v>0</v>
      </c>
      <c r="B13" s="7">
        <v>500000</v>
      </c>
      <c r="C13" s="7">
        <v>300000</v>
      </c>
      <c r="D13" s="7"/>
      <c r="E13" s="8"/>
      <c r="F13" s="7"/>
      <c r="G13" s="6"/>
    </row>
    <row r="14" spans="1:7" x14ac:dyDescent="0.25">
      <c r="A14" s="6">
        <v>1</v>
      </c>
      <c r="B14" s="7">
        <v>500000</v>
      </c>
      <c r="C14" s="7">
        <v>300000</v>
      </c>
      <c r="D14" s="7"/>
      <c r="E14" s="8"/>
      <c r="F14" s="7"/>
      <c r="G14" s="6"/>
    </row>
    <row r="15" spans="1:7" x14ac:dyDescent="0.25">
      <c r="A15" s="6">
        <v>2</v>
      </c>
      <c r="B15" s="7">
        <v>500000</v>
      </c>
      <c r="C15" s="7">
        <v>300000</v>
      </c>
      <c r="D15" s="7"/>
      <c r="E15" s="8"/>
      <c r="F15" s="7"/>
      <c r="G15" s="6"/>
    </row>
    <row r="16" spans="1:7" x14ac:dyDescent="0.25">
      <c r="A16" s="6">
        <v>3</v>
      </c>
      <c r="B16" s="7">
        <v>500000</v>
      </c>
      <c r="C16" s="7">
        <v>300000</v>
      </c>
      <c r="D16" s="7"/>
      <c r="E16" s="8"/>
      <c r="F16" s="7"/>
      <c r="G16" s="6"/>
    </row>
    <row r="17" spans="1:7" x14ac:dyDescent="0.25">
      <c r="A17" s="6">
        <v>4</v>
      </c>
      <c r="B17" s="7">
        <v>500000</v>
      </c>
      <c r="C17" s="7">
        <v>300000</v>
      </c>
      <c r="D17" s="7"/>
      <c r="E17" s="8"/>
      <c r="F17" s="7"/>
      <c r="G17" s="6"/>
    </row>
    <row r="18" spans="1:7" x14ac:dyDescent="0.25">
      <c r="A18" s="9" t="s">
        <v>10</v>
      </c>
      <c r="B18" s="10">
        <f>SUM(B13:B17)</f>
        <v>2500000</v>
      </c>
      <c r="C18" s="10">
        <f>SUM(C13:C17)</f>
        <v>1500000</v>
      </c>
      <c r="D18" s="7"/>
      <c r="E18" s="11"/>
      <c r="F18" s="10"/>
      <c r="G18" s="6"/>
    </row>
    <row r="19" spans="1:7" x14ac:dyDescent="0.25">
      <c r="A19" s="6"/>
      <c r="B19" s="6"/>
      <c r="C19" s="6"/>
      <c r="D19" s="6"/>
      <c r="E19" s="6"/>
      <c r="F19" s="6"/>
      <c r="G19" s="6"/>
    </row>
    <row r="20" spans="1:7" x14ac:dyDescent="0.25">
      <c r="A20" s="6"/>
      <c r="B20" s="6"/>
      <c r="C20" s="6"/>
      <c r="D20" s="6"/>
      <c r="E20" s="6"/>
      <c r="F20" s="6"/>
      <c r="G20" s="6"/>
    </row>
    <row r="22" spans="1:7" x14ac:dyDescent="0.25">
      <c r="A22" s="2" t="s">
        <v>7</v>
      </c>
    </row>
    <row r="23" spans="1:7" x14ac:dyDescent="0.25">
      <c r="A23" s="2" t="str">
        <f>A2</f>
        <v>OPTION 1 (Build)</v>
      </c>
    </row>
    <row r="24" spans="1:7" x14ac:dyDescent="0.25">
      <c r="A24" s="4" t="s">
        <v>11</v>
      </c>
      <c r="B24" s="5">
        <v>0</v>
      </c>
      <c r="C24" s="5">
        <v>1</v>
      </c>
      <c r="D24" s="5">
        <v>2</v>
      </c>
      <c r="E24" s="5">
        <v>3</v>
      </c>
      <c r="F24" s="5">
        <v>4</v>
      </c>
      <c r="G24" s="13" t="s">
        <v>13</v>
      </c>
    </row>
    <row r="25" spans="1:7" x14ac:dyDescent="0.25">
      <c r="A25" t="s">
        <v>1</v>
      </c>
      <c r="B25" s="1">
        <f>$B4</f>
        <v>0</v>
      </c>
      <c r="C25" s="1">
        <f>$B5</f>
        <v>0</v>
      </c>
      <c r="D25" s="1">
        <f>$B6</f>
        <v>1000000</v>
      </c>
      <c r="E25" s="1">
        <f>$B7</f>
        <v>1000000</v>
      </c>
      <c r="F25" s="1">
        <f>$B8</f>
        <v>1000000</v>
      </c>
      <c r="G25" s="1">
        <f>SUM(B25:F25)</f>
        <v>3000000</v>
      </c>
    </row>
    <row r="26" spans="1:7" x14ac:dyDescent="0.25">
      <c r="A26" t="s">
        <v>0</v>
      </c>
      <c r="B26" s="1">
        <f>C4</f>
        <v>1000000</v>
      </c>
      <c r="C26" s="1">
        <f>C5</f>
        <v>500000</v>
      </c>
      <c r="D26" s="1">
        <f>C6</f>
        <v>20000</v>
      </c>
      <c r="E26" s="1">
        <f>C7</f>
        <v>20000</v>
      </c>
      <c r="F26" s="1">
        <f>C8</f>
        <v>20000</v>
      </c>
      <c r="G26" s="1">
        <f t="shared" ref="G26:G27" si="0">SUM(B26:F26)</f>
        <v>1560000</v>
      </c>
    </row>
    <row r="27" spans="1:7" s="2" customFormat="1" x14ac:dyDescent="0.25">
      <c r="A27" t="s">
        <v>6</v>
      </c>
      <c r="B27" s="1">
        <f>B25-B26</f>
        <v>-1000000</v>
      </c>
      <c r="C27" s="1">
        <f t="shared" ref="C27:F27" si="1">C25-C26</f>
        <v>-500000</v>
      </c>
      <c r="D27" s="1">
        <f t="shared" si="1"/>
        <v>980000</v>
      </c>
      <c r="E27" s="1">
        <f t="shared" si="1"/>
        <v>980000</v>
      </c>
      <c r="F27" s="1">
        <f t="shared" si="1"/>
        <v>980000</v>
      </c>
      <c r="G27" s="1">
        <f t="shared" si="0"/>
        <v>1440000</v>
      </c>
    </row>
    <row r="28" spans="1:7" x14ac:dyDescent="0.25">
      <c r="A28" s="14" t="s">
        <v>5</v>
      </c>
      <c r="B28" s="15">
        <f>B27/(1+$C$2)^B24</f>
        <v>-1000000</v>
      </c>
      <c r="C28" s="15">
        <f>C27/(1+$C$2)^C24</f>
        <v>-446428.57142857136</v>
      </c>
      <c r="D28" s="15">
        <f>D27/(1+$C$2)^D24</f>
        <v>781249.99999999988</v>
      </c>
      <c r="E28" s="15">
        <f>E27/(1+$C$2)^E24</f>
        <v>697544.64285714261</v>
      </c>
      <c r="F28" s="15">
        <f>F27/(1+$C$2)^F24</f>
        <v>622807.71683673456</v>
      </c>
      <c r="G28" s="18">
        <f>SUM(B28:F28)</f>
        <v>655173.78826530569</v>
      </c>
    </row>
    <row r="29" spans="1:7" x14ac:dyDescent="0.25">
      <c r="A29" t="s">
        <v>4</v>
      </c>
      <c r="B29" s="16">
        <f>B28</f>
        <v>-1000000</v>
      </c>
      <c r="C29" s="16">
        <f>B29+C28</f>
        <v>-1446428.5714285714</v>
      </c>
      <c r="D29" s="16">
        <f t="shared" ref="D29:F29" si="2">C29+D28</f>
        <v>-665178.57142857148</v>
      </c>
      <c r="E29" s="16">
        <f t="shared" si="2"/>
        <v>32366.071428571129</v>
      </c>
      <c r="F29" s="18">
        <f t="shared" si="2"/>
        <v>655173.78826530569</v>
      </c>
      <c r="G29" s="1"/>
    </row>
    <row r="31" spans="1:7" x14ac:dyDescent="0.25">
      <c r="A31" s="2" t="str">
        <f>A11</f>
        <v>OPTION 2 (Rent)</v>
      </c>
      <c r="B31">
        <v>0</v>
      </c>
      <c r="C31">
        <v>1</v>
      </c>
      <c r="D31">
        <v>2</v>
      </c>
      <c r="E31">
        <v>3</v>
      </c>
      <c r="F31">
        <v>4</v>
      </c>
    </row>
    <row r="32" spans="1:7" x14ac:dyDescent="0.25">
      <c r="A32" t="s">
        <v>1</v>
      </c>
      <c r="B32" s="1">
        <f>B13</f>
        <v>500000</v>
      </c>
      <c r="C32" s="1">
        <f>B14</f>
        <v>500000</v>
      </c>
      <c r="D32" s="1">
        <f>B15</f>
        <v>500000</v>
      </c>
      <c r="E32" s="1">
        <f>B16</f>
        <v>500000</v>
      </c>
      <c r="F32" s="1">
        <f>B17</f>
        <v>500000</v>
      </c>
      <c r="G32" s="1">
        <f>SUM(B32:F32)</f>
        <v>2500000</v>
      </c>
    </row>
    <row r="33" spans="1:7" x14ac:dyDescent="0.25">
      <c r="A33" t="s">
        <v>0</v>
      </c>
      <c r="B33" s="1">
        <f>C13</f>
        <v>300000</v>
      </c>
      <c r="C33" s="1">
        <f>C14</f>
        <v>300000</v>
      </c>
      <c r="D33" s="1">
        <f>C15</f>
        <v>300000</v>
      </c>
      <c r="E33" s="1">
        <f>C16</f>
        <v>300000</v>
      </c>
      <c r="F33" s="1">
        <f>C17</f>
        <v>300000</v>
      </c>
      <c r="G33" s="1">
        <f>SUM(B33:F33)</f>
        <v>1500000</v>
      </c>
    </row>
    <row r="34" spans="1:7" x14ac:dyDescent="0.25">
      <c r="A34" t="s">
        <v>6</v>
      </c>
      <c r="B34" s="17">
        <f>B32-B33</f>
        <v>200000</v>
      </c>
      <c r="C34" s="17">
        <f t="shared" ref="C34:F34" si="3">C32-C33</f>
        <v>200000</v>
      </c>
      <c r="D34" s="17">
        <f t="shared" si="3"/>
        <v>200000</v>
      </c>
      <c r="E34" s="17">
        <f t="shared" si="3"/>
        <v>200000</v>
      </c>
      <c r="F34" s="17">
        <f t="shared" si="3"/>
        <v>200000</v>
      </c>
      <c r="G34" s="1">
        <f>SUM(B34:F34)</f>
        <v>1000000</v>
      </c>
    </row>
    <row r="35" spans="1:7" s="14" customFormat="1" x14ac:dyDescent="0.25">
      <c r="A35" s="14" t="s">
        <v>5</v>
      </c>
      <c r="B35" s="15">
        <f>B34/(1+$C$2)^B31</f>
        <v>200000</v>
      </c>
      <c r="C35" s="15">
        <f t="shared" ref="C35:F35" si="4">C34/(1+$C$2)^C31</f>
        <v>178571.42857142855</v>
      </c>
      <c r="D35" s="15">
        <f t="shared" si="4"/>
        <v>159438.77551020405</v>
      </c>
      <c r="E35" s="15">
        <f t="shared" si="4"/>
        <v>142356.04956268216</v>
      </c>
      <c r="F35" s="15">
        <f t="shared" si="4"/>
        <v>127103.61568096624</v>
      </c>
      <c r="G35" s="18">
        <f>SUM(B35:F35)</f>
        <v>807469.86932528089</v>
      </c>
    </row>
    <row r="36" spans="1:7" s="19" customFormat="1" x14ac:dyDescent="0.25">
      <c r="A36" s="19" t="s">
        <v>4</v>
      </c>
      <c r="B36" s="16">
        <f>B35</f>
        <v>200000</v>
      </c>
      <c r="C36" s="16">
        <f>C35+B36</f>
        <v>378571.42857142852</v>
      </c>
      <c r="D36" s="16">
        <f t="shared" ref="D36:F36" si="5">D35+C36</f>
        <v>538010.20408163255</v>
      </c>
      <c r="E36" s="16">
        <f t="shared" si="5"/>
        <v>680366.25364431471</v>
      </c>
      <c r="F36" s="18">
        <f t="shared" si="5"/>
        <v>807469.86932528089</v>
      </c>
      <c r="G36" s="16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NPV Prob 1</vt:lpstr>
      <vt:lpstr>NPV Prob 2</vt:lpstr>
      <vt:lpstr>NPV Prob 3</vt:lpstr>
      <vt:lpstr>NPV Prob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2018-06-05T10:29:28Z</dcterms:created>
  <dcterms:modified xsi:type="dcterms:W3CDTF">2019-03-08T06:53:38Z</dcterms:modified>
</cp:coreProperties>
</file>