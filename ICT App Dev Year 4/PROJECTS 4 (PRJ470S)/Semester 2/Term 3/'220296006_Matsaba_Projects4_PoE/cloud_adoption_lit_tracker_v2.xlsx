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abi\Desktop\ICT App Dev\ICT App Dev Year 4\PROJECTS 4 (PRJ470S)\Semester 2\Term 3\'220296006_Matsaba_Projects4_PoE\"/>
    </mc:Choice>
  </mc:AlternateContent>
  <xr:revisionPtr revIDLastSave="0" documentId="13_ncr:1_{6A6A5A65-502C-4DE7-9BBD-F9EA6F27A30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C &amp; Overview" sheetId="1" r:id="rId1"/>
    <sheet name="PRISMA Search Log" sheetId="2" r:id="rId2"/>
    <sheet name="Article Screening &amp; MMAT" sheetId="3" r:id="rId3"/>
    <sheet name="Data Extraction 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3" l="1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J13" i="2"/>
  <c r="H13" i="2"/>
  <c r="F13" i="2"/>
  <c r="E13" i="2"/>
  <c r="G12" i="2"/>
  <c r="I12" i="2" s="1"/>
  <c r="K12" i="2" s="1"/>
  <c r="I11" i="2"/>
  <c r="K11" i="2" s="1"/>
  <c r="G11" i="2"/>
  <c r="G10" i="2"/>
  <c r="I10" i="2" s="1"/>
  <c r="K10" i="2" s="1"/>
  <c r="I9" i="2"/>
  <c r="K9" i="2" s="1"/>
  <c r="G9" i="2"/>
  <c r="G8" i="2"/>
  <c r="I8" i="2" s="1"/>
  <c r="K8" i="2" s="1"/>
  <c r="I7" i="2"/>
  <c r="K7" i="2" s="1"/>
  <c r="G7" i="2"/>
  <c r="G6" i="2"/>
  <c r="I6" i="2" s="1"/>
  <c r="K6" i="2" s="1"/>
  <c r="I5" i="2"/>
  <c r="K5" i="2" s="1"/>
  <c r="G5" i="2"/>
  <c r="G13" i="2" s="1"/>
  <c r="D12" i="1"/>
  <c r="D11" i="1"/>
  <c r="D10" i="1"/>
  <c r="D9" i="1"/>
  <c r="K13" i="2" l="1"/>
  <c r="I13" i="2"/>
</calcChain>
</file>

<file path=xl/sharedStrings.xml><?xml version="1.0" encoding="utf-8"?>
<sst xmlns="http://schemas.openxmlformats.org/spreadsheetml/2006/main" count="578" uniqueCount="290">
  <si>
    <t>CPUT PROJECTS 4: LIT-TRACKER SYSTEM</t>
  </si>
  <si>
    <t>Research Title: The Adoption of Cloud Computing by Small to Medium Enterprises in South Africa</t>
  </si>
  <si>
    <t>Student: Thabiso Patrick Matsaba (Student No: 220296006) | Supervisor: Dr Kenneth Ohei</t>
  </si>
  <si>
    <t>WORKBOOK SECTIONS</t>
  </si>
  <si>
    <t>Sheet Name</t>
  </si>
  <si>
    <t>Description</t>
  </si>
  <si>
    <t>Primary Academic Purpose</t>
  </si>
  <si>
    <t>Navigation Link</t>
  </si>
  <si>
    <t>TOC &amp; Overview</t>
  </si>
  <si>
    <t>Current sheet containing navigation, formatting guidelines, and project metadata.</t>
  </si>
  <si>
    <t>Project Organization &amp; Setup</t>
  </si>
  <si>
    <t>PRISMA Search Log</t>
  </si>
  <si>
    <t>Logs and quantifies literature search outcomes across 8 databases (Scopus, Web of Science, Google Scholar, etc.).</t>
  </si>
  <si>
    <t>Systematic Literature Review Rigor (SO5)</t>
  </si>
  <si>
    <t>Article Screening &amp; MMAT</t>
  </si>
  <si>
    <t>Tracks study selection, inclusion/exclusion decisions, and applies the Mixed Methods Appraisal Tool.</t>
  </si>
  <si>
    <t>Methodological Quality Appraisal (SO2, SO5)</t>
  </si>
  <si>
    <t>Data Extraction Matrix</t>
  </si>
  <si>
    <t>Extracts specific findings, paragraph quotes, rationale, local paths, and maps them to TOE dimensions.</t>
  </si>
  <si>
    <t>Synthesis of Existing Literature (SO6, SO7)</t>
  </si>
  <si>
    <t>SPREADSHEET COLOR &amp; DESIGN CONVENTIONS</t>
  </si>
  <si>
    <t>Visual Style / Color</t>
  </si>
  <si>
    <t>Assigned Meaning</t>
  </si>
  <si>
    <t>Applicable Cells</t>
  </si>
  <si>
    <t>Action/Audience Instruction</t>
  </si>
  <si>
    <t>Header Row (Dark Blue)</t>
  </si>
  <si>
    <t>Table column definitions and structural headers.</t>
  </si>
  <si>
    <t>Top row of data tables</t>
  </si>
  <si>
    <t>Do not modify. Standardized system headers.</t>
  </si>
  <si>
    <t>Section Header (Medium Blue)</t>
  </si>
  <si>
    <t>Groups sub-sections or categories within sheets.</t>
  </si>
  <si>
    <t>Merged rows separating sections</t>
  </si>
  <si>
    <t>Do not modify. Structural markers.</t>
  </si>
  <si>
    <t>Input Cell (Light Blue)</t>
  </si>
  <si>
    <t>Assumptions, manual entries, or researcher data logging.</t>
  </si>
  <si>
    <t>Columns requiring data entry</t>
  </si>
  <si>
    <t>Enter search details, decisions, or text extracts.</t>
  </si>
  <si>
    <t>Calculated Cell (Light Green)</t>
  </si>
  <si>
    <t>Formulas (SUM, COUNTIF, mathematical subtractions).</t>
  </si>
  <si>
    <t>Scores, totals, automatically mapped values</t>
  </si>
  <si>
    <t>Do not modify. Locked/formula-driven cell.</t>
  </si>
  <si>
    <t>Zebra Row (Light Gray)</t>
  </si>
  <si>
    <t>Zebra striping on alternating rows for readability.</t>
  </si>
  <si>
    <t>Alternating data rows</t>
  </si>
  <si>
    <t>Aids visual tracking across large datasets.</t>
  </si>
  <si>
    <t>Placeholder Cell (Light Yellow)</t>
  </si>
  <si>
    <t>Simulated/sample data for guidelines and training.</t>
  </si>
  <si>
    <t>Italicized research template examples</t>
  </si>
  <si>
    <t>Replace with actual collected data during study.</t>
  </si>
  <si>
    <t>PRISMA SEARCH LOG</t>
  </si>
  <si>
    <t>This log maps and quantifies search outcomes across the 8 required databases. Use the exact Boolean query to replicate search results.</t>
  </si>
  <si>
    <t>Database Name</t>
  </si>
  <si>
    <t>Search Date</t>
  </si>
  <si>
    <t>Search Query / Boolean String</t>
  </si>
  <si>
    <t>Search Filters Applied</t>
  </si>
  <si>
    <t>Initial Records Retrieved</t>
  </si>
  <si>
    <t>Duplicates Removed</t>
  </si>
  <si>
    <t>Records Screened</t>
  </si>
  <si>
    <t>Records Excluded after Title/Abstract</t>
  </si>
  <si>
    <t>Full-Text Articles Assessed</t>
  </si>
  <si>
    <t>Full-Text Articles Excluded with Reasons</t>
  </si>
  <si>
    <t>Total Included in Review</t>
  </si>
  <si>
    <t>Scopus</t>
  </si>
  <si>
    <t>2026-08-15</t>
  </si>
  <si>
    <t>("cloud computing adoption" OR "cloud adoption") AND ("SMEs" OR "small and medium enterprises" OR "SMMEs") AND ("Technology Organisation Environment" OR "TOE framework") AND ("South Africa" OR "developing economy")</t>
  </si>
  <si>
    <t>2020-2026, English, Peer-Reviewed</t>
  </si>
  <si>
    <t>Web of Science</t>
  </si>
  <si>
    <t>("cloud computing adoption" OR "cloud adoption") AND ("SMEs" OR "small and medium enterprises") AND ("TOE framework" OR "Technology-Organisation-Environment") AND ("South Africa" OR "developing economy")</t>
  </si>
  <si>
    <t>IEEE Xplore</t>
  </si>
  <si>
    <t>("cloud adoption") AND ("SME" OR "small enterprise") AND ("TOE") AND ("South Africa")</t>
  </si>
  <si>
    <t>ACM Digital Library</t>
  </si>
  <si>
    <t>("cloud computing adoption") AND ("SMEs") AND ("TOE") AND ("developing economy")</t>
  </si>
  <si>
    <t>ScienceDirect</t>
  </si>
  <si>
    <t>("cloud adoption") AND ("SMEs") AND ("TOE framework") AND ("developing economy")</t>
  </si>
  <si>
    <t>SpringerLink</t>
  </si>
  <si>
    <t>("cloud computing adoption") AND ("SMEs") AND ("Technology Organisation Environment") AND ("South Africa")</t>
  </si>
  <si>
    <t>Google Scholar</t>
  </si>
  <si>
    <t>("cloud computing adoption" OR "cloud adoption") AND ("SMEs" OR "small and medium enterprises") AND ("TOE" OR "Technology-Organisation-Environment") AND ("South Africa" OR "developing economy")</t>
  </si>
  <si>
    <t>MDPI</t>
  </si>
  <si>
    <t>("cloud adoption" OR "cloud computing adoption") AND ("SMEs" OR "small business") AND ("TOE framework") AND ("South Africa" OR "developing economy")</t>
  </si>
  <si>
    <t>TOTALS</t>
  </si>
  <si>
    <t>-</t>
  </si>
  <si>
    <t>ARTICLE SCREENING &amp; QUALITY APPRAISAL (MMAT)</t>
  </si>
  <si>
    <t>Record screening decisions and grade the quality of each paper using the Mixed Methods Appraisal Tool (MMAT).</t>
  </si>
  <si>
    <t>Article ID</t>
  </si>
  <si>
    <t>Author(s) &amp; Year</t>
  </si>
  <si>
    <t>Article Title</t>
  </si>
  <si>
    <t>Source Database</t>
  </si>
  <si>
    <t>Inclusion Decision</t>
  </si>
  <si>
    <t>Exclusion Reason</t>
  </si>
  <si>
    <t>MMAT Q1: Clear RQ?</t>
  </si>
  <si>
    <t>MMAT Q2: Proper Design?</t>
  </si>
  <si>
    <t>MMAT Q3: Rigorous Data?</t>
  </si>
  <si>
    <t>MMAT Q4: Robust Analysis?</t>
  </si>
  <si>
    <t>MMAT Q5: Substantiated?</t>
  </si>
  <si>
    <t>MMAT Yes Count</t>
  </si>
  <si>
    <t>Quality Rating</t>
  </si>
  <si>
    <t>ART-001</t>
  </si>
  <si>
    <t>Santos et al., 2023</t>
  </si>
  <si>
    <t>The antecedents of cloud computing adoption and its consequences for MSMEs' performance</t>
  </si>
  <si>
    <t>Included</t>
  </si>
  <si>
    <t>N/A - Included</t>
  </si>
  <si>
    <t>Yes</t>
  </si>
  <si>
    <t>ART-002</t>
  </si>
  <si>
    <t>Abu Bakar et al., 2024</t>
  </si>
  <si>
    <t>Adoption of Industry 4.0 with cloud computing as a mediator: evaluation using TOE framework for SMEs</t>
  </si>
  <si>
    <t>ART-003</t>
  </si>
  <si>
    <t>Yaseen et al., 2023</t>
  </si>
  <si>
    <t>Factors influencing cloud computing adoption among SMEs: the Jordanian context</t>
  </si>
  <si>
    <t>No</t>
  </si>
  <si>
    <t>ART-004</t>
  </si>
  <si>
    <t>Mokwena &amp; Sithole, 2024</t>
  </si>
  <si>
    <t>Barriers of cloud computing adoption by SMEs in Polokwane Municipality</t>
  </si>
  <si>
    <t>ART-005</t>
  </si>
  <si>
    <t>Mkhize et al., 2025</t>
  </si>
  <si>
    <t>Evaluating the impact of cloud computing on SME performance: a systematic review</t>
  </si>
  <si>
    <t>ART-006</t>
  </si>
  <si>
    <t>Smith &amp; Jones, 2018</t>
  </si>
  <si>
    <t>Pre-2020 Cloud Adoption Review</t>
  </si>
  <si>
    <t>Excluded</t>
  </si>
  <si>
    <t>Pre-2020 Publication Window</t>
  </si>
  <si>
    <t>ART-007</t>
  </si>
  <si>
    <t>Johnson et al., 2022</t>
  </si>
  <si>
    <t>Enterprise Resource Planning Adoption in Large Corporates</t>
  </si>
  <si>
    <t>Non-SME Focus</t>
  </si>
  <si>
    <t>ART-008</t>
  </si>
  <si>
    <t>Sithole &amp; Ruhode, 2021</t>
  </si>
  <si>
    <t>Cloud computing adoption: challenges and opportunities for small, medium and micro enterprises in South Africa</t>
  </si>
  <si>
    <t>ART-009</t>
  </si>
  <si>
    <t>Mhlongo et al., 2024</t>
  </si>
  <si>
    <t>Reviewing the impact of cloud computing on small and medium enterprises in Africa</t>
  </si>
  <si>
    <t>ART-010</t>
  </si>
  <si>
    <t>Ilahi et al., 2024</t>
  </si>
  <si>
    <t>Small and medium enterprises (SMEs): key factors affecting the adoption of cloud computing</t>
  </si>
  <si>
    <t>ART-011</t>
  </si>
  <si>
    <t>Ahmad et al., 2025</t>
  </si>
  <si>
    <t>Cloud computing adoption in SMEs: exploring IaaS, PaaS and SaaS through a bibliometric study</t>
  </si>
  <si>
    <t>ART-012</t>
  </si>
  <si>
    <t>Jayeola et al., 2022</t>
  </si>
  <si>
    <t>Cloud computing adoption in small and medium enterprises (SMEs): a systematic literature review and directions for future research</t>
  </si>
  <si>
    <t>ART-013</t>
  </si>
  <si>
    <t>Khayer et al., 2020a</t>
  </si>
  <si>
    <t>The adoption of cloud computing in small and medium enterprises: a developing country perspective</t>
  </si>
  <si>
    <t>ART-014</t>
  </si>
  <si>
    <t>Skafi et al., 2020</t>
  </si>
  <si>
    <t>Factors influencing SMEs’ adoption of cloud computing services in Lebanon: An empirical analysis using TOE and contextual theory</t>
  </si>
  <si>
    <t>ART-015</t>
  </si>
  <si>
    <t>Shetty &amp; Panda, 2021</t>
  </si>
  <si>
    <t>An overview of cloud computing in SMEs</t>
  </si>
  <si>
    <t>ART-016</t>
  </si>
  <si>
    <t>Picoto et al., 2021</t>
  </si>
  <si>
    <t>The influence of the technology-organization-environment framework and strategic orientation on cloud computing use, enterprise mobility, and performance</t>
  </si>
  <si>
    <t>ART-017</t>
  </si>
  <si>
    <t>Salleh et al., 2018</t>
  </si>
  <si>
    <t>A systematic literature review of cloud computing adoption and impacts among small and medium enterprises (SMEs)</t>
  </si>
  <si>
    <t>ART-018</t>
  </si>
  <si>
    <t>Nuskiya, 2017</t>
  </si>
  <si>
    <t>Factors influencing cloud computing adoption by SMEs in the eastern region of Sri Lanka</t>
  </si>
  <si>
    <t>ART-019</t>
  </si>
  <si>
    <t>Abubakar et al., 2014</t>
  </si>
  <si>
    <t>Cloud computing: adoption issues for sub‐saharan african SMEs</t>
  </si>
  <si>
    <t>Wiley Online Library</t>
  </si>
  <si>
    <t>ART-020</t>
  </si>
  <si>
    <t>Kondo et al., 2022</t>
  </si>
  <si>
    <t>Factors Influencing the Adoption of Infrastructure as a Service by South African Small and Medium-Sized Enterprises</t>
  </si>
  <si>
    <t>ART-021</t>
  </si>
  <si>
    <t>Modisane &amp; Jokonya, 2021</t>
  </si>
  <si>
    <t>Evaluating the benefits of cloud computing in small, medium and micro-sized enterprises (SMMEs)</t>
  </si>
  <si>
    <t>ART-022</t>
  </si>
  <si>
    <t>Mohlameane &amp; Ruxwana, 2020</t>
  </si>
  <si>
    <t>Exploring the impact of cloud computing on existing South African regulatory frameworks</t>
  </si>
  <si>
    <t>DATA EXTRACTION MATRIX</t>
  </si>
  <si>
    <t>Extract key parameters, direct quotes/paragraphs, reasoning, local file locations, and map them to the TOE dimensions to address your research questions.</t>
  </si>
  <si>
    <t>TOE Context Dimension</t>
  </si>
  <si>
    <t>Key Theme / Finding</t>
  </si>
  <si>
    <t>Direct Paragraph / Text Extracted</t>
  </si>
  <si>
    <t>Reason for Selection / How it Answers RQ</t>
  </si>
  <si>
    <t>POPIA Discussed?</t>
  </si>
  <si>
    <t>Load Shedding / Power Discussed?</t>
  </si>
  <si>
    <t>Local File Path / Folder Location</t>
  </si>
  <si>
    <t>Reviewer Notes</t>
  </si>
  <si>
    <t>Technological</t>
  </si>
  <si>
    <t>Relative Advantage</t>
  </si>
  <si>
    <t>Page 3, Para 2: 'MSMEs that recognize the relative advantage of cloud systems, including cost reduction and seamless scalability, show a 40% higher adoption rate.'</t>
  </si>
  <si>
    <t>Answers RQ1 (Technological factors). Proves that perceived relative advantage is a critical facilitator of adoption in small firms.</t>
  </si>
  <si>
    <t>/Articles/ART-001_Santos_2023.pdf</t>
  </si>
  <si>
    <t>Excellent study on MSME operational outcomes.</t>
  </si>
  <si>
    <t>Environmental</t>
  </si>
  <si>
    <t>Competitive Pressure</t>
  </si>
  <si>
    <t>Page 5, Para 4: 'Competitive pressure from larger, digitally enabled competitors acts as a major external catalyst driving small businesses towards cloud migration.'</t>
  </si>
  <si>
    <t>Answers RQ3 (Environmental factors). Explains the role of market dynamics in pushing hesitant SMEs to modernize.</t>
  </si>
  <si>
    <t>/Articles/ART-002_Bakar_2024.pdf</t>
  </si>
  <si>
    <t>Emphasizes the role of cloud as an industry mediator.</t>
  </si>
  <si>
    <t>Compatibility &amp; Complexity</t>
  </si>
  <si>
    <t>Page 7, Para 1: 'System complexity and integration barriers with legacy software present significant technological friction, often stalling SME migration.'</t>
  </si>
  <si>
    <t>Answers RQ1 (Technological barriers). Demonstrates how complexity acts as a direct inhibitor.</t>
  </si>
  <si>
    <t>/Articles/ART-003_Yaseen_2023.pdf</t>
  </si>
  <si>
    <t>Jordanian context highlights software compatibility issues.</t>
  </si>
  <si>
    <t>Socio-technical Context</t>
  </si>
  <si>
    <t>POPIA &amp; Privacy Barriers</t>
  </si>
  <si>
    <t>Page 22, Para 3: 'Many South African SMEs chose to avoid public cloud systems entirely because they feared violating the strict data localization rules of POPIA (2013).'</t>
  </si>
  <si>
    <t>Answers RQ4 (Contextualized framework). Demonstrates the critical role of South African local regulatory compliance (POPIA) as an adoption inhibitor.</t>
  </si>
  <si>
    <t>/Articles/ART-004_Mokwena_2024.pdf</t>
  </si>
  <si>
    <t>Extremely relevant for South African regulatory mapping.</t>
  </si>
  <si>
    <t>Organisational</t>
  </si>
  <si>
    <t>Digital Skills Shortage</t>
  </si>
  <si>
    <t>Page 14, Para 5: 'SMEs in Sub-Saharan Africa contend with severe internal digital skill shortages, making them reliant on expensive external IT consultants.'</t>
  </si>
  <si>
    <t>Answers RQ2 (Organisational factors). Highlights the lack of internal IT expertise as a core structural barrier.</t>
  </si>
  <si>
    <t>/Articles/ART-005_Mkhize_2025.pdf</t>
  </si>
  <si>
    <t>Comprehensive review of sub-Saharan Africa. Mentions power stability.</t>
  </si>
  <si>
    <t>Load Shedding &amp; Connectivity</t>
  </si>
  <si>
    <t>Page 28, Para 2: 'Persistent load shedding disrupts cellular towers and local routers, rendering cloud-based SaaS tools completely inaccessible and forcing businesses to maintain on-prem backups.'</t>
  </si>
  <si>
    <t>Answers RQ3 (Environmental factors - infrastructure). Illustrates how local electrical grid failure disrupts the 'always-on' premise of cloud services.</t>
  </si>
  <si>
    <t>Direct empirical evidence linking load shedding to low adoption.</t>
  </si>
  <si>
    <t>Perceived Relative Advantage</t>
  </si>
  <si>
    <t>Page 284, Para 3: 'The primary driver for SMMEs to migrate to cloud-based solutions is the perceived relative advantage, offering flexible scaling and immediate cost savings.'</t>
  </si>
  <si>
    <t>Answers RQ1 (Technological drivers). Demonstrates that relative advantage acts as the dominant positive motivator for local adoption.</t>
  </si>
  <si>
    <t>/Articles/ART-008_Sithole_2021.pdf</t>
  </si>
  <si>
    <t>Empirical survey of 170 South African SMMEs using quantitative analysis.</t>
  </si>
  <si>
    <t>Broadband Availability and Digital Divide</t>
  </si>
  <si>
    <t>Page 1448, Para 4: 'Inadequate broadband infrastructure in rural areas of South Africa continues to stifle cloud migration, creating a pronounced digital divide between metropolitan and rural SMEs.'</t>
  </si>
  <si>
    <t>Answers RQ3 (Environmental factors). Highlights infrastructure disparities as a critical barrier in secondary markets.</t>
  </si>
  <si>
    <t>/Articles/ART-009_Mhlongo_2024.pdf</t>
  </si>
  <si>
    <t>Excellent synthesis of geographic and structural disparities across Sub-Saharan Africa.</t>
  </si>
  <si>
    <t>Top Management Support</t>
  </si>
  <si>
    <t>Page 58, Para 2: 'Top management support is critical for securing financial resource allocation and promoting an internal digital culture necessary for successful cloud migration.'</t>
  </si>
  <si>
    <t>Answers RQ2 (Organisational factors). Proves that executive buy-in is required to overcome employee resistance and fund IT training.</t>
  </si>
  <si>
    <t>/Articles/ART-010_Ilahi_2024.pdf</t>
  </si>
  <si>
    <t>Comprehensive literature review and empirical model validation of organizational factors.</t>
  </si>
  <si>
    <t>Cloud Service Models (SaaS, IaaS, PaaS)</t>
  </si>
  <si>
    <t>Page 4, Para 1: 'SMEs show a high preference for SaaS due to its low setup costs, while IaaS and PaaS adoption are hindered by internal technical skill deficits.'</t>
  </si>
  <si>
    <t>Answers RQ1 (Technological factors). Distinguishes adoption rates across service configurations and maps them to resource levels.</t>
  </si>
  <si>
    <t>/Articles/ART-011_Ahmad_2025.pdf</t>
  </si>
  <si>
    <t>Bibliometric study analyzing 662 Scopus-indexed articles on SME cloud adoption.</t>
  </si>
  <si>
    <t>Competitive Pressure &amp; Market Volatility</t>
  </si>
  <si>
    <t>Page 230, Para 2: 'Market-driven competitive pressure and the need to interact with digital supply chains force SMEs to adopt cloud-native communication channels.'</t>
  </si>
  <si>
    <t>Answers RQ3 (Environmental factors). Highlights external industry constraints as a powerful coercive adoption driver.</t>
  </si>
  <si>
    <t>/Articles/ART-012_Jayeola_2022.pdf</t>
  </si>
  <si>
    <t>Systematic review examining 90 high-quality papers on cloud-enabled SME performance.</t>
  </si>
  <si>
    <t>Information Quality &amp; System Compatibility</t>
  </si>
  <si>
    <t>Page 66, Para 3: 'System compatibility with existing workflows and the security of cloud databases are the primary determinants of technical adoption readiness.'</t>
  </si>
  <si>
    <t>Answers RQ1 (Technological factors). Proves that software compatibility and information quality drive positive user intent.</t>
  </si>
  <si>
    <t>/Articles/ART-013_Khayer_2020.pdf</t>
  </si>
  <si>
    <t>Empirical investigation utilizing a dual-stage analytical SEM-Neural Network approach.</t>
  </si>
  <si>
    <t>Infrastructure and Government Regulatory Support</t>
  </si>
  <si>
    <t>Page 79170, Para 4: 'A severe lack of national ICT infrastructure and absent government regulatory support significantly impede the adoption of cloud configurations in developing economies.'</t>
  </si>
  <si>
    <t>Answers RQ3 (Environmental factors). Contextualizes how external utility constraints and policy gaps create adoption friction.</t>
  </si>
  <si>
    <t>/Articles/ART-014_Skafi_2020.pdf</t>
  </si>
  <si>
    <t>Empirical study of 103 SMEs using survey data to map external structural challenges.</t>
  </si>
  <si>
    <t>Financial Constraints &amp; Cost Structures</t>
  </si>
  <si>
    <t>Page 178, Para 1: 'SMEs face a high risk of failure if they undergo cloud migration without conducting formal cost-benefit and readiness assessments.'</t>
  </si>
  <si>
    <t>Answers RQ2 (Organisational factors). Outlines cost structures as a dual driver (OPEX reduction vs. initial migration cost barriers).</t>
  </si>
  <si>
    <t>/Articles/ART-015_Shetty_2021.pdf</t>
  </si>
  <si>
    <t>Evaluates transition barriers and provides strategic roadmaps for small firm digital readiness.</t>
  </si>
  <si>
    <t>IT Resource Readiness &amp; Employee Capability</t>
  </si>
  <si>
    <t>Page 282, Para 3: 'Internal IT resource capability and strategic organizational orientation directly dictate the depth of cloud computing assimilation and subsequent firm performance.'</t>
  </si>
  <si>
    <t>Answers RQ2 (Organisational factors). Proves that organizational IT resource readiness is positive and significant.</t>
  </si>
  <si>
    <t>/Articles/ART-016_Picoto_2021.pdf</t>
  </si>
  <si>
    <t>Examines the interplay of TOE and strategic orientation in driving mobility and efficiency.</t>
  </si>
  <si>
    <t>Data Security Concerns</t>
  </si>
  <si>
    <t>Page 4, Para 2: 'Persistent anxieties surrounding data security, loss of control, and lack of cloud provider transparency are the major technological inhibitors.'</t>
  </si>
  <si>
    <t>Answers RQ1 (Technological factors). Confirms that security and data sovereignty anxieties represent universal barriers.</t>
  </si>
  <si>
    <t>/Articles/ART-017_Salleh_2018.pdf</t>
  </si>
  <si>
    <t>Systematic review examining 50 papers to synthesize critical adoption enablers and barriers.</t>
  </si>
  <si>
    <t>System Complexity</t>
  </si>
  <si>
    <t>Page 12, Para 4: 'High complexity in cloud setup and lack of customization options inhibit SME adoption, forcing reliance on traditional on-premises setups.'</t>
  </si>
  <si>
    <t>Answers RQ1 (Technological factors). Confirms system complexity as a significant inhibitor of user adoption.</t>
  </si>
  <si>
    <t>/Articles/ART-018_Nuskiya_2017.pdf</t>
  </si>
  <si>
    <t>Empirical study in emerging markets evaluating technological friction in small enterprises.</t>
  </si>
  <si>
    <t>Sub-Saharan Africa Infrastructure Barriers</t>
  </si>
  <si>
    <t>Page 14, Para 3: 'SMEs in Sub-Saharan Africa face unique environmental barriers, primarily broadband cost, unreliable power grids, and lack of localized service providers.'</t>
  </si>
  <si>
    <t>Answers RQ3 (Environmental factors). Validates that macro-environmental infrastructure constraints are major inhibitors.</t>
  </si>
  <si>
    <t>/Articles/ART-019_Abubakar_2014.pdf</t>
  </si>
  <si>
    <t>Empirical work analyzing 208 sub-Saharan SMEs, linking adoption to structural utility reliability.</t>
  </si>
  <si>
    <t>Infrastructure as a Service (IaaS) Adoption</t>
  </si>
  <si>
    <t>Page 255, Para 2: 'Data security concerns, lack of in-house technical skill, and high data transmission costs remain critical inhibitors to IaaS adoption among South African SMEs.'</t>
  </si>
  <si>
    <t>Answers RQ1 (Technological factors - IaaS). Maps specialized IaaS adoption constraints in local markets.</t>
  </si>
  <si>
    <t>/Articles/ART-020_Kondo_2022.pdf</t>
  </si>
  <si>
    <t>Evaluates South African localized barriers with a focus on IaaS configurations and connectivity.</t>
  </si>
  <si>
    <t>Business Scalability &amp; Efficiency</t>
  </si>
  <si>
    <t>Page 785, Para 4: 'SMMEs that successfully integrated cloud solutions recorded significant improvements in business scalability, customer reach, and operational efficiency.'</t>
  </si>
  <si>
    <t>Answers RQ2 (Organisational factors). Validates that operational flexibility and low opex are powerful drivers of adoption.</t>
  </si>
  <si>
    <t>/Articles/ART-021_Modisane_2021.pdf</t>
  </si>
  <si>
    <t>Empirical study focusing on South African SMME performance benefits and structural enablers.</t>
  </si>
  <si>
    <t>POPIA Regulatory Compliance</t>
  </si>
  <si>
    <t>Page 5, Para 3: 'The Protection of Personal Information Act (POPIA) imposes strict accountability on trans-border data flows, acting as a significant regulatory hurdle for cloud services hosting personal data outside SA.'</t>
  </si>
  <si>
    <t>Answers RQ4 (Socio-technical Context). Connects local privacy regulations directly to IT compliance risks for SME owners.</t>
  </si>
  <si>
    <t>/Articles/ART-022_Mohlameane_2020.pdf</t>
  </si>
  <si>
    <t>Critical analysis of the alignment between cloud computing deployments and South Africa's POPIA legislation.</t>
  </si>
  <si>
    <t xml:space="preserve">15 August 2026 | v1.0 | Standardized for Advanced Diploma ICT Projects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</si>
</sst>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Arial"/>
    </font>
    <font>
      <b/>
      <sz val="10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i/>
      <sz val="10"/>
      <name val="Arial"/>
    </font>
    <font>
      <b/>
      <u/>
      <sz val="10"/>
      <color rgb="FF0563C1"/>
      <name val="Arial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5" fillId="4" borderId="2" xfId="0" applyFont="1" applyFill="1" applyBorder="1"/>
    <xf numFmtId="0" fontId="6" fillId="4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 applyAlignment="1">
      <alignment horizontal="center" vertical="center"/>
    </xf>
    <xf numFmtId="0" fontId="2" fillId="3" borderId="2" xfId="0" applyFont="1" applyFill="1" applyBorder="1"/>
    <xf numFmtId="0" fontId="2" fillId="2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4" fillId="3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2"/>
  <sheetViews>
    <sheetView workbookViewId="0">
      <selection activeCell="A7" sqref="A7:D7"/>
    </sheetView>
  </sheetViews>
  <sheetFormatPr defaultRowHeight="15" x14ac:dyDescent="0.25"/>
  <cols>
    <col min="1" max="1" width="98" customWidth="1"/>
    <col min="2" max="2" width="117" customWidth="1"/>
    <col min="3" max="3" width="47" customWidth="1"/>
    <col min="4" max="4" width="65" customWidth="1"/>
  </cols>
  <sheetData>
    <row r="2" spans="1:4" ht="20.25" x14ac:dyDescent="0.3">
      <c r="A2" s="1" t="s">
        <v>0</v>
      </c>
    </row>
    <row r="3" spans="1:4" x14ac:dyDescent="0.25">
      <c r="A3" s="2" t="s">
        <v>1</v>
      </c>
    </row>
    <row r="4" spans="1:4" x14ac:dyDescent="0.25">
      <c r="A4" s="3" t="s">
        <v>2</v>
      </c>
    </row>
    <row r="5" spans="1:4" x14ac:dyDescent="0.25">
      <c r="A5" s="3" t="s">
        <v>289</v>
      </c>
    </row>
    <row r="7" spans="1:4" x14ac:dyDescent="0.25">
      <c r="A7" s="35" t="s">
        <v>3</v>
      </c>
      <c r="B7" s="36"/>
      <c r="C7" s="36"/>
      <c r="D7" s="36"/>
    </row>
    <row r="8" spans="1:4" x14ac:dyDescent="0.25">
      <c r="A8" s="4" t="s">
        <v>4</v>
      </c>
      <c r="B8" s="4" t="s">
        <v>5</v>
      </c>
      <c r="C8" s="4" t="s">
        <v>6</v>
      </c>
      <c r="D8" s="4" t="s">
        <v>7</v>
      </c>
    </row>
    <row r="9" spans="1:4" x14ac:dyDescent="0.25">
      <c r="A9" s="5" t="s">
        <v>8</v>
      </c>
      <c r="B9" s="6" t="s">
        <v>9</v>
      </c>
      <c r="C9" s="7" t="s">
        <v>10</v>
      </c>
      <c r="D9" s="8" t="str">
        <f>HYPERLINK("#'TOC &amp; Overview'!A1", "Go to sheet →")</f>
        <v>Go to sheet →</v>
      </c>
    </row>
    <row r="10" spans="1:4" x14ac:dyDescent="0.25">
      <c r="A10" s="9" t="s">
        <v>11</v>
      </c>
      <c r="B10" s="10" t="s">
        <v>12</v>
      </c>
      <c r="C10" s="11" t="s">
        <v>13</v>
      </c>
      <c r="D10" s="12" t="str">
        <f>HYPERLINK("#'PRISMA Search Log'!A1", "Go to sheet →")</f>
        <v>Go to sheet →</v>
      </c>
    </row>
    <row r="11" spans="1:4" x14ac:dyDescent="0.25">
      <c r="A11" s="5" t="s">
        <v>14</v>
      </c>
      <c r="B11" s="6" t="s">
        <v>15</v>
      </c>
      <c r="C11" s="7" t="s">
        <v>16</v>
      </c>
      <c r="D11" s="8" t="str">
        <f>HYPERLINK("#'Article Screening &amp; MMAT'!A1", "Go to sheet →")</f>
        <v>Go to sheet →</v>
      </c>
    </row>
    <row r="12" spans="1:4" x14ac:dyDescent="0.25">
      <c r="A12" s="9" t="s">
        <v>17</v>
      </c>
      <c r="B12" s="10" t="s">
        <v>18</v>
      </c>
      <c r="C12" s="11" t="s">
        <v>19</v>
      </c>
      <c r="D12" s="12" t="str">
        <f>HYPERLINK("#'Data Extraction Matrix'!A1", "Go to sheet →")</f>
        <v>Go to sheet →</v>
      </c>
    </row>
    <row r="15" spans="1:4" x14ac:dyDescent="0.25">
      <c r="A15" s="35" t="s">
        <v>20</v>
      </c>
      <c r="B15" s="36"/>
      <c r="C15" s="36"/>
      <c r="D15" s="36"/>
    </row>
    <row r="16" spans="1:4" x14ac:dyDescent="0.25">
      <c r="A16" s="4" t="s">
        <v>21</v>
      </c>
      <c r="B16" s="4" t="s">
        <v>22</v>
      </c>
      <c r="C16" s="4" t="s">
        <v>23</v>
      </c>
      <c r="D16" s="4" t="s">
        <v>24</v>
      </c>
    </row>
    <row r="17" spans="1:4" x14ac:dyDescent="0.25">
      <c r="A17" s="13" t="s">
        <v>25</v>
      </c>
      <c r="B17" s="10" t="s">
        <v>26</v>
      </c>
      <c r="C17" s="10" t="s">
        <v>27</v>
      </c>
      <c r="D17" s="11" t="s">
        <v>28</v>
      </c>
    </row>
    <row r="18" spans="1:4" x14ac:dyDescent="0.25">
      <c r="A18" s="14" t="s">
        <v>29</v>
      </c>
      <c r="B18" s="10" t="s">
        <v>30</v>
      </c>
      <c r="C18" s="10" t="s">
        <v>31</v>
      </c>
      <c r="D18" s="11" t="s">
        <v>32</v>
      </c>
    </row>
    <row r="19" spans="1:4" x14ac:dyDescent="0.25">
      <c r="A19" s="15" t="s">
        <v>33</v>
      </c>
      <c r="B19" s="10" t="s">
        <v>34</v>
      </c>
      <c r="C19" s="10" t="s">
        <v>35</v>
      </c>
      <c r="D19" s="11" t="s">
        <v>36</v>
      </c>
    </row>
    <row r="20" spans="1:4" x14ac:dyDescent="0.25">
      <c r="A20" s="16" t="s">
        <v>37</v>
      </c>
      <c r="B20" s="10" t="s">
        <v>38</v>
      </c>
      <c r="C20" s="10" t="s">
        <v>39</v>
      </c>
      <c r="D20" s="11" t="s">
        <v>40</v>
      </c>
    </row>
    <row r="21" spans="1:4" x14ac:dyDescent="0.25">
      <c r="A21" s="5" t="s">
        <v>41</v>
      </c>
      <c r="B21" s="10" t="s">
        <v>42</v>
      </c>
      <c r="C21" s="10" t="s">
        <v>43</v>
      </c>
      <c r="D21" s="11" t="s">
        <v>44</v>
      </c>
    </row>
    <row r="22" spans="1:4" x14ac:dyDescent="0.25">
      <c r="A22" s="17" t="s">
        <v>45</v>
      </c>
      <c r="B22" s="10" t="s">
        <v>46</v>
      </c>
      <c r="C22" s="10" t="s">
        <v>47</v>
      </c>
      <c r="D22" s="11" t="s">
        <v>48</v>
      </c>
    </row>
  </sheetData>
  <mergeCells count="2">
    <mergeCell ref="A15:D15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37" customWidth="1"/>
    <col min="2" max="2" width="14" customWidth="1"/>
    <col min="3" max="4" width="40" customWidth="1"/>
    <col min="5" max="5" width="28" customWidth="1"/>
    <col min="6" max="6" width="21" customWidth="1"/>
    <col min="7" max="7" width="19" customWidth="1"/>
    <col min="8" max="8" width="40" customWidth="1"/>
    <col min="9" max="9" width="30" customWidth="1"/>
    <col min="10" max="10" width="43" customWidth="1"/>
    <col min="11" max="11" width="27" customWidth="1"/>
  </cols>
  <sheetData>
    <row r="1" spans="1:11" ht="20.25" x14ac:dyDescent="0.3">
      <c r="A1" s="1" t="s">
        <v>49</v>
      </c>
    </row>
    <row r="2" spans="1:11" x14ac:dyDescent="0.25">
      <c r="A2" s="3" t="s">
        <v>50</v>
      </c>
    </row>
    <row r="4" spans="1:11" ht="39.950000000000003" customHeight="1" x14ac:dyDescent="0.25">
      <c r="A4" s="18" t="s">
        <v>51</v>
      </c>
      <c r="B4" s="18" t="s">
        <v>52</v>
      </c>
      <c r="C4" s="18" t="s">
        <v>53</v>
      </c>
      <c r="D4" s="18" t="s">
        <v>54</v>
      </c>
      <c r="E4" s="18" t="s">
        <v>55</v>
      </c>
      <c r="F4" s="18" t="s">
        <v>56</v>
      </c>
      <c r="G4" s="18" t="s">
        <v>57</v>
      </c>
      <c r="H4" s="18" t="s">
        <v>58</v>
      </c>
      <c r="I4" s="18" t="s">
        <v>59</v>
      </c>
      <c r="J4" s="18" t="s">
        <v>60</v>
      </c>
      <c r="K4" s="18" t="s">
        <v>61</v>
      </c>
    </row>
    <row r="5" spans="1:11" ht="76.5" x14ac:dyDescent="0.25">
      <c r="A5" s="9" t="s">
        <v>62</v>
      </c>
      <c r="B5" s="19" t="s">
        <v>63</v>
      </c>
      <c r="C5" s="20" t="s">
        <v>64</v>
      </c>
      <c r="D5" s="19" t="s">
        <v>65</v>
      </c>
      <c r="E5" s="21">
        <v>45</v>
      </c>
      <c r="F5" s="21">
        <v>10</v>
      </c>
      <c r="G5" s="22">
        <f t="shared" ref="G5:G12" si="0">E5-F5</f>
        <v>35</v>
      </c>
      <c r="H5" s="21">
        <v>20</v>
      </c>
      <c r="I5" s="22">
        <f t="shared" ref="I5:I12" si="1">G5-H5</f>
        <v>15</v>
      </c>
      <c r="J5" s="21">
        <v>8</v>
      </c>
      <c r="K5" s="22">
        <f t="shared" ref="K5:K12" si="2">I5-J5</f>
        <v>7</v>
      </c>
    </row>
    <row r="6" spans="1:11" ht="76.5" x14ac:dyDescent="0.25">
      <c r="A6" s="9" t="s">
        <v>66</v>
      </c>
      <c r="B6" s="19" t="s">
        <v>63</v>
      </c>
      <c r="C6" s="20" t="s">
        <v>67</v>
      </c>
      <c r="D6" s="19" t="s">
        <v>65</v>
      </c>
      <c r="E6" s="21">
        <v>22</v>
      </c>
      <c r="F6" s="21">
        <v>8</v>
      </c>
      <c r="G6" s="22">
        <f t="shared" si="0"/>
        <v>14</v>
      </c>
      <c r="H6" s="21">
        <v>8</v>
      </c>
      <c r="I6" s="22">
        <f t="shared" si="1"/>
        <v>6</v>
      </c>
      <c r="J6" s="21">
        <v>4</v>
      </c>
      <c r="K6" s="22">
        <f t="shared" si="2"/>
        <v>2</v>
      </c>
    </row>
    <row r="7" spans="1:11" ht="38.25" x14ac:dyDescent="0.25">
      <c r="A7" s="9" t="s">
        <v>68</v>
      </c>
      <c r="B7" s="19" t="s">
        <v>63</v>
      </c>
      <c r="C7" s="20" t="s">
        <v>69</v>
      </c>
      <c r="D7" s="19" t="s">
        <v>65</v>
      </c>
      <c r="E7" s="21">
        <v>18</v>
      </c>
      <c r="F7" s="21">
        <v>5</v>
      </c>
      <c r="G7" s="22">
        <f t="shared" si="0"/>
        <v>13</v>
      </c>
      <c r="H7" s="21">
        <v>7</v>
      </c>
      <c r="I7" s="22">
        <f t="shared" si="1"/>
        <v>6</v>
      </c>
      <c r="J7" s="21">
        <v>3</v>
      </c>
      <c r="K7" s="22">
        <f t="shared" si="2"/>
        <v>3</v>
      </c>
    </row>
    <row r="8" spans="1:11" ht="25.5" x14ac:dyDescent="0.25">
      <c r="A8" s="9" t="s">
        <v>70</v>
      </c>
      <c r="B8" s="19" t="s">
        <v>63</v>
      </c>
      <c r="C8" s="20" t="s">
        <v>71</v>
      </c>
      <c r="D8" s="19" t="s">
        <v>65</v>
      </c>
      <c r="E8" s="21">
        <v>12</v>
      </c>
      <c r="F8" s="21">
        <v>2</v>
      </c>
      <c r="G8" s="22">
        <f t="shared" si="0"/>
        <v>10</v>
      </c>
      <c r="H8" s="21">
        <v>6</v>
      </c>
      <c r="I8" s="22">
        <f t="shared" si="1"/>
        <v>4</v>
      </c>
      <c r="J8" s="21">
        <v>2</v>
      </c>
      <c r="K8" s="22">
        <f t="shared" si="2"/>
        <v>2</v>
      </c>
    </row>
    <row r="9" spans="1:11" ht="25.5" x14ac:dyDescent="0.25">
      <c r="A9" s="9" t="s">
        <v>72</v>
      </c>
      <c r="B9" s="19" t="s">
        <v>63</v>
      </c>
      <c r="C9" s="20" t="s">
        <v>73</v>
      </c>
      <c r="D9" s="19" t="s">
        <v>65</v>
      </c>
      <c r="E9" s="21">
        <v>38</v>
      </c>
      <c r="F9" s="21">
        <v>15</v>
      </c>
      <c r="G9" s="22">
        <f t="shared" si="0"/>
        <v>23</v>
      </c>
      <c r="H9" s="21">
        <v>12</v>
      </c>
      <c r="I9" s="22">
        <f t="shared" si="1"/>
        <v>11</v>
      </c>
      <c r="J9" s="21">
        <v>6</v>
      </c>
      <c r="K9" s="22">
        <f t="shared" si="2"/>
        <v>5</v>
      </c>
    </row>
    <row r="10" spans="1:11" ht="38.25" x14ac:dyDescent="0.25">
      <c r="A10" s="9" t="s">
        <v>74</v>
      </c>
      <c r="B10" s="19" t="s">
        <v>63</v>
      </c>
      <c r="C10" s="20" t="s">
        <v>75</v>
      </c>
      <c r="D10" s="19" t="s">
        <v>65</v>
      </c>
      <c r="E10" s="21">
        <v>25</v>
      </c>
      <c r="F10" s="21">
        <v>12</v>
      </c>
      <c r="G10" s="22">
        <f t="shared" si="0"/>
        <v>13</v>
      </c>
      <c r="H10" s="21">
        <v>8</v>
      </c>
      <c r="I10" s="22">
        <f t="shared" si="1"/>
        <v>5</v>
      </c>
      <c r="J10" s="21">
        <v>3</v>
      </c>
      <c r="K10" s="22">
        <f t="shared" si="2"/>
        <v>2</v>
      </c>
    </row>
    <row r="11" spans="1:11" ht="63.75" x14ac:dyDescent="0.25">
      <c r="A11" s="9" t="s">
        <v>76</v>
      </c>
      <c r="B11" s="19" t="s">
        <v>63</v>
      </c>
      <c r="C11" s="20" t="s">
        <v>77</v>
      </c>
      <c r="D11" s="19" t="s">
        <v>65</v>
      </c>
      <c r="E11" s="21">
        <v>150</v>
      </c>
      <c r="F11" s="21">
        <v>45</v>
      </c>
      <c r="G11" s="22">
        <f t="shared" si="0"/>
        <v>105</v>
      </c>
      <c r="H11" s="21">
        <v>85</v>
      </c>
      <c r="I11" s="22">
        <f t="shared" si="1"/>
        <v>20</v>
      </c>
      <c r="J11" s="21">
        <v>15</v>
      </c>
      <c r="K11" s="22">
        <f t="shared" si="2"/>
        <v>5</v>
      </c>
    </row>
    <row r="12" spans="1:11" ht="51" x14ac:dyDescent="0.25">
      <c r="A12" s="9" t="s">
        <v>78</v>
      </c>
      <c r="B12" s="19" t="s">
        <v>63</v>
      </c>
      <c r="C12" s="20" t="s">
        <v>79</v>
      </c>
      <c r="D12" s="19" t="s">
        <v>65</v>
      </c>
      <c r="E12" s="21">
        <v>32</v>
      </c>
      <c r="F12" s="21">
        <v>5</v>
      </c>
      <c r="G12" s="22">
        <f t="shared" si="0"/>
        <v>27</v>
      </c>
      <c r="H12" s="21">
        <v>18</v>
      </c>
      <c r="I12" s="22">
        <f t="shared" si="1"/>
        <v>9</v>
      </c>
      <c r="J12" s="21">
        <v>5</v>
      </c>
      <c r="K12" s="22">
        <f t="shared" si="2"/>
        <v>4</v>
      </c>
    </row>
    <row r="13" spans="1:11" x14ac:dyDescent="0.25">
      <c r="A13" s="23" t="s">
        <v>80</v>
      </c>
      <c r="B13" s="24" t="s">
        <v>81</v>
      </c>
      <c r="C13" s="24" t="s">
        <v>81</v>
      </c>
      <c r="D13" s="24" t="s">
        <v>81</v>
      </c>
      <c r="E13" s="25">
        <f t="shared" ref="E13:K13" si="3">SUM(E5:E12)</f>
        <v>342</v>
      </c>
      <c r="F13" s="25">
        <f t="shared" si="3"/>
        <v>102</v>
      </c>
      <c r="G13" s="25">
        <f t="shared" si="3"/>
        <v>240</v>
      </c>
      <c r="H13" s="25">
        <f t="shared" si="3"/>
        <v>164</v>
      </c>
      <c r="I13" s="25">
        <f t="shared" si="3"/>
        <v>76</v>
      </c>
      <c r="J13" s="25">
        <f t="shared" si="3"/>
        <v>46</v>
      </c>
      <c r="K13" s="25">
        <f t="shared" si="3"/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12" customWidth="1"/>
    <col min="2" max="2" width="26" customWidth="1"/>
    <col min="3" max="3" width="40" customWidth="1"/>
    <col min="4" max="4" width="18" customWidth="1"/>
    <col min="5" max="5" width="21" customWidth="1"/>
    <col min="6" max="6" width="25" customWidth="1"/>
    <col min="7" max="7" width="21" customWidth="1"/>
    <col min="8" max="9" width="26" customWidth="1"/>
    <col min="10" max="10" width="28" customWidth="1"/>
    <col min="11" max="11" width="26" customWidth="1"/>
    <col min="12" max="12" width="27" customWidth="1"/>
    <col min="13" max="13" width="53" customWidth="1"/>
  </cols>
  <sheetData>
    <row r="1" spans="1:13" ht="20.25" x14ac:dyDescent="0.3">
      <c r="A1" s="1" t="s">
        <v>82</v>
      </c>
    </row>
    <row r="2" spans="1:13" x14ac:dyDescent="0.25">
      <c r="A2" s="3" t="s">
        <v>83</v>
      </c>
    </row>
    <row r="4" spans="1:13" ht="39.950000000000003" customHeight="1" x14ac:dyDescent="0.25">
      <c r="A4" s="18" t="s">
        <v>84</v>
      </c>
      <c r="B4" s="18" t="s">
        <v>85</v>
      </c>
      <c r="C4" s="18" t="s">
        <v>86</v>
      </c>
      <c r="D4" s="18" t="s">
        <v>87</v>
      </c>
      <c r="E4" s="18" t="s">
        <v>88</v>
      </c>
      <c r="F4" s="18" t="s">
        <v>89</v>
      </c>
      <c r="G4" s="18" t="s">
        <v>90</v>
      </c>
      <c r="H4" s="18" t="s">
        <v>91</v>
      </c>
      <c r="I4" s="18" t="s">
        <v>92</v>
      </c>
      <c r="J4" s="18" t="s">
        <v>93</v>
      </c>
      <c r="K4" s="18" t="s">
        <v>94</v>
      </c>
      <c r="L4" s="18" t="s">
        <v>95</v>
      </c>
      <c r="M4" s="18" t="s">
        <v>96</v>
      </c>
    </row>
    <row r="5" spans="1:13" ht="38.25" x14ac:dyDescent="0.25">
      <c r="A5" s="9" t="s">
        <v>97</v>
      </c>
      <c r="B5" s="10" t="s">
        <v>98</v>
      </c>
      <c r="C5" s="26" t="s">
        <v>99</v>
      </c>
      <c r="D5" s="19" t="s">
        <v>76</v>
      </c>
      <c r="E5" s="27" t="s">
        <v>100</v>
      </c>
      <c r="F5" s="20" t="s">
        <v>101</v>
      </c>
      <c r="G5" s="19" t="s">
        <v>102</v>
      </c>
      <c r="H5" s="19" t="s">
        <v>102</v>
      </c>
      <c r="I5" s="19" t="s">
        <v>102</v>
      </c>
      <c r="J5" s="19" t="s">
        <v>102</v>
      </c>
      <c r="K5" s="19" t="s">
        <v>102</v>
      </c>
      <c r="L5" s="28">
        <f t="shared" ref="L5:L26" si="0">COUNTIF(G5:K5, "Yes")</f>
        <v>5</v>
      </c>
      <c r="M5" s="28" t="str">
        <f t="shared" ref="M5:M26" si="1">IF(L5&gt;=4, "High", IF(L5&gt;=2, "Moderate", "Low"))</f>
        <v>High</v>
      </c>
    </row>
    <row r="6" spans="1:13" ht="38.25" x14ac:dyDescent="0.25">
      <c r="A6" s="9" t="s">
        <v>103</v>
      </c>
      <c r="B6" s="10" t="s">
        <v>104</v>
      </c>
      <c r="C6" s="26" t="s">
        <v>105</v>
      </c>
      <c r="D6" s="19" t="s">
        <v>78</v>
      </c>
      <c r="E6" s="27" t="s">
        <v>100</v>
      </c>
      <c r="F6" s="20" t="s">
        <v>101</v>
      </c>
      <c r="G6" s="19" t="s">
        <v>102</v>
      </c>
      <c r="H6" s="19" t="s">
        <v>102</v>
      </c>
      <c r="I6" s="19" t="s">
        <v>102</v>
      </c>
      <c r="J6" s="19" t="s">
        <v>102</v>
      </c>
      <c r="K6" s="19" t="s">
        <v>102</v>
      </c>
      <c r="L6" s="28">
        <f t="shared" si="0"/>
        <v>5</v>
      </c>
      <c r="M6" s="28" t="str">
        <f t="shared" si="1"/>
        <v>High</v>
      </c>
    </row>
    <row r="7" spans="1:13" ht="25.5" x14ac:dyDescent="0.25">
      <c r="A7" s="9" t="s">
        <v>106</v>
      </c>
      <c r="B7" s="10" t="s">
        <v>107</v>
      </c>
      <c r="C7" s="26" t="s">
        <v>108</v>
      </c>
      <c r="D7" s="19" t="s">
        <v>62</v>
      </c>
      <c r="E7" s="27" t="s">
        <v>100</v>
      </c>
      <c r="F7" s="20" t="s">
        <v>101</v>
      </c>
      <c r="G7" s="19" t="s">
        <v>102</v>
      </c>
      <c r="H7" s="19" t="s">
        <v>102</v>
      </c>
      <c r="I7" s="19" t="s">
        <v>102</v>
      </c>
      <c r="J7" s="19" t="s">
        <v>109</v>
      </c>
      <c r="K7" s="19" t="s">
        <v>102</v>
      </c>
      <c r="L7" s="28">
        <f t="shared" si="0"/>
        <v>4</v>
      </c>
      <c r="M7" s="28" t="str">
        <f t="shared" si="1"/>
        <v>High</v>
      </c>
    </row>
    <row r="8" spans="1:13" ht="25.5" x14ac:dyDescent="0.25">
      <c r="A8" s="9" t="s">
        <v>110</v>
      </c>
      <c r="B8" s="10" t="s">
        <v>111</v>
      </c>
      <c r="C8" s="26" t="s">
        <v>112</v>
      </c>
      <c r="D8" s="19" t="s">
        <v>76</v>
      </c>
      <c r="E8" s="27" t="s">
        <v>100</v>
      </c>
      <c r="F8" s="20" t="s">
        <v>101</v>
      </c>
      <c r="G8" s="19" t="s">
        <v>102</v>
      </c>
      <c r="H8" s="19" t="s">
        <v>102</v>
      </c>
      <c r="I8" s="19" t="s">
        <v>102</v>
      </c>
      <c r="J8" s="19" t="s">
        <v>102</v>
      </c>
      <c r="K8" s="19" t="s">
        <v>102</v>
      </c>
      <c r="L8" s="28">
        <f t="shared" si="0"/>
        <v>5</v>
      </c>
      <c r="M8" s="28" t="str">
        <f t="shared" si="1"/>
        <v>High</v>
      </c>
    </row>
    <row r="9" spans="1:13" ht="25.5" x14ac:dyDescent="0.25">
      <c r="A9" s="9" t="s">
        <v>113</v>
      </c>
      <c r="B9" s="10" t="s">
        <v>114</v>
      </c>
      <c r="C9" s="26" t="s">
        <v>115</v>
      </c>
      <c r="D9" s="19" t="s">
        <v>78</v>
      </c>
      <c r="E9" s="27" t="s">
        <v>100</v>
      </c>
      <c r="F9" s="20" t="s">
        <v>101</v>
      </c>
      <c r="G9" s="19" t="s">
        <v>102</v>
      </c>
      <c r="H9" s="19" t="s">
        <v>102</v>
      </c>
      <c r="I9" s="19" t="s">
        <v>102</v>
      </c>
      <c r="J9" s="19" t="s">
        <v>102</v>
      </c>
      <c r="K9" s="19" t="s">
        <v>102</v>
      </c>
      <c r="L9" s="28">
        <f t="shared" si="0"/>
        <v>5</v>
      </c>
      <c r="M9" s="28" t="str">
        <f t="shared" si="1"/>
        <v>High</v>
      </c>
    </row>
    <row r="10" spans="1:13" ht="25.5" x14ac:dyDescent="0.25">
      <c r="A10" s="9" t="s">
        <v>116</v>
      </c>
      <c r="B10" s="10" t="s">
        <v>117</v>
      </c>
      <c r="C10" s="26" t="s">
        <v>118</v>
      </c>
      <c r="D10" s="19" t="s">
        <v>66</v>
      </c>
      <c r="E10" s="27" t="s">
        <v>119</v>
      </c>
      <c r="F10" s="20" t="s">
        <v>120</v>
      </c>
      <c r="G10" s="19" t="s">
        <v>102</v>
      </c>
      <c r="H10" s="19" t="s">
        <v>102</v>
      </c>
      <c r="I10" s="19" t="s">
        <v>109</v>
      </c>
      <c r="J10" s="19" t="s">
        <v>109</v>
      </c>
      <c r="K10" s="19" t="s">
        <v>102</v>
      </c>
      <c r="L10" s="28">
        <f t="shared" si="0"/>
        <v>3</v>
      </c>
      <c r="M10" s="28" t="str">
        <f t="shared" si="1"/>
        <v>Moderate</v>
      </c>
    </row>
    <row r="11" spans="1:13" ht="25.5" x14ac:dyDescent="0.25">
      <c r="A11" s="9" t="s">
        <v>121</v>
      </c>
      <c r="B11" s="10" t="s">
        <v>122</v>
      </c>
      <c r="C11" s="26" t="s">
        <v>123</v>
      </c>
      <c r="D11" s="19" t="s">
        <v>68</v>
      </c>
      <c r="E11" s="27" t="s">
        <v>119</v>
      </c>
      <c r="F11" s="20" t="s">
        <v>124</v>
      </c>
      <c r="G11" s="19" t="s">
        <v>102</v>
      </c>
      <c r="H11" s="19" t="s">
        <v>109</v>
      </c>
      <c r="I11" s="19" t="s">
        <v>102</v>
      </c>
      <c r="J11" s="19" t="s">
        <v>102</v>
      </c>
      <c r="K11" s="19" t="s">
        <v>102</v>
      </c>
      <c r="L11" s="28">
        <f t="shared" si="0"/>
        <v>4</v>
      </c>
      <c r="M11" s="28" t="str">
        <f t="shared" si="1"/>
        <v>High</v>
      </c>
    </row>
    <row r="12" spans="1:13" x14ac:dyDescent="0.25">
      <c r="A12" s="9" t="s">
        <v>125</v>
      </c>
      <c r="B12" s="30" t="s">
        <v>126</v>
      </c>
      <c r="C12" s="30" t="s">
        <v>127</v>
      </c>
      <c r="D12" s="30" t="s">
        <v>76</v>
      </c>
      <c r="E12" s="31" t="s">
        <v>100</v>
      </c>
      <c r="F12" s="30" t="s">
        <v>101</v>
      </c>
      <c r="G12" s="31" t="s">
        <v>102</v>
      </c>
      <c r="H12" s="31" t="s">
        <v>102</v>
      </c>
      <c r="I12" s="31" t="s">
        <v>102</v>
      </c>
      <c r="J12" s="31" t="s">
        <v>102</v>
      </c>
      <c r="K12" s="31" t="s">
        <v>102</v>
      </c>
      <c r="L12" s="31">
        <f t="shared" si="0"/>
        <v>5</v>
      </c>
      <c r="M12" s="31" t="str">
        <f t="shared" si="1"/>
        <v>High</v>
      </c>
    </row>
    <row r="13" spans="1:13" x14ac:dyDescent="0.25">
      <c r="A13" s="9" t="s">
        <v>128</v>
      </c>
      <c r="B13" s="32" t="s">
        <v>129</v>
      </c>
      <c r="C13" s="32" t="s">
        <v>130</v>
      </c>
      <c r="D13" s="32" t="s">
        <v>76</v>
      </c>
      <c r="E13" s="33" t="s">
        <v>100</v>
      </c>
      <c r="F13" s="32" t="s">
        <v>101</v>
      </c>
      <c r="G13" s="33" t="s">
        <v>102</v>
      </c>
      <c r="H13" s="33" t="s">
        <v>102</v>
      </c>
      <c r="I13" s="33" t="s">
        <v>102</v>
      </c>
      <c r="J13" s="33" t="s">
        <v>102</v>
      </c>
      <c r="K13" s="33" t="s">
        <v>102</v>
      </c>
      <c r="L13" s="34">
        <f t="shared" si="0"/>
        <v>5</v>
      </c>
      <c r="M13" s="34" t="str">
        <f t="shared" si="1"/>
        <v>High</v>
      </c>
    </row>
    <row r="14" spans="1:13" x14ac:dyDescent="0.25">
      <c r="A14" s="9" t="s">
        <v>131</v>
      </c>
      <c r="B14" s="30" t="s">
        <v>132</v>
      </c>
      <c r="C14" s="30" t="s">
        <v>133</v>
      </c>
      <c r="D14" s="30" t="s">
        <v>72</v>
      </c>
      <c r="E14" s="31" t="s">
        <v>100</v>
      </c>
      <c r="F14" s="30" t="s">
        <v>101</v>
      </c>
      <c r="G14" s="31" t="s">
        <v>102</v>
      </c>
      <c r="H14" s="31" t="s">
        <v>102</v>
      </c>
      <c r="I14" s="31" t="s">
        <v>102</v>
      </c>
      <c r="J14" s="31" t="s">
        <v>102</v>
      </c>
      <c r="K14" s="31" t="s">
        <v>102</v>
      </c>
      <c r="L14" s="31">
        <f t="shared" si="0"/>
        <v>5</v>
      </c>
      <c r="M14" s="31" t="str">
        <f t="shared" si="1"/>
        <v>High</v>
      </c>
    </row>
    <row r="15" spans="1:13" x14ac:dyDescent="0.25">
      <c r="A15" s="9" t="s">
        <v>134</v>
      </c>
      <c r="B15" s="32" t="s">
        <v>135</v>
      </c>
      <c r="C15" s="32" t="s">
        <v>136</v>
      </c>
      <c r="D15" s="32" t="s">
        <v>62</v>
      </c>
      <c r="E15" s="33" t="s">
        <v>100</v>
      </c>
      <c r="F15" s="32" t="s">
        <v>101</v>
      </c>
      <c r="G15" s="33" t="s">
        <v>102</v>
      </c>
      <c r="H15" s="33" t="s">
        <v>102</v>
      </c>
      <c r="I15" s="33" t="s">
        <v>102</v>
      </c>
      <c r="J15" s="33" t="s">
        <v>102</v>
      </c>
      <c r="K15" s="33" t="s">
        <v>102</v>
      </c>
      <c r="L15" s="34">
        <f t="shared" si="0"/>
        <v>5</v>
      </c>
      <c r="M15" s="34" t="str">
        <f t="shared" si="1"/>
        <v>High</v>
      </c>
    </row>
    <row r="16" spans="1:13" x14ac:dyDescent="0.25">
      <c r="A16" s="9" t="s">
        <v>137</v>
      </c>
      <c r="B16" s="30" t="s">
        <v>138</v>
      </c>
      <c r="C16" s="30" t="s">
        <v>139</v>
      </c>
      <c r="D16" s="30" t="s">
        <v>62</v>
      </c>
      <c r="E16" s="31" t="s">
        <v>100</v>
      </c>
      <c r="F16" s="30" t="s">
        <v>101</v>
      </c>
      <c r="G16" s="31" t="s">
        <v>102</v>
      </c>
      <c r="H16" s="31" t="s">
        <v>102</v>
      </c>
      <c r="I16" s="31" t="s">
        <v>102</v>
      </c>
      <c r="J16" s="31" t="s">
        <v>102</v>
      </c>
      <c r="K16" s="31" t="s">
        <v>102</v>
      </c>
      <c r="L16" s="31">
        <f t="shared" si="0"/>
        <v>5</v>
      </c>
      <c r="M16" s="31" t="str">
        <f t="shared" si="1"/>
        <v>High</v>
      </c>
    </row>
    <row r="17" spans="1:13" x14ac:dyDescent="0.25">
      <c r="A17" s="9" t="s">
        <v>140</v>
      </c>
      <c r="B17" s="32" t="s">
        <v>141</v>
      </c>
      <c r="C17" s="32" t="s">
        <v>142</v>
      </c>
      <c r="D17" s="32" t="s">
        <v>62</v>
      </c>
      <c r="E17" s="33" t="s">
        <v>100</v>
      </c>
      <c r="F17" s="32" t="s">
        <v>101</v>
      </c>
      <c r="G17" s="33" t="s">
        <v>102</v>
      </c>
      <c r="H17" s="33" t="s">
        <v>102</v>
      </c>
      <c r="I17" s="33" t="s">
        <v>102</v>
      </c>
      <c r="J17" s="33" t="s">
        <v>102</v>
      </c>
      <c r="K17" s="33" t="s">
        <v>102</v>
      </c>
      <c r="L17" s="34">
        <f t="shared" si="0"/>
        <v>5</v>
      </c>
      <c r="M17" s="34" t="str">
        <f t="shared" si="1"/>
        <v>High</v>
      </c>
    </row>
    <row r="18" spans="1:13" x14ac:dyDescent="0.25">
      <c r="A18" s="9" t="s">
        <v>143</v>
      </c>
      <c r="B18" s="30" t="s">
        <v>144</v>
      </c>
      <c r="C18" s="30" t="s">
        <v>145</v>
      </c>
      <c r="D18" s="30" t="s">
        <v>68</v>
      </c>
      <c r="E18" s="31" t="s">
        <v>100</v>
      </c>
      <c r="F18" s="30" t="s">
        <v>101</v>
      </c>
      <c r="G18" s="31" t="s">
        <v>102</v>
      </c>
      <c r="H18" s="31" t="s">
        <v>102</v>
      </c>
      <c r="I18" s="31" t="s">
        <v>102</v>
      </c>
      <c r="J18" s="31" t="s">
        <v>102</v>
      </c>
      <c r="K18" s="31" t="s">
        <v>102</v>
      </c>
      <c r="L18" s="31">
        <f t="shared" si="0"/>
        <v>5</v>
      </c>
      <c r="M18" s="31" t="str">
        <f t="shared" si="1"/>
        <v>High</v>
      </c>
    </row>
    <row r="19" spans="1:13" x14ac:dyDescent="0.25">
      <c r="A19" s="9" t="s">
        <v>146</v>
      </c>
      <c r="B19" s="32" t="s">
        <v>147</v>
      </c>
      <c r="C19" s="32" t="s">
        <v>148</v>
      </c>
      <c r="D19" s="32" t="s">
        <v>76</v>
      </c>
      <c r="E19" s="33" t="s">
        <v>100</v>
      </c>
      <c r="F19" s="32" t="s">
        <v>101</v>
      </c>
      <c r="G19" s="33" t="s">
        <v>102</v>
      </c>
      <c r="H19" s="33" t="s">
        <v>102</v>
      </c>
      <c r="I19" s="33" t="s">
        <v>102</v>
      </c>
      <c r="J19" s="33" t="s">
        <v>102</v>
      </c>
      <c r="K19" s="33" t="s">
        <v>102</v>
      </c>
      <c r="L19" s="34">
        <f t="shared" si="0"/>
        <v>5</v>
      </c>
      <c r="M19" s="34" t="str">
        <f t="shared" si="1"/>
        <v>High</v>
      </c>
    </row>
    <row r="20" spans="1:13" x14ac:dyDescent="0.25">
      <c r="A20" s="9" t="s">
        <v>149</v>
      </c>
      <c r="B20" s="30" t="s">
        <v>150</v>
      </c>
      <c r="C20" s="30" t="s">
        <v>151</v>
      </c>
      <c r="D20" s="30" t="s">
        <v>66</v>
      </c>
      <c r="E20" s="31" t="s">
        <v>100</v>
      </c>
      <c r="F20" s="30" t="s">
        <v>101</v>
      </c>
      <c r="G20" s="31" t="s">
        <v>102</v>
      </c>
      <c r="H20" s="31" t="s">
        <v>102</v>
      </c>
      <c r="I20" s="31" t="s">
        <v>102</v>
      </c>
      <c r="J20" s="31" t="s">
        <v>102</v>
      </c>
      <c r="K20" s="31" t="s">
        <v>102</v>
      </c>
      <c r="L20" s="31">
        <f t="shared" si="0"/>
        <v>5</v>
      </c>
      <c r="M20" s="31" t="str">
        <f t="shared" si="1"/>
        <v>High</v>
      </c>
    </row>
    <row r="21" spans="1:13" x14ac:dyDescent="0.25">
      <c r="A21" s="9" t="s">
        <v>152</v>
      </c>
      <c r="B21" s="32" t="s">
        <v>153</v>
      </c>
      <c r="C21" s="32" t="s">
        <v>154</v>
      </c>
      <c r="D21" s="32" t="s">
        <v>68</v>
      </c>
      <c r="E21" s="33" t="s">
        <v>100</v>
      </c>
      <c r="F21" s="32" t="s">
        <v>101</v>
      </c>
      <c r="G21" s="33" t="s">
        <v>102</v>
      </c>
      <c r="H21" s="33" t="s">
        <v>102</v>
      </c>
      <c r="I21" s="33" t="s">
        <v>102</v>
      </c>
      <c r="J21" s="33" t="s">
        <v>102</v>
      </c>
      <c r="K21" s="33" t="s">
        <v>102</v>
      </c>
      <c r="L21" s="34">
        <f t="shared" si="0"/>
        <v>5</v>
      </c>
      <c r="M21" s="34" t="str">
        <f t="shared" si="1"/>
        <v>High</v>
      </c>
    </row>
    <row r="22" spans="1:13" x14ac:dyDescent="0.25">
      <c r="A22" s="9" t="s">
        <v>155</v>
      </c>
      <c r="B22" s="30" t="s">
        <v>156</v>
      </c>
      <c r="C22" s="30" t="s">
        <v>157</v>
      </c>
      <c r="D22" s="30" t="s">
        <v>76</v>
      </c>
      <c r="E22" s="31" t="s">
        <v>100</v>
      </c>
      <c r="F22" s="30" t="s">
        <v>101</v>
      </c>
      <c r="G22" s="31" t="s">
        <v>102</v>
      </c>
      <c r="H22" s="31" t="s">
        <v>102</v>
      </c>
      <c r="I22" s="31" t="s">
        <v>102</v>
      </c>
      <c r="J22" s="31" t="s">
        <v>102</v>
      </c>
      <c r="K22" s="31" t="s">
        <v>102</v>
      </c>
      <c r="L22" s="31">
        <f t="shared" si="0"/>
        <v>5</v>
      </c>
      <c r="M22" s="31" t="str">
        <f t="shared" si="1"/>
        <v>High</v>
      </c>
    </row>
    <row r="23" spans="1:13" x14ac:dyDescent="0.25">
      <c r="A23" s="9" t="s">
        <v>158</v>
      </c>
      <c r="B23" s="32" t="s">
        <v>159</v>
      </c>
      <c r="C23" s="32" t="s">
        <v>160</v>
      </c>
      <c r="D23" s="32" t="s">
        <v>161</v>
      </c>
      <c r="E23" s="33" t="s">
        <v>100</v>
      </c>
      <c r="F23" s="32" t="s">
        <v>101</v>
      </c>
      <c r="G23" s="33" t="s">
        <v>102</v>
      </c>
      <c r="H23" s="33" t="s">
        <v>102</v>
      </c>
      <c r="I23" s="33" t="s">
        <v>102</v>
      </c>
      <c r="J23" s="33" t="s">
        <v>102</v>
      </c>
      <c r="K23" s="33" t="s">
        <v>102</v>
      </c>
      <c r="L23" s="34">
        <f t="shared" si="0"/>
        <v>5</v>
      </c>
      <c r="M23" s="34" t="str">
        <f t="shared" si="1"/>
        <v>High</v>
      </c>
    </row>
    <row r="24" spans="1:13" x14ac:dyDescent="0.25">
      <c r="A24" s="9" t="s">
        <v>162</v>
      </c>
      <c r="B24" s="30" t="s">
        <v>163</v>
      </c>
      <c r="C24" s="30" t="s">
        <v>164</v>
      </c>
      <c r="D24" s="30" t="s">
        <v>66</v>
      </c>
      <c r="E24" s="31" t="s">
        <v>100</v>
      </c>
      <c r="F24" s="30" t="s">
        <v>101</v>
      </c>
      <c r="G24" s="31" t="s">
        <v>102</v>
      </c>
      <c r="H24" s="31" t="s">
        <v>102</v>
      </c>
      <c r="I24" s="31" t="s">
        <v>102</v>
      </c>
      <c r="J24" s="31" t="s">
        <v>102</v>
      </c>
      <c r="K24" s="31" t="s">
        <v>102</v>
      </c>
      <c r="L24" s="31">
        <f t="shared" si="0"/>
        <v>5</v>
      </c>
      <c r="M24" s="31" t="str">
        <f t="shared" si="1"/>
        <v>High</v>
      </c>
    </row>
    <row r="25" spans="1:13" x14ac:dyDescent="0.25">
      <c r="A25" s="9" t="s">
        <v>165</v>
      </c>
      <c r="B25" s="32" t="s">
        <v>166</v>
      </c>
      <c r="C25" s="32" t="s">
        <v>167</v>
      </c>
      <c r="D25" s="32" t="s">
        <v>72</v>
      </c>
      <c r="E25" s="33" t="s">
        <v>100</v>
      </c>
      <c r="F25" s="32" t="s">
        <v>101</v>
      </c>
      <c r="G25" s="33" t="s">
        <v>102</v>
      </c>
      <c r="H25" s="33" t="s">
        <v>102</v>
      </c>
      <c r="I25" s="33" t="s">
        <v>102</v>
      </c>
      <c r="J25" s="33" t="s">
        <v>102</v>
      </c>
      <c r="K25" s="33" t="s">
        <v>102</v>
      </c>
      <c r="L25" s="34">
        <f t="shared" si="0"/>
        <v>5</v>
      </c>
      <c r="M25" s="34" t="str">
        <f t="shared" si="1"/>
        <v>High</v>
      </c>
    </row>
    <row r="26" spans="1:13" x14ac:dyDescent="0.25">
      <c r="A26" s="9" t="s">
        <v>168</v>
      </c>
      <c r="B26" s="30" t="s">
        <v>169</v>
      </c>
      <c r="C26" s="30" t="s">
        <v>170</v>
      </c>
      <c r="D26" s="30" t="s">
        <v>76</v>
      </c>
      <c r="E26" s="31" t="s">
        <v>100</v>
      </c>
      <c r="F26" s="30" t="s">
        <v>101</v>
      </c>
      <c r="G26" s="31" t="s">
        <v>102</v>
      </c>
      <c r="H26" s="31" t="s">
        <v>102</v>
      </c>
      <c r="I26" s="31" t="s">
        <v>102</v>
      </c>
      <c r="J26" s="31" t="s">
        <v>102</v>
      </c>
      <c r="K26" s="31" t="s">
        <v>102</v>
      </c>
      <c r="L26" s="31">
        <f t="shared" si="0"/>
        <v>5</v>
      </c>
      <c r="M26" s="31" t="str">
        <f t="shared" si="1"/>
        <v>High</v>
      </c>
    </row>
  </sheetData>
  <dataValidations count="3">
    <dataValidation type="list" allowBlank="1" sqref="D5:D26" xr:uid="{00000000-0002-0000-0200-000000000000}">
      <formula1>"Scopus,Web of Science,IEEE Xplore,ACM Digital Library,ScienceDirect,SpringerLink,Google Scholar,MDPI"</formula1>
    </dataValidation>
    <dataValidation type="list" allowBlank="1" sqref="E5:E26" xr:uid="{00000000-0002-0000-0200-000001000000}">
      <formula1>"Included,Excluded"</formula1>
    </dataValidation>
    <dataValidation type="list" allowBlank="1" sqref="G5:G26 H5:H26 I5:I26 J5:J26 K5:K26" xr:uid="{00000000-0002-0000-0200-000002000000}">
      <formula1>"Yes,No,Can't tell"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3" width="16" customWidth="1"/>
    <col min="4" max="4" width="25" customWidth="1"/>
    <col min="5" max="6" width="45" customWidth="1"/>
    <col min="7" max="8" width="16" customWidth="1"/>
    <col min="9" max="10" width="25" customWidth="1"/>
  </cols>
  <sheetData>
    <row r="1" spans="1:10" ht="20.25" x14ac:dyDescent="0.3">
      <c r="A1" s="1" t="s">
        <v>171</v>
      </c>
    </row>
    <row r="2" spans="1:10" x14ac:dyDescent="0.25">
      <c r="A2" s="3" t="s">
        <v>172</v>
      </c>
    </row>
    <row r="4" spans="1:10" ht="39.950000000000003" customHeight="1" x14ac:dyDescent="0.25">
      <c r="A4" s="18" t="s">
        <v>84</v>
      </c>
      <c r="B4" s="18" t="s">
        <v>85</v>
      </c>
      <c r="C4" s="18" t="s">
        <v>173</v>
      </c>
      <c r="D4" s="18" t="s">
        <v>174</v>
      </c>
      <c r="E4" s="18" t="s">
        <v>175</v>
      </c>
      <c r="F4" s="18" t="s">
        <v>176</v>
      </c>
      <c r="G4" s="18" t="s">
        <v>177</v>
      </c>
      <c r="H4" s="18" t="s">
        <v>178</v>
      </c>
      <c r="I4" s="18" t="s">
        <v>179</v>
      </c>
      <c r="J4" s="18" t="s">
        <v>180</v>
      </c>
    </row>
    <row r="5" spans="1:10" ht="51" x14ac:dyDescent="0.25">
      <c r="A5" s="9" t="s">
        <v>97</v>
      </c>
      <c r="B5" s="10" t="s">
        <v>98</v>
      </c>
      <c r="C5" s="19" t="s">
        <v>181</v>
      </c>
      <c r="D5" s="20" t="s">
        <v>182</v>
      </c>
      <c r="E5" s="20" t="s">
        <v>183</v>
      </c>
      <c r="F5" s="20" t="s">
        <v>184</v>
      </c>
      <c r="G5" s="19" t="s">
        <v>109</v>
      </c>
      <c r="H5" s="19" t="s">
        <v>109</v>
      </c>
      <c r="I5" s="29" t="s">
        <v>185</v>
      </c>
      <c r="J5" s="20" t="s">
        <v>186</v>
      </c>
    </row>
    <row r="6" spans="1:10" ht="51" x14ac:dyDescent="0.25">
      <c r="A6" s="9" t="s">
        <v>103</v>
      </c>
      <c r="B6" s="10" t="s">
        <v>104</v>
      </c>
      <c r="C6" s="19" t="s">
        <v>187</v>
      </c>
      <c r="D6" s="20" t="s">
        <v>188</v>
      </c>
      <c r="E6" s="20" t="s">
        <v>189</v>
      </c>
      <c r="F6" s="20" t="s">
        <v>190</v>
      </c>
      <c r="G6" s="19" t="s">
        <v>109</v>
      </c>
      <c r="H6" s="19" t="s">
        <v>109</v>
      </c>
      <c r="I6" s="29" t="s">
        <v>191</v>
      </c>
      <c r="J6" s="20" t="s">
        <v>192</v>
      </c>
    </row>
    <row r="7" spans="1:10" ht="38.25" x14ac:dyDescent="0.25">
      <c r="A7" s="9" t="s">
        <v>106</v>
      </c>
      <c r="B7" s="10" t="s">
        <v>107</v>
      </c>
      <c r="C7" s="19" t="s">
        <v>181</v>
      </c>
      <c r="D7" s="20" t="s">
        <v>193</v>
      </c>
      <c r="E7" s="20" t="s">
        <v>194</v>
      </c>
      <c r="F7" s="20" t="s">
        <v>195</v>
      </c>
      <c r="G7" s="19" t="s">
        <v>109</v>
      </c>
      <c r="H7" s="19" t="s">
        <v>109</v>
      </c>
      <c r="I7" s="29" t="s">
        <v>196</v>
      </c>
      <c r="J7" s="20" t="s">
        <v>197</v>
      </c>
    </row>
    <row r="8" spans="1:10" ht="51" x14ac:dyDescent="0.25">
      <c r="A8" s="9" t="s">
        <v>110</v>
      </c>
      <c r="B8" s="10" t="s">
        <v>111</v>
      </c>
      <c r="C8" s="19" t="s">
        <v>198</v>
      </c>
      <c r="D8" s="20" t="s">
        <v>199</v>
      </c>
      <c r="E8" s="20" t="s">
        <v>200</v>
      </c>
      <c r="F8" s="20" t="s">
        <v>201</v>
      </c>
      <c r="G8" s="19" t="s">
        <v>102</v>
      </c>
      <c r="H8" s="19" t="s">
        <v>109</v>
      </c>
      <c r="I8" s="29" t="s">
        <v>202</v>
      </c>
      <c r="J8" s="20" t="s">
        <v>203</v>
      </c>
    </row>
    <row r="9" spans="1:10" ht="51" x14ac:dyDescent="0.25">
      <c r="A9" s="9" t="s">
        <v>113</v>
      </c>
      <c r="B9" s="10" t="s">
        <v>114</v>
      </c>
      <c r="C9" s="19" t="s">
        <v>204</v>
      </c>
      <c r="D9" s="20" t="s">
        <v>205</v>
      </c>
      <c r="E9" s="20" t="s">
        <v>206</v>
      </c>
      <c r="F9" s="20" t="s">
        <v>207</v>
      </c>
      <c r="G9" s="19" t="s">
        <v>102</v>
      </c>
      <c r="H9" s="19" t="s">
        <v>102</v>
      </c>
      <c r="I9" s="29" t="s">
        <v>208</v>
      </c>
      <c r="J9" s="20" t="s">
        <v>209</v>
      </c>
    </row>
    <row r="10" spans="1:10" ht="51" x14ac:dyDescent="0.25">
      <c r="A10" s="9" t="s">
        <v>110</v>
      </c>
      <c r="B10" s="10" t="s">
        <v>111</v>
      </c>
      <c r="C10" s="19" t="s">
        <v>187</v>
      </c>
      <c r="D10" s="20" t="s">
        <v>210</v>
      </c>
      <c r="E10" s="20" t="s">
        <v>211</v>
      </c>
      <c r="F10" s="20" t="s">
        <v>212</v>
      </c>
      <c r="G10" s="19" t="s">
        <v>109</v>
      </c>
      <c r="H10" s="19" t="s">
        <v>102</v>
      </c>
      <c r="I10" s="29" t="s">
        <v>202</v>
      </c>
      <c r="J10" s="20" t="s">
        <v>213</v>
      </c>
    </row>
    <row r="11" spans="1:10" x14ac:dyDescent="0.25">
      <c r="A11" s="33" t="s">
        <v>125</v>
      </c>
      <c r="B11" s="32" t="s">
        <v>126</v>
      </c>
      <c r="C11" s="32" t="s">
        <v>181</v>
      </c>
      <c r="D11" s="32" t="s">
        <v>214</v>
      </c>
      <c r="E11" s="32" t="s">
        <v>215</v>
      </c>
      <c r="F11" s="32" t="s">
        <v>216</v>
      </c>
      <c r="G11" s="33" t="s">
        <v>102</v>
      </c>
      <c r="H11" s="33" t="s">
        <v>109</v>
      </c>
      <c r="I11" s="32" t="s">
        <v>217</v>
      </c>
      <c r="J11" s="32" t="s">
        <v>218</v>
      </c>
    </row>
    <row r="12" spans="1:10" x14ac:dyDescent="0.25">
      <c r="A12" s="31" t="s">
        <v>128</v>
      </c>
      <c r="B12" s="30" t="s">
        <v>129</v>
      </c>
      <c r="C12" s="30" t="s">
        <v>187</v>
      </c>
      <c r="D12" s="30" t="s">
        <v>219</v>
      </c>
      <c r="E12" s="30" t="s">
        <v>220</v>
      </c>
      <c r="F12" s="30" t="s">
        <v>221</v>
      </c>
      <c r="G12" s="31" t="s">
        <v>109</v>
      </c>
      <c r="H12" s="31" t="s">
        <v>109</v>
      </c>
      <c r="I12" s="30" t="s">
        <v>222</v>
      </c>
      <c r="J12" s="30" t="s">
        <v>223</v>
      </c>
    </row>
    <row r="13" spans="1:10" x14ac:dyDescent="0.25">
      <c r="A13" s="33" t="s">
        <v>131</v>
      </c>
      <c r="B13" s="32" t="s">
        <v>132</v>
      </c>
      <c r="C13" s="32" t="s">
        <v>204</v>
      </c>
      <c r="D13" s="32" t="s">
        <v>224</v>
      </c>
      <c r="E13" s="32" t="s">
        <v>225</v>
      </c>
      <c r="F13" s="32" t="s">
        <v>226</v>
      </c>
      <c r="G13" s="33" t="s">
        <v>109</v>
      </c>
      <c r="H13" s="33" t="s">
        <v>109</v>
      </c>
      <c r="I13" s="32" t="s">
        <v>227</v>
      </c>
      <c r="J13" s="32" t="s">
        <v>228</v>
      </c>
    </row>
    <row r="14" spans="1:10" x14ac:dyDescent="0.25">
      <c r="A14" s="31" t="s">
        <v>134</v>
      </c>
      <c r="B14" s="30" t="s">
        <v>135</v>
      </c>
      <c r="C14" s="30" t="s">
        <v>181</v>
      </c>
      <c r="D14" s="30" t="s">
        <v>229</v>
      </c>
      <c r="E14" s="30" t="s">
        <v>230</v>
      </c>
      <c r="F14" s="30" t="s">
        <v>231</v>
      </c>
      <c r="G14" s="31" t="s">
        <v>109</v>
      </c>
      <c r="H14" s="31" t="s">
        <v>109</v>
      </c>
      <c r="I14" s="30" t="s">
        <v>232</v>
      </c>
      <c r="J14" s="30" t="s">
        <v>233</v>
      </c>
    </row>
    <row r="15" spans="1:10" x14ac:dyDescent="0.25">
      <c r="A15" s="33" t="s">
        <v>137</v>
      </c>
      <c r="B15" s="32" t="s">
        <v>138</v>
      </c>
      <c r="C15" s="32" t="s">
        <v>187</v>
      </c>
      <c r="D15" s="32" t="s">
        <v>234</v>
      </c>
      <c r="E15" s="32" t="s">
        <v>235</v>
      </c>
      <c r="F15" s="32" t="s">
        <v>236</v>
      </c>
      <c r="G15" s="33" t="s">
        <v>109</v>
      </c>
      <c r="H15" s="33" t="s">
        <v>109</v>
      </c>
      <c r="I15" s="32" t="s">
        <v>237</v>
      </c>
      <c r="J15" s="32" t="s">
        <v>238</v>
      </c>
    </row>
    <row r="16" spans="1:10" x14ac:dyDescent="0.25">
      <c r="A16" s="31" t="s">
        <v>140</v>
      </c>
      <c r="B16" s="30" t="s">
        <v>141</v>
      </c>
      <c r="C16" s="30" t="s">
        <v>181</v>
      </c>
      <c r="D16" s="30" t="s">
        <v>239</v>
      </c>
      <c r="E16" s="30" t="s">
        <v>240</v>
      </c>
      <c r="F16" s="30" t="s">
        <v>241</v>
      </c>
      <c r="G16" s="31" t="s">
        <v>109</v>
      </c>
      <c r="H16" s="31" t="s">
        <v>109</v>
      </c>
      <c r="I16" s="30" t="s">
        <v>242</v>
      </c>
      <c r="J16" s="30" t="s">
        <v>243</v>
      </c>
    </row>
    <row r="17" spans="1:10" x14ac:dyDescent="0.25">
      <c r="A17" s="33" t="s">
        <v>143</v>
      </c>
      <c r="B17" s="32" t="s">
        <v>144</v>
      </c>
      <c r="C17" s="32" t="s">
        <v>187</v>
      </c>
      <c r="D17" s="32" t="s">
        <v>244</v>
      </c>
      <c r="E17" s="32" t="s">
        <v>245</v>
      </c>
      <c r="F17" s="32" t="s">
        <v>246</v>
      </c>
      <c r="G17" s="33" t="s">
        <v>109</v>
      </c>
      <c r="H17" s="33" t="s">
        <v>109</v>
      </c>
      <c r="I17" s="32" t="s">
        <v>247</v>
      </c>
      <c r="J17" s="32" t="s">
        <v>248</v>
      </c>
    </row>
    <row r="18" spans="1:10" x14ac:dyDescent="0.25">
      <c r="A18" s="31" t="s">
        <v>146</v>
      </c>
      <c r="B18" s="30" t="s">
        <v>147</v>
      </c>
      <c r="C18" s="30" t="s">
        <v>204</v>
      </c>
      <c r="D18" s="30" t="s">
        <v>249</v>
      </c>
      <c r="E18" s="30" t="s">
        <v>250</v>
      </c>
      <c r="F18" s="30" t="s">
        <v>251</v>
      </c>
      <c r="G18" s="31" t="s">
        <v>109</v>
      </c>
      <c r="H18" s="31" t="s">
        <v>109</v>
      </c>
      <c r="I18" s="30" t="s">
        <v>252</v>
      </c>
      <c r="J18" s="30" t="s">
        <v>253</v>
      </c>
    </row>
    <row r="19" spans="1:10" x14ac:dyDescent="0.25">
      <c r="A19" s="33" t="s">
        <v>149</v>
      </c>
      <c r="B19" s="32" t="s">
        <v>150</v>
      </c>
      <c r="C19" s="32" t="s">
        <v>204</v>
      </c>
      <c r="D19" s="32" t="s">
        <v>254</v>
      </c>
      <c r="E19" s="32" t="s">
        <v>255</v>
      </c>
      <c r="F19" s="32" t="s">
        <v>256</v>
      </c>
      <c r="G19" s="33" t="s">
        <v>109</v>
      </c>
      <c r="H19" s="33" t="s">
        <v>109</v>
      </c>
      <c r="I19" s="32" t="s">
        <v>257</v>
      </c>
      <c r="J19" s="32" t="s">
        <v>258</v>
      </c>
    </row>
    <row r="20" spans="1:10" x14ac:dyDescent="0.25">
      <c r="A20" s="31" t="s">
        <v>152</v>
      </c>
      <c r="B20" s="30" t="s">
        <v>153</v>
      </c>
      <c r="C20" s="30" t="s">
        <v>181</v>
      </c>
      <c r="D20" s="30" t="s">
        <v>259</v>
      </c>
      <c r="E20" s="30" t="s">
        <v>260</v>
      </c>
      <c r="F20" s="30" t="s">
        <v>261</v>
      </c>
      <c r="G20" s="31" t="s">
        <v>109</v>
      </c>
      <c r="H20" s="31" t="s">
        <v>109</v>
      </c>
      <c r="I20" s="30" t="s">
        <v>262</v>
      </c>
      <c r="J20" s="30" t="s">
        <v>263</v>
      </c>
    </row>
    <row r="21" spans="1:10" x14ac:dyDescent="0.25">
      <c r="A21" s="33" t="s">
        <v>155</v>
      </c>
      <c r="B21" s="32" t="s">
        <v>156</v>
      </c>
      <c r="C21" s="32" t="s">
        <v>181</v>
      </c>
      <c r="D21" s="32" t="s">
        <v>264</v>
      </c>
      <c r="E21" s="32" t="s">
        <v>265</v>
      </c>
      <c r="F21" s="32" t="s">
        <v>266</v>
      </c>
      <c r="G21" s="33" t="s">
        <v>109</v>
      </c>
      <c r="H21" s="33" t="s">
        <v>109</v>
      </c>
      <c r="I21" s="32" t="s">
        <v>267</v>
      </c>
      <c r="J21" s="32" t="s">
        <v>268</v>
      </c>
    </row>
    <row r="22" spans="1:10" x14ac:dyDescent="0.25">
      <c r="A22" s="31" t="s">
        <v>158</v>
      </c>
      <c r="B22" s="30" t="s">
        <v>159</v>
      </c>
      <c r="C22" s="30" t="s">
        <v>187</v>
      </c>
      <c r="D22" s="30" t="s">
        <v>269</v>
      </c>
      <c r="E22" s="30" t="s">
        <v>270</v>
      </c>
      <c r="F22" s="30" t="s">
        <v>271</v>
      </c>
      <c r="G22" s="31" t="s">
        <v>109</v>
      </c>
      <c r="H22" s="31" t="s">
        <v>102</v>
      </c>
      <c r="I22" s="30" t="s">
        <v>272</v>
      </c>
      <c r="J22" s="30" t="s">
        <v>273</v>
      </c>
    </row>
    <row r="23" spans="1:10" x14ac:dyDescent="0.25">
      <c r="A23" s="33" t="s">
        <v>162</v>
      </c>
      <c r="B23" s="32" t="s">
        <v>163</v>
      </c>
      <c r="C23" s="32" t="s">
        <v>181</v>
      </c>
      <c r="D23" s="32" t="s">
        <v>274</v>
      </c>
      <c r="E23" s="32" t="s">
        <v>275</v>
      </c>
      <c r="F23" s="32" t="s">
        <v>276</v>
      </c>
      <c r="G23" s="33" t="s">
        <v>102</v>
      </c>
      <c r="H23" s="33" t="s">
        <v>109</v>
      </c>
      <c r="I23" s="32" t="s">
        <v>277</v>
      </c>
      <c r="J23" s="32" t="s">
        <v>278</v>
      </c>
    </row>
    <row r="24" spans="1:10" x14ac:dyDescent="0.25">
      <c r="A24" s="31" t="s">
        <v>165</v>
      </c>
      <c r="B24" s="30" t="s">
        <v>166</v>
      </c>
      <c r="C24" s="30" t="s">
        <v>204</v>
      </c>
      <c r="D24" s="30" t="s">
        <v>279</v>
      </c>
      <c r="E24" s="30" t="s">
        <v>280</v>
      </c>
      <c r="F24" s="30" t="s">
        <v>281</v>
      </c>
      <c r="G24" s="31" t="s">
        <v>102</v>
      </c>
      <c r="H24" s="31" t="s">
        <v>102</v>
      </c>
      <c r="I24" s="30" t="s">
        <v>282</v>
      </c>
      <c r="J24" s="30" t="s">
        <v>283</v>
      </c>
    </row>
    <row r="25" spans="1:10" x14ac:dyDescent="0.25">
      <c r="A25" s="33" t="s">
        <v>168</v>
      </c>
      <c r="B25" s="32" t="s">
        <v>169</v>
      </c>
      <c r="C25" s="32" t="s">
        <v>198</v>
      </c>
      <c r="D25" s="32" t="s">
        <v>284</v>
      </c>
      <c r="E25" s="32" t="s">
        <v>285</v>
      </c>
      <c r="F25" s="32" t="s">
        <v>286</v>
      </c>
      <c r="G25" s="33" t="s">
        <v>102</v>
      </c>
      <c r="H25" s="33" t="s">
        <v>109</v>
      </c>
      <c r="I25" s="32" t="s">
        <v>287</v>
      </c>
      <c r="J25" s="32" t="s">
        <v>288</v>
      </c>
    </row>
  </sheetData>
  <dataValidations count="2">
    <dataValidation type="list" allowBlank="1" sqref="C5:C25" xr:uid="{00000000-0002-0000-0300-000000000000}">
      <formula1>"Technological,Organisational,Environmental,Socio-technical Context"</formula1>
    </dataValidation>
    <dataValidation type="list" allowBlank="1" sqref="G5:H25" xr:uid="{00000000-0002-0000-0300-000001000000}">
      <formula1>"Yes,No,Not Discussed"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TOC &amp; Overview</vt:lpstr>
      <vt:lpstr>PRISMA Search Log</vt:lpstr>
      <vt:lpstr>Article Screening &amp; MMAT</vt:lpstr>
      <vt:lpstr>Data Extraction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Thabiso Patrick Matsaba</cp:lastModifiedBy>
  <dcterms:created xsi:type="dcterms:W3CDTF">2026-08-25T18:56:23Z</dcterms:created>
  <dcterms:modified xsi:type="dcterms:W3CDTF">2026-09-14T15:50:27Z</dcterms:modified>
</cp:coreProperties>
</file>