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C &amp; Overview" sheetId="1" state="visible" r:id="rId3"/>
    <sheet name="PRISMA Search Log" sheetId="2" state="visible" r:id="rId4"/>
    <sheet name="Article Screening &amp; MMAT" sheetId="3" state="visible" r:id="rId5"/>
    <sheet name="Data Extraction Matrix" sheetId="4" state="visible" r:id="rId6"/>
    <sheet name="Summary (40 studies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<sst xmlns="http://schemas.openxmlformats.org/spreadsheetml/2006/main" count="1266" uniqueCount="535">
  <si>
    <t xml:space="preserve">CPUT PROJECTS 4: LIT-TRACKER SYSTEM</t>
  </si>
  <si>
    <t xml:space="preserve">Research Title: The Adoption of Cloud Computing by Small to Medium Enterprises in South Africa</t>
  </si>
  <si>
    <t xml:space="preserve">Student: Thabiso Patrick Matsaba (Student No: 220296006) | Supervisor: Dr Kenneth Ohei</t>
  </si>
  <si>
    <t xml:space="preserve">5 October 2026 | v3.0 | 40 included studies, verified against PDFs | Standardized for Advanced Diploma ICT Projects 4</t>
  </si>
  <si>
    <t xml:space="preserve">WORKBOOK SECTIONS</t>
  </si>
  <si>
    <t xml:space="preserve">Sheet Name</t>
  </si>
  <si>
    <t xml:space="preserve">Description</t>
  </si>
  <si>
    <t xml:space="preserve">Primary Academic Purpose</t>
  </si>
  <si>
    <t xml:space="preserve">Navigation Link</t>
  </si>
  <si>
    <t xml:space="preserve">TOC &amp; Overview</t>
  </si>
  <si>
    <t xml:space="preserve">Current sheet containing navigation, formatting guidelines, and project metadata.</t>
  </si>
  <si>
    <t xml:space="preserve">Project Organization &amp; Setup</t>
  </si>
  <si>
    <t xml:space="preserve">PRISMA Search Log</t>
  </si>
  <si>
    <t xml:space="preserve">Logs and quantifies literature search outcomes across 8 databases (Scopus, Web of Science, Google Scholar, etc.).</t>
  </si>
  <si>
    <t xml:space="preserve">Systematic Literature Review Rigor (SO5)</t>
  </si>
  <si>
    <t xml:space="preserve">Article Screening &amp; MMAT</t>
  </si>
  <si>
    <t xml:space="preserve">Tracks study selection, inclusion/exclusion decisions, and applies the Mixed Methods Appraisal Tool.</t>
  </si>
  <si>
    <t xml:space="preserve">Methodological Quality Appraisal (SO2, SO5)</t>
  </si>
  <si>
    <t xml:space="preserve">Data Extraction Matrix</t>
  </si>
  <si>
    <t xml:space="preserve">Extracts specific findings, paragraph quotes, rationale, local paths, and maps them to TOE dimensions.</t>
  </si>
  <si>
    <t xml:space="preserve">Synthesis of Existing Literature (SO6, SO7)</t>
  </si>
  <si>
    <t xml:space="preserve">SPREADSHEET COLOR &amp; DESIGN CONVENTIONS</t>
  </si>
  <si>
    <t xml:space="preserve">Visual Style / Color</t>
  </si>
  <si>
    <t xml:space="preserve">Assigned Meaning</t>
  </si>
  <si>
    <t xml:space="preserve">Applicable Cells</t>
  </si>
  <si>
    <t xml:space="preserve">Action/Audience Instruction</t>
  </si>
  <si>
    <t xml:space="preserve">Header Row (Dark Blue)</t>
  </si>
  <si>
    <t xml:space="preserve">Table column definitions and structural headers.</t>
  </si>
  <si>
    <t xml:space="preserve">Top row of data tables</t>
  </si>
  <si>
    <t xml:space="preserve">Do not modify. Standardized system headers.</t>
  </si>
  <si>
    <t xml:space="preserve">Section Header (Medium Blue)</t>
  </si>
  <si>
    <t xml:space="preserve">Groups sub-sections or categories within sheets.</t>
  </si>
  <si>
    <t xml:space="preserve">Merged rows separating sections</t>
  </si>
  <si>
    <t xml:space="preserve">Do not modify. Structural markers.</t>
  </si>
  <si>
    <t xml:space="preserve">Input Cell (Light Blue)</t>
  </si>
  <si>
    <t xml:space="preserve">Assumptions, manual entries, or researcher data logging.</t>
  </si>
  <si>
    <t xml:space="preserve">Columns requiring data entry</t>
  </si>
  <si>
    <t xml:space="preserve">Enter search details, decisions, or text extracts.</t>
  </si>
  <si>
    <t xml:space="preserve">Calculated Cell (Light Green)</t>
  </si>
  <si>
    <t xml:space="preserve">Formulas (SUM, COUNTIF, mathematical subtractions).</t>
  </si>
  <si>
    <t xml:space="preserve">Scores, totals, automatically mapped values</t>
  </si>
  <si>
    <t xml:space="preserve">Do not modify. Locked/formula-driven cell.</t>
  </si>
  <si>
    <t xml:space="preserve">Zebra Row (Light Gray)</t>
  </si>
  <si>
    <t xml:space="preserve">Zebra striping on alternating rows for readability.</t>
  </si>
  <si>
    <t xml:space="preserve">Alternating data rows</t>
  </si>
  <si>
    <t xml:space="preserve">Aids visual tracking across large datasets.</t>
  </si>
  <si>
    <t xml:space="preserve">Placeholder Cell (Light Yellow)</t>
  </si>
  <si>
    <t xml:space="preserve">Simulated/sample data for guidelines and training.</t>
  </si>
  <si>
    <t xml:space="preserve">Italicized research template examples</t>
  </si>
  <si>
    <t xml:space="preserve">Replace with actual collected data during study.</t>
  </si>
  <si>
    <t xml:space="preserve">PRISMA SEARCH LOG</t>
  </si>
  <si>
    <t xml:space="preserve">This log maps and quantifies search outcomes across the 8 required databases. Use the exact Boolean query to replicate search results.</t>
  </si>
  <si>
    <t xml:space="preserve">Database Name</t>
  </si>
  <si>
    <t xml:space="preserve">Search Date</t>
  </si>
  <si>
    <t xml:space="preserve">Search Query / Boolean String</t>
  </si>
  <si>
    <t xml:space="preserve">Search Filters Applied</t>
  </si>
  <si>
    <t xml:space="preserve">Initial Records Retrieved</t>
  </si>
  <si>
    <t xml:space="preserve">Duplicates Removed</t>
  </si>
  <si>
    <t xml:space="preserve">Records Screened</t>
  </si>
  <si>
    <t xml:space="preserve">Records Excluded after Title/Abstract</t>
  </si>
  <si>
    <t xml:space="preserve">Full-Text Articles Assessed</t>
  </si>
  <si>
    <t xml:space="preserve">Full-Text Articles Excluded with Reasons</t>
  </si>
  <si>
    <t xml:space="preserve">Total Included in Review</t>
  </si>
  <si>
    <t xml:space="preserve">Scopus</t>
  </si>
  <si>
    <t xml:space="preserve">2026-08-15</t>
  </si>
  <si>
    <t xml:space="preserve">("cloud computing adoption" OR "cloud adoption") AND ("SMEs" OR "small and medium enterprises" OR "SMMEs") AND ("Technology Organisation Environment" OR "TOE framework") AND ("South Africa" OR "developing economy")</t>
  </si>
  <si>
    <t xml:space="preserve">2020-2026, English, Peer-Reviewed</t>
  </si>
  <si>
    <t xml:space="preserve">Web of Science</t>
  </si>
  <si>
    <t xml:space="preserve">("cloud computing adoption" OR "cloud adoption") AND ("SMEs" OR "small and medium enterprises") AND ("TOE framework" OR "Technology-Organisation-Environment") AND ("South Africa" OR "developing economy")</t>
  </si>
  <si>
    <t xml:space="preserve">IEEE Xplore</t>
  </si>
  <si>
    <t xml:space="preserve">("cloud adoption") AND ("SME" OR "small enterprise") AND ("TOE") AND ("South Africa")</t>
  </si>
  <si>
    <t xml:space="preserve">ACM Digital Library</t>
  </si>
  <si>
    <t xml:space="preserve">("cloud computing adoption") AND ("SMEs") AND ("TOE") AND ("developing economy")</t>
  </si>
  <si>
    <t xml:space="preserve">ScienceDirect</t>
  </si>
  <si>
    <t xml:space="preserve">("cloud adoption") AND ("SMEs") AND ("TOE framework") AND ("developing economy")</t>
  </si>
  <si>
    <t xml:space="preserve">SpringerLink</t>
  </si>
  <si>
    <t xml:space="preserve">("cloud computing adoption") AND ("SMEs") AND ("Technology Organisation Environment") AND ("South Africa")</t>
  </si>
  <si>
    <t xml:space="preserve">Google Scholar</t>
  </si>
  <si>
    <t xml:space="preserve">("cloud computing adoption" OR "cloud adoption") AND ("SMEs" OR "small and medium enterprises") AND ("TOE" OR "Technology-Organisation-Environment") AND ("South Africa" OR "developing economy")</t>
  </si>
  <si>
    <t xml:space="preserve">MDPI</t>
  </si>
  <si>
    <t xml:space="preserve">("cloud adoption" OR "cloud computing adoption") AND ("SMEs" OR "small business") AND ("TOE framework") AND ("South Africa" OR "developing economy")</t>
  </si>
  <si>
    <t xml:space="preserve">Supplementary search (Google Scholar and publisher sites)</t>
  </si>
  <si>
    <t xml:space="preserve">2026-10-05</t>
  </si>
  <si>
    <t xml:space="preserve">Same core terms: cloud computing adoption AND SMEs AND (TOE OR "Technology Organisation Environment"); candidate titles followed to publisher pages</t>
  </si>
  <si>
    <t xml:space="preserve">TOTALS</t>
  </si>
  <si>
    <t xml:space="preserve">-</t>
  </si>
  <si>
    <t xml:space="preserve">RECONCILIATION TO THE FINAL INCLUDED SET</t>
  </si>
  <si>
    <t xml:space="preserve">Eligible after full-text assessment, original search (rows 5-12)</t>
  </si>
  <si>
    <t xml:space="preserve">Removed at verification: no PDF retained, wrong file retrieved, or placeholder row</t>
  </si>
  <si>
    <t xml:space="preserve">Included from original search, verified against PDF (ART-001 to ART-019)</t>
  </si>
  <si>
    <t xml:space="preserve">Included from supplementary search (ART-020 to ART-040)</t>
  </si>
  <si>
    <t xml:space="preserve">TOTAL STUDIES INCLUDED</t>
  </si>
  <si>
    <t xml:space="preserve">Check: rows marked Included on the screening sheet</t>
  </si>
  <si>
    <t xml:space="preserve">Supplementary search: 39 candidate records identified; 11 not retrieved (paywall or no access); 28 full texts assessed; 7 excluded (3 published before 2020, 2 not peer-reviewed, 2 did not use TOE).</t>
  </si>
  <si>
    <t xml:space="preserve">NOTE: 4 included studies are pre-2020 (ART-003, 015, 016, 017) and were kept as foundational studies. The original-search counts in rows 5-12 are as logged on 15 Aug 2026 and were not re-verified.</t>
  </si>
  <si>
    <t xml:space="preserve">ARTICLE SCREENING &amp; QUALITY APPRAISAL (MMAT)</t>
  </si>
  <si>
    <t xml:space="preserve">Screening decisions and MMAT appraisal for the 40 included studies. Every row was checked against the PDF in /Articles on 5 Oct 2026. MMAT scores for ART-020 to ART-040 are provisional (based on abstract and method) and must be confirmed by the researcher.</t>
  </si>
  <si>
    <t xml:space="preserve">Article ID</t>
  </si>
  <si>
    <t xml:space="preserve">Author(s) &amp; Year</t>
  </si>
  <si>
    <t xml:space="preserve">Article Title</t>
  </si>
  <si>
    <t xml:space="preserve">Source Database</t>
  </si>
  <si>
    <t xml:space="preserve">Inclusion Decision</t>
  </si>
  <si>
    <t xml:space="preserve">Exclusion Reason</t>
  </si>
  <si>
    <t xml:space="preserve">MMAT Q1: Clear RQ?</t>
  </si>
  <si>
    <t xml:space="preserve">MMAT Q2: Proper Design?</t>
  </si>
  <si>
    <t xml:space="preserve">MMAT Q3: Rigorous Data?</t>
  </si>
  <si>
    <t xml:space="preserve">MMAT Q4: Robust Analysis?</t>
  </si>
  <si>
    <t xml:space="preserve">MMAT Q5: Substantiated?</t>
  </si>
  <si>
    <t xml:space="preserve">MMAT Yes Count</t>
  </si>
  <si>
    <t xml:space="preserve">Quality Rating</t>
  </si>
  <si>
    <t xml:space="preserve">Year</t>
  </si>
  <si>
    <t xml:space="preserve">Country / Context</t>
  </si>
  <si>
    <t xml:space="preserve">Research Method</t>
  </si>
  <si>
    <t xml:space="preserve">Publication Channel</t>
  </si>
  <si>
    <t xml:space="preserve">PDF File Name</t>
  </si>
  <si>
    <t xml:space="preserve">Former ID</t>
  </si>
  <si>
    <t xml:space="preserve">Verification Note</t>
  </si>
  <si>
    <t xml:space="preserve">ART-001</t>
  </si>
  <si>
    <t xml:space="preserve">Aligarh, Sutopo &amp; Widarjo, 2023</t>
  </si>
  <si>
    <t xml:space="preserve">The antecedents of cloud computing adoption and its consequences for MSMEs' performance: A model based on the TOE framework</t>
  </si>
  <si>
    <t xml:space="preserve">Included</t>
  </si>
  <si>
    <t xml:space="preserve">N/A - Included</t>
  </si>
  <si>
    <t xml:space="preserve">Yes</t>
  </si>
  <si>
    <t xml:space="preserve">Indonesia</t>
  </si>
  <si>
    <t xml:space="preserve">Quantitative survey (197 MSMEs; SEM-PLS)</t>
  </si>
  <si>
    <t xml:space="preserve">Journal</t>
  </si>
  <si>
    <t xml:space="preserve">ART-001_Aligarh_2023.pdf</t>
  </si>
  <si>
    <t xml:space="preserve">Author corrected from "Santos et al." to match the PDF.</t>
  </si>
  <si>
    <t xml:space="preserve">ART-002</t>
  </si>
  <si>
    <t xml:space="preserve">Abu Bakar et al., 2024</t>
  </si>
  <si>
    <t xml:space="preserve">Adoption of Industry 4.0 with cloud computing as a mediator: Evaluation using TOE framework for SMEs</t>
  </si>
  <si>
    <t xml:space="preserve">Open-access journal site</t>
  </si>
  <si>
    <t xml:space="preserve">Malaysia</t>
  </si>
  <si>
    <t xml:space="preserve">Quantitative pilot survey (PLS-SEM)</t>
  </si>
  <si>
    <t xml:space="preserve">ART-002_AbuBakar_2024.pdf</t>
  </si>
  <si>
    <t xml:space="preserve">Source corrected: JOIV is not an MDPI journal.</t>
  </si>
  <si>
    <t xml:space="preserve">ART-003</t>
  </si>
  <si>
    <t xml:space="preserve">Al-Dwairi, Al-Tweit &amp; Zyout, 2018</t>
  </si>
  <si>
    <t xml:space="preserve">Factors influencing cloud-computing adoption in small and medium e-commerce enterprises in Jordan</t>
  </si>
  <si>
    <t xml:space="preserve">No</t>
  </si>
  <si>
    <t xml:space="preserve">Jordan</t>
  </si>
  <si>
    <t xml:space="preserve">Qualitative interviews (16 managers)</t>
  </si>
  <si>
    <t xml:space="preserve">Conference</t>
  </si>
  <si>
    <t xml:space="preserve">ART-003_AlDwairi_2018.pdf</t>
  </si>
  <si>
    <t xml:space="preserve">PRE-2020. Author/year corrected from "Yaseen et al., 2023" to match the PDF (ICIEB 2018).</t>
  </si>
  <si>
    <t xml:space="preserve">ART-004</t>
  </si>
  <si>
    <t xml:space="preserve">Mokwena &amp; Fatoki, 2024</t>
  </si>
  <si>
    <t xml:space="preserve">Barriers of cloud computing adoption by small and medium enterprises in Polokwane Municipality</t>
  </si>
  <si>
    <t xml:space="preserve">South Africa</t>
  </si>
  <si>
    <t xml:space="preserve">Quantitative survey (106 of 230 SMEs)</t>
  </si>
  <si>
    <t xml:space="preserve">ART-004_Mokwena_2024.pdf</t>
  </si>
  <si>
    <t xml:space="preserve">Author corrected from "Mokwena &amp; Sithole".</t>
  </si>
  <si>
    <t xml:space="preserve">ART-005</t>
  </si>
  <si>
    <t xml:space="preserve">Mkhize et al., 2025</t>
  </si>
  <si>
    <t xml:space="preserve">Evaluating the impact of cloud computing on SME performance: A systematic review</t>
  </si>
  <si>
    <t xml:space="preserve">Global review</t>
  </si>
  <si>
    <t xml:space="preserve">Systematic review (PRISMA 2020; 90 studies)</t>
  </si>
  <si>
    <t xml:space="preserve">ART-005_Mkhize_2025.pdf</t>
  </si>
  <si>
    <t xml:space="preserve">ART-006</t>
  </si>
  <si>
    <t xml:space="preserve">Sithole &amp; Ruhode, 2021</t>
  </si>
  <si>
    <t xml:space="preserve">Cloud computing adoption: Opportunities and challenges for small, medium and micro enterprises in South Africa</t>
  </si>
  <si>
    <t xml:space="preserve">Quantitative online survey</t>
  </si>
  <si>
    <t xml:space="preserve">ART-006_Sithole_2021.pdf</t>
  </si>
  <si>
    <t xml:space="preserve">ART-008</t>
  </si>
  <si>
    <t xml:space="preserve">POPIA is not mentioned in the PDF (earlier tracker said Yes).</t>
  </si>
  <si>
    <t xml:space="preserve">ART-007</t>
  </si>
  <si>
    <t xml:space="preserve">Mhlongo et al., 2024</t>
  </si>
  <si>
    <t xml:space="preserve">Reviewing the impact of cloud computing on small and medium enterprises in Africa</t>
  </si>
  <si>
    <t xml:space="preserve">Africa</t>
  </si>
  <si>
    <t xml:space="preserve">Narrative review</t>
  </si>
  <si>
    <t xml:space="preserve">ART-007_Mhlongo_2024.pdf</t>
  </si>
  <si>
    <t xml:space="preserve">ART-009</t>
  </si>
  <si>
    <t xml:space="preserve">Ilahi et al., 2024</t>
  </si>
  <si>
    <t xml:space="preserve">Small and medium enterprises (SMEs): Key factors affecting the adoption of cloud computing</t>
  </si>
  <si>
    <t xml:space="preserve">Literature review of TOE studies</t>
  </si>
  <si>
    <t xml:space="preserve">ART-008_Ilahi_2024.pdf</t>
  </si>
  <si>
    <t xml:space="preserve">ART-010</t>
  </si>
  <si>
    <t xml:space="preserve">Source corrected: not a ScienceDirect journal.</t>
  </si>
  <si>
    <t xml:space="preserve">Ahmad, Mahomed &amp; Hashim, 2025</t>
  </si>
  <si>
    <t xml:space="preserve">Cloud computing adoption in SMEs: Exploring IaaS, PaaS and SaaS through a bibliometric study</t>
  </si>
  <si>
    <t xml:space="preserve">Bibliometric analysis (662 articles)</t>
  </si>
  <si>
    <t xml:space="preserve">ART-009_Ahmad_2025.pdf</t>
  </si>
  <si>
    <t xml:space="preserve">ART-011</t>
  </si>
  <si>
    <t xml:space="preserve">Jayeola et al., 2022</t>
  </si>
  <si>
    <t xml:space="preserve">Cloud computing adoption in small and medium enterprises (SMEs): A systematic literature review and directions for future research</t>
  </si>
  <si>
    <t xml:space="preserve">Systematic review (76 articles)</t>
  </si>
  <si>
    <t xml:space="preserve">ART-010_Jayeola_2022.pdf</t>
  </si>
  <si>
    <t xml:space="preserve">ART-012</t>
  </si>
  <si>
    <t xml:space="preserve">Khayer, Jahan, Hossain &amp; Hossain, 2020</t>
  </si>
  <si>
    <t xml:space="preserve">The adoption of cloud computing in small and medium enterprises: A developing country perspective</t>
  </si>
  <si>
    <t xml:space="preserve">Bangladesh</t>
  </si>
  <si>
    <t xml:space="preserve">Quantitative survey (372 SMEs; SEM)</t>
  </si>
  <si>
    <t xml:space="preserve">ART-011_Khayer_2020a.pdf</t>
  </si>
  <si>
    <t xml:space="preserve">ART-013</t>
  </si>
  <si>
    <t xml:space="preserve">Published online 2020; issue 51(1) dated 2021.</t>
  </si>
  <si>
    <t xml:space="preserve">Skafi, Yunis &amp; Zekri, 2020</t>
  </si>
  <si>
    <t xml:space="preserve">Factors influencing SMEs' adoption of cloud computing services in Lebanon: An empirical analysis using TOE and contextual theory</t>
  </si>
  <si>
    <t xml:space="preserve">Lebanon</t>
  </si>
  <si>
    <t xml:space="preserve">Quantitative survey (139 respondents)</t>
  </si>
  <si>
    <t xml:space="preserve">ART-012_Skafi_2020.pdf</t>
  </si>
  <si>
    <t xml:space="preserve">ART-014</t>
  </si>
  <si>
    <t xml:space="preserve">Shetty &amp; Panda, 2021</t>
  </si>
  <si>
    <t xml:space="preserve">An overview of cloud computing in SMEs</t>
  </si>
  <si>
    <t xml:space="preserve">Systematic and narrative review (92 articles)</t>
  </si>
  <si>
    <t xml:space="preserve">ART-013_Shetty_2021.pdf</t>
  </si>
  <si>
    <t xml:space="preserve">ART-015</t>
  </si>
  <si>
    <t xml:space="preserve">Picoto, Crespo &amp; Carvalho, 2021</t>
  </si>
  <si>
    <t xml:space="preserve">The influence of the technology-organization-environment framework and strategic orientation on cloud computing use, enterprise mobility, and performance</t>
  </si>
  <si>
    <t xml:space="preserve">SciELO</t>
  </si>
  <si>
    <t xml:space="preserve">Portugal</t>
  </si>
  <si>
    <t xml:space="preserve">Quantitative survey (137 organisations; PLS-SEM)</t>
  </si>
  <si>
    <t xml:space="preserve">ART-014_Picoto_2021.pdf</t>
  </si>
  <si>
    <t xml:space="preserve">ART-016</t>
  </si>
  <si>
    <t xml:space="preserve">BORDERLINE: Portugal is a high-income country and the sample is organisations, not only SMEs. Correct PDF now in folder.</t>
  </si>
  <si>
    <t xml:space="preserve">Salleh, Hussin &amp; Suhaimi, 2018</t>
  </si>
  <si>
    <t xml:space="preserve">A systematic literature review of cloud computing adoption and impacts among small medium enterprises (SMEs)</t>
  </si>
  <si>
    <t xml:space="preserve">Systematic review (39 articles)</t>
  </si>
  <si>
    <t xml:space="preserve">ART-015_Salleh_2018.pdf</t>
  </si>
  <si>
    <t xml:space="preserve">ART-017</t>
  </si>
  <si>
    <t xml:space="preserve">PRE-2020.</t>
  </si>
  <si>
    <t xml:space="preserve">Nuskiya, 2017</t>
  </si>
  <si>
    <t xml:space="preserve">Factors influencing cloud computing adoption by SMEs in eastern region of Sri Lanka</t>
  </si>
  <si>
    <t xml:space="preserve">Sri Lanka</t>
  </si>
  <si>
    <t xml:space="preserve">Questionnaire and discussion (50 enterprises)</t>
  </si>
  <si>
    <t xml:space="preserve">ART-016_Nuskiya_2017.pdf</t>
  </si>
  <si>
    <t xml:space="preserve">ART-018</t>
  </si>
  <si>
    <t xml:space="preserve">Abubakar, Bass &amp; Allison, 2014</t>
  </si>
  <si>
    <t xml:space="preserve">Cloud computing: Adoption issues for sub-Saharan African SMEs</t>
  </si>
  <si>
    <t xml:space="preserve">Wiley Online Library</t>
  </si>
  <si>
    <t xml:space="preserve">Nigeria</t>
  </si>
  <si>
    <t xml:space="preserve">Qualitative interviews (10 SMEs)</t>
  </si>
  <si>
    <t xml:space="preserve">ART-017_Abubakar_2014.pdf</t>
  </si>
  <si>
    <t xml:space="preserve">ART-019</t>
  </si>
  <si>
    <t xml:space="preserve">PRE-2020. Electricity discussed.</t>
  </si>
  <si>
    <t xml:space="preserve">Modisane &amp; Jokonya, 2021</t>
  </si>
  <si>
    <t xml:space="preserve">Evaluating the benefits of cloud computing in small, medium and micro-sized enterprises (SMMEs)</t>
  </si>
  <si>
    <t xml:space="preserve">Quantitative survey (TOE constructs)</t>
  </si>
  <si>
    <t xml:space="preserve">ART-018_Modisane_2021.pdf</t>
  </si>
  <si>
    <t xml:space="preserve">ART-021</t>
  </si>
  <si>
    <t xml:space="preserve">POPIA and electricity are not mentioned in the PDF (earlier tracker said Yes).</t>
  </si>
  <si>
    <t xml:space="preserve">Mohlameane &amp; Ruxwana, 2020</t>
  </si>
  <si>
    <t xml:space="preserve">Exploring the impact of cloud computing on existing South African regulatory frameworks</t>
  </si>
  <si>
    <t xml:space="preserve">Multi-method (interviews, questionnaires, documents; 50 participants)</t>
  </si>
  <si>
    <t xml:space="preserve">ART-019_Mohlameane_2020.pdf</t>
  </si>
  <si>
    <t xml:space="preserve">ART-022</t>
  </si>
  <si>
    <t xml:space="preserve">The only included study that discusses POPIA.</t>
  </si>
  <si>
    <t xml:space="preserve">ART-020</t>
  </si>
  <si>
    <t xml:space="preserve">Mudzamba, van der Schyff &amp; Renaud, 2022</t>
  </si>
  <si>
    <t xml:space="preserve">The challenges of cloud adoption among South African small to medium enterprises: A thematic analysis</t>
  </si>
  <si>
    <t xml:space="preserve">Qualitative (13 interviews, 9 SMEs)</t>
  </si>
  <si>
    <t xml:space="preserve">ART-020_Mudzamba_2022.pdf</t>
  </si>
  <si>
    <t xml:space="preserve">new</t>
  </si>
  <si>
    <t xml:space="preserve">Morema, Adeyelure &amp; Seaba, 2026</t>
  </si>
  <si>
    <t xml:space="preserve">Cloud ERP adoption in Ekurhuleni's logistics SMEs: A conceptual model</t>
  </si>
  <si>
    <t xml:space="preserve">Quantitative survey (TOE-based model; 10 of 11 hypotheses supported)</t>
  </si>
  <si>
    <t xml:space="preserve">ART-021_Morema_2026.pdf</t>
  </si>
  <si>
    <t xml:space="preserve">Load shedding is mentioned once. The PDF is a browser print with the right edge cut off: download the proper PDF and re-check the quote.</t>
  </si>
  <si>
    <t xml:space="preserve">Buhari, Muhammad, Bodinga &amp; Sifawa, 2022</t>
  </si>
  <si>
    <t xml:space="preserve">Adoption of cloud computing by IT based small and medium scale enterprises in Northwestern Nigeria</t>
  </si>
  <si>
    <t xml:space="preserve">ResearchGate</t>
  </si>
  <si>
    <t xml:space="preserve">Quantitative survey (109 of 150 responded)</t>
  </si>
  <si>
    <t xml:space="preserve">ART-022_Buhari_2022.pdf</t>
  </si>
  <si>
    <t xml:space="preserve">TOE is mentioned only briefly (3 times).</t>
  </si>
  <si>
    <t xml:space="preserve">ART-023</t>
  </si>
  <si>
    <t xml:space="preserve">Gui et al., 2020</t>
  </si>
  <si>
    <t xml:space="preserve">Cloud computing adoption using TOE framework for Indonesia's micro small medium enterprises</t>
  </si>
  <si>
    <t xml:space="preserve">Quantitative survey (135 participants; SmartPLS)</t>
  </si>
  <si>
    <t xml:space="preserve">ART-023_Gui_2020.pdf</t>
  </si>
  <si>
    <t xml:space="preserve">Year taken from the PDF creation date (Dec 2020); confirm volume/issue on the JOIV site.</t>
  </si>
  <si>
    <t xml:space="preserve">ART-024</t>
  </si>
  <si>
    <t xml:space="preserve">Al-Sharafi et al., 2023</t>
  </si>
  <si>
    <t xml:space="preserve">Determinants of cloud computing integration and its impact on sustainable performance in SMEs: An empirical investigation using the SEM-ANN approach</t>
  </si>
  <si>
    <t xml:space="preserve">PubMed Central</t>
  </si>
  <si>
    <t xml:space="preserve">Quantitative survey (415 SMEs; SEM-ANN)</t>
  </si>
  <si>
    <t xml:space="preserve">ART-024_AlSharafi_2023.pdf</t>
  </si>
  <si>
    <t xml:space="preserve">ART-025</t>
  </si>
  <si>
    <t xml:space="preserve">Khayer, Talukder, Bao &amp; Hossain, 2020</t>
  </si>
  <si>
    <t xml:space="preserve">Cloud computing adoption and its impact on SMEs' performance for cloud supported operations: A dual-stage analytical approach</t>
  </si>
  <si>
    <t xml:space="preserve">Quantitative survey (SEM-ANN)</t>
  </si>
  <si>
    <t xml:space="preserve">ART-025_Khayer_2020b.pdf</t>
  </si>
  <si>
    <t xml:space="preserve">Server location finding is relevant to data sovereignty.</t>
  </si>
  <si>
    <t xml:space="preserve">ART-026</t>
  </si>
  <si>
    <t xml:space="preserve">Alamri &amp; Alzahrani, 2024</t>
  </si>
  <si>
    <t xml:space="preserve">Navigating the clouds: An exploratory research of cloud computing adoption in Saudi Arabia's small and medium enterprises</t>
  </si>
  <si>
    <t xml:space="preserve">Saudi Arabia</t>
  </si>
  <si>
    <t xml:space="preserve">Mixed methods</t>
  </si>
  <si>
    <t xml:space="preserve">ART-026_Alamri_2024.pdf</t>
  </si>
  <si>
    <t xml:space="preserve">Saudi Arabia is a high-income country.</t>
  </si>
  <si>
    <t xml:space="preserve">ART-027</t>
  </si>
  <si>
    <t xml:space="preserve">Mujalli et al., 2024</t>
  </si>
  <si>
    <t xml:space="preserve">Investigating the factors affecting the adoption of cloud accounting in Saudi Arabia's small and medium-sized enterprises (SMEs)</t>
  </si>
  <si>
    <t xml:space="preserve">Quantitative survey (354 responses; PLS-SEM)</t>
  </si>
  <si>
    <t xml:space="preserve">ART-027_Mujalli_2024.pdf</t>
  </si>
  <si>
    <t xml:space="preserve">Cloud accounting (SaaS). Saudi Arabia is a high-income country.</t>
  </si>
  <si>
    <t xml:space="preserve">ART-028</t>
  </si>
  <si>
    <t xml:space="preserve">Sayginer &amp; Ercan, 2021</t>
  </si>
  <si>
    <t xml:space="preserve">Multi-perspective decision-making cloud computing adoption model for small and medium enterprises (SMEs)</t>
  </si>
  <si>
    <t xml:space="preserve">Turkey</t>
  </si>
  <si>
    <t xml:space="preserve">Quantitative survey (140 IT decision-makers)</t>
  </si>
  <si>
    <t xml:space="preserve">ART-028_Sayginer_2021.pdf</t>
  </si>
  <si>
    <t xml:space="preserve">Scanned PDF: quote read by OCR, check it by eye.</t>
  </si>
  <si>
    <t xml:space="preserve">ART-029</t>
  </si>
  <si>
    <t xml:space="preserve">Nosheen, Omar &amp; Hashim, 2025</t>
  </si>
  <si>
    <t xml:space="preserve">Investigating the determinants of cloud computing-software as a service adoption in Pakistani SMEs from the perspective of SME managers</t>
  </si>
  <si>
    <t xml:space="preserve">Pakistan</t>
  </si>
  <si>
    <t xml:space="preserve">Quantitative survey</t>
  </si>
  <si>
    <t xml:space="preserve">ART-029_Nosheen_2025.pdf</t>
  </si>
  <si>
    <t xml:space="preserve">ART-030</t>
  </si>
  <si>
    <t xml:space="preserve">Sastararuji et al., 2021</t>
  </si>
  <si>
    <t xml:space="preserve">Cloud accounting adoption in small and medium enterprises: An integrated conceptual framework</t>
  </si>
  <si>
    <t xml:space="preserve">Can't tell</t>
  </si>
  <si>
    <t xml:space="preserve">Thailand</t>
  </si>
  <si>
    <t xml:space="preserve">Conceptual framework (literature and qualitative)</t>
  </si>
  <si>
    <t xml:space="preserve">ART-030_Sastararuji_2021.pdf</t>
  </si>
  <si>
    <t xml:space="preserve">Conceptual paper: MMAT criteria 3–4 marked "Can't tell".</t>
  </si>
  <si>
    <t xml:space="preserve">ART-031</t>
  </si>
  <si>
    <t xml:space="preserve">Ali, Hassan, Abdullahi &amp; Abdulah, 2023</t>
  </si>
  <si>
    <t xml:space="preserve">Analyzing the factors influencing the adoption of cloud computing by SMEs using the SEM approach</t>
  </si>
  <si>
    <t xml:space="preserve">Somalia</t>
  </si>
  <si>
    <t xml:space="preserve">Quantitative survey (195 respondents; SEM)</t>
  </si>
  <si>
    <t xml:space="preserve">ART-031_Ali_2023.pdf</t>
  </si>
  <si>
    <t xml:space="preserve">Security and competitive pressure were NOT significant.</t>
  </si>
  <si>
    <t xml:space="preserve">ART-032</t>
  </si>
  <si>
    <t xml:space="preserve">Ognjanović, Šendelj, Daković-Tadić &amp; Kožuh, 2024</t>
  </si>
  <si>
    <t xml:space="preserve">A longitudinal study on the adoption of cloud computing in micro, small, and medium enterprises in Montenegro</t>
  </si>
  <si>
    <t xml:space="preserve">Montenegro</t>
  </si>
  <si>
    <t xml:space="preserve">Mixed methods, longitudinal (71 MSMEs; 15 interviews)</t>
  </si>
  <si>
    <t xml:space="preserve">ART-032_Ognjanovic_2024.pdf</t>
  </si>
  <si>
    <t xml:space="preserve">ART-033</t>
  </si>
  <si>
    <t xml:space="preserve">Adjei, Adams &amp; Mamattah, 2021</t>
  </si>
  <si>
    <t xml:space="preserve">Cloud computing adoption in Ghana; accounting for institutional factors</t>
  </si>
  <si>
    <t xml:space="preserve">Ghana</t>
  </si>
  <si>
    <t xml:space="preserve">Quantitative survey (79 organisations; PLS-SEM)</t>
  </si>
  <si>
    <t xml:space="preserve">ART-033_Adjei_2021.pdf</t>
  </si>
  <si>
    <t xml:space="preserve">BORDERLINE: uses institutional theory, not TOE, and studies organisations generally, not only SMEs.</t>
  </si>
  <si>
    <t xml:space="preserve">ART-034</t>
  </si>
  <si>
    <t xml:space="preserve">Milhem et al., 2025</t>
  </si>
  <si>
    <t xml:space="preserve">An integrated adoption model of cloud computing-based human resource management by SMEs in developing countries: Evidence from Bahrain</t>
  </si>
  <si>
    <t xml:space="preserve">Frontiers</t>
  </si>
  <si>
    <t xml:space="preserve">Bahrain</t>
  </si>
  <si>
    <t xml:space="preserve">Quantitative survey (280 respondents; PLS-SEM)</t>
  </si>
  <si>
    <t xml:space="preserve">ART-034_Milhem_2025.pdf</t>
  </si>
  <si>
    <t xml:space="preserve">Bahrain is a high-income country.</t>
  </si>
  <si>
    <t xml:space="preserve">ART-035</t>
  </si>
  <si>
    <t xml:space="preserve">Lutfi, 2022</t>
  </si>
  <si>
    <t xml:space="preserve">Understanding the intention to adopt cloud-based accounting information system in Jordanian SMEs</t>
  </si>
  <si>
    <t xml:space="preserve">Quantitative survey (156 owners/managers)</t>
  </si>
  <si>
    <t xml:space="preserve">ART-035_Lutfi_2022.pdf</t>
  </si>
  <si>
    <t xml:space="preserve">Cloud accounting (SaaS).</t>
  </si>
  <si>
    <t xml:space="preserve">ART-036</t>
  </si>
  <si>
    <t xml:space="preserve">Andanawarih, Mila &amp; Novitaningrum, 2026</t>
  </si>
  <si>
    <t xml:space="preserve">Antecedents of cloud accounting adoption and its consequences on SME performance: A TOE framework approach</t>
  </si>
  <si>
    <t xml:space="preserve">Quantitative survey (250 MSMEs; PLS-SEM)</t>
  </si>
  <si>
    <t xml:space="preserve">ART-036_Andanawarih_2026.pdf</t>
  </si>
  <si>
    <t xml:space="preserve">ART-037</t>
  </si>
  <si>
    <t xml:space="preserve">Subramaniam &amp; Teh, 2026</t>
  </si>
  <si>
    <t xml:space="preserve">Accelerating digital transformation: Key drivers of cloud computing adoption and firm performance outcomes in Malaysian SMEs</t>
  </si>
  <si>
    <t xml:space="preserve">Quantitative survey (350 SMEs; PLS-SEM)</t>
  </si>
  <si>
    <t xml:space="preserve">ART-037_Subramaniam_2026.pdf</t>
  </si>
  <si>
    <t xml:space="preserve">Cost-effectiveness and complexity were NOT significant.</t>
  </si>
  <si>
    <t xml:space="preserve">ART-038</t>
  </si>
  <si>
    <t xml:space="preserve">Barigye, 2025</t>
  </si>
  <si>
    <t xml:space="preserve">Determinants of cloud computing adoption in small and medium enterprises (SMEs): A case of RENU, Uganda</t>
  </si>
  <si>
    <t xml:space="preserve">Uganda</t>
  </si>
  <si>
    <t xml:space="preserve">Cross-sectional survey (descriptive statistics, t-tests)</t>
  </si>
  <si>
    <t xml:space="preserve">ART-038_Barigye_2025.pdf</t>
  </si>
  <si>
    <t xml:space="preserve">BORDERLINE: journal quality is uncertain (Metropolitan Journal of Academic Pedagogical Research) and TOE is mentioned only 3 times.</t>
  </si>
  <si>
    <t xml:space="preserve">ART-039</t>
  </si>
  <si>
    <t xml:space="preserve">Ghimire, Piaralal, Raghavan &amp; Rethina, 2024</t>
  </si>
  <si>
    <t xml:space="preserve">Exploring sustainability in cloud computing adoption among SMEs in Nepal: A conceptual model</t>
  </si>
  <si>
    <t xml:space="preserve">Nepal</t>
  </si>
  <si>
    <t xml:space="preserve">Conceptual model</t>
  </si>
  <si>
    <t xml:space="preserve">ART-039_Ghimire_2024.pdf</t>
  </si>
  <si>
    <t xml:space="preserve">ART-040</t>
  </si>
  <si>
    <t xml:space="preserve">Hamzah, Suhendar &amp; Arifin, 2023</t>
  </si>
  <si>
    <t xml:space="preserve">Factors affecting cloud accounting adoption in SMEs</t>
  </si>
  <si>
    <t xml:space="preserve">Quantitative survey (276 respondents; SmartPLS)</t>
  </si>
  <si>
    <t xml:space="preserve">ART-040_Hamzah_2023.pdf</t>
  </si>
  <si>
    <t xml:space="preserve">Does not use the term TOE, but tests TOE-type factors. Relative advantage was NOT significant.</t>
  </si>
  <si>
    <t xml:space="preserve">DATA EXTRACTION MATRIX</t>
  </si>
  <si>
    <t xml:space="preserve">Each quotation is copied verbatim from the PDF and was machine-checked against the file text on 5 Oct 2026. Page numbers are PDF page numbers, not journal page numbers.</t>
  </si>
  <si>
    <t xml:space="preserve">TOE Context Dimension</t>
  </si>
  <si>
    <t xml:space="preserve">Key Theme / Finding</t>
  </si>
  <si>
    <t xml:space="preserve">Direct Paragraph / Text Extracted</t>
  </si>
  <si>
    <t xml:space="preserve">Reason for Selection / How it Answers RQ</t>
  </si>
  <si>
    <t xml:space="preserve">POPIA Discussed?</t>
  </si>
  <si>
    <t xml:space="preserve">Load Shedding / Power Discussed?</t>
  </si>
  <si>
    <t xml:space="preserve">Local File Path / Folder Location</t>
  </si>
  <si>
    <t xml:space="preserve">Reviewer Notes</t>
  </si>
  <si>
    <t xml:space="preserve">All three</t>
  </si>
  <si>
    <t xml:space="preserve">Relative advantage, readiness and competitor pressure drive adoption</t>
  </si>
  <si>
    <t xml:space="preserve">PDF p.2: 'relative advantage, organizational readiness, bandwagon effect, competitor pressure, computer self-efficacy, and computer anxiety significantly influence the adoption of cloud computing'</t>
  </si>
  <si>
    <t xml:space="preserve">Answers RQ1–RQ3</t>
  </si>
  <si>
    <t xml:space="preserve">/Articles/ART-001_Aligarh_2023.pdf</t>
  </si>
  <si>
    <t xml:space="preserve">Organisational</t>
  </si>
  <si>
    <t xml:space="preserve">Financial constraints and weak digital culture hinder adoption</t>
  </si>
  <si>
    <t xml:space="preserve">PDF p.1: 'is hindered by various challenges such as financial constraints, maintenance costs, and a lack of digital culture and awareness'</t>
  </si>
  <si>
    <t xml:space="preserve">Answers RQ2</t>
  </si>
  <si>
    <t xml:space="preserve">/Articles/ART-002_AbuBakar_2024.pdf</t>
  </si>
  <si>
    <t xml:space="preserve">Technological</t>
  </si>
  <si>
    <t xml:space="preserve">Need, cost, security and reliability are the major factors</t>
  </si>
  <si>
    <t xml:space="preserve">PDF p.1: 'need, cost, security, and reliability are major factors that impact cloud computing adoption'</t>
  </si>
  <si>
    <t xml:space="preserve">Answers RQ1</t>
  </si>
  <si>
    <t xml:space="preserve">/Articles/ART-003_AlDwairi_2018.pdf</t>
  </si>
  <si>
    <t xml:space="preserve">Most SMEs have not adopted cloud; still use traditional IT</t>
  </si>
  <si>
    <t xml:space="preserve">PDF p.5: 'The results reveal that the majority of SMEs in the study area have not yet adopted cloud computing for running their businesses'</t>
  </si>
  <si>
    <t xml:space="preserve">Answers RQ1, RQ2</t>
  </si>
  <si>
    <t xml:space="preserve">/Articles/ART-004_Mokwena_2024.pdf</t>
  </si>
  <si>
    <t xml:space="preserve">Management support is the leading driver; cost and security are barriers</t>
  </si>
  <si>
    <t xml:space="preserve">PDF p.1: 'Key adoption drivers include management support (cited by 68% of studies), service quality (56%), and perceived risks (54%)'</t>
  </si>
  <si>
    <t xml:space="preserve">/Articles/ART-005_Mkhize_2025.pdf</t>
  </si>
  <si>
    <t xml:space="preserve">Relative advantage important; regulatory support a barrier</t>
  </si>
  <si>
    <t xml:space="preserve">PDF p.1: 'relative advantage is an important factor in the consideration of cloud computing adoption by SMMEs, while government and regulatory support is perceived as a barrier'</t>
  </si>
  <si>
    <t xml:space="preserve">/Articles/ART-006_Sithole_2021.pdf</t>
  </si>
  <si>
    <t xml:space="preserve">Environmental</t>
  </si>
  <si>
    <t xml:space="preserve">Infrastructure, data security and skills gaps</t>
  </si>
  <si>
    <t xml:space="preserve">PDF p.1: 'including issues related to infrastructure, data security, and skill gaps'</t>
  </si>
  <si>
    <t xml:space="preserve">Answers RQ2, RQ3</t>
  </si>
  <si>
    <t xml:space="preserve">/Articles/ART-007_Mhlongo_2024.pdf</t>
  </si>
  <si>
    <t xml:space="preserve">Four key TOE determinants</t>
  </si>
  <si>
    <t xml:space="preserve">PDF p.1: 'relative advantage, top management support, technical readiness, and competitive pressure'</t>
  </si>
  <si>
    <t xml:space="preserve">/Articles/ART-008_Ilahi_2024.pdf</t>
  </si>
  <si>
    <t xml:space="preserve">Research on SME cloud service models is growing fast</t>
  </si>
  <si>
    <t xml:space="preserve">PDF p.1: 'Findings indicate a significant surge in publications, reaching a peak of 140 articles in 2024'</t>
  </si>
  <si>
    <t xml:space="preserve">/Articles/ART-009_Ahmad_2025.pdf</t>
  </si>
  <si>
    <t xml:space="preserve">Cost savings is the most important factor</t>
  </si>
  <si>
    <t xml:space="preserve">PDF p.1: 'Asia recorded the highest number of studies, whereas cost savings is the most important adoption factor'</t>
  </si>
  <si>
    <t xml:space="preserve">/Articles/ART-010_Jayeola_2022.pdf</t>
  </si>
  <si>
    <t xml:space="preserve">Effort expectancy, security and trust predict adoption</t>
  </si>
  <si>
    <t xml:space="preserve">PDF p.1: 'performance expectancy; effort expectancy; absorptive capacity; data security and privacy; and perceived trust'</t>
  </si>
  <si>
    <t xml:space="preserve">/Articles/ART-011_Khayer_2020a.pdf</t>
  </si>
  <si>
    <t xml:space="preserve">Poor infrastructure and weak government support reduce adoption</t>
  </si>
  <si>
    <t xml:space="preserve">PDF p.1: 'poor infrastructure and lack of government initiatives) are negatively related to the adoption decision'</t>
  </si>
  <si>
    <t xml:space="preserve">Brief</t>
  </si>
  <si>
    <t xml:space="preserve">/Articles/ART-012_Skafi_2020.pdf</t>
  </si>
  <si>
    <t xml:space="preserve">Cost and flexibility are central</t>
  </si>
  <si>
    <t xml:space="preserve">PDF p.1: 'Findings highlight the applicability of influential factors such as'</t>
  </si>
  <si>
    <t xml:space="preserve">Answers RQ1, RQ3</t>
  </si>
  <si>
    <t xml:space="preserve">/Articles/ART-013_Shetty_2021.pdf</t>
  </si>
  <si>
    <t xml:space="preserve">Convenience, compatibility and organisational confidence drive cloud use</t>
  </si>
  <si>
    <t xml:space="preserve">PDF p.1: 'The results indicate that convenience, compatibility, and organizational confidence are significant antecedents of the use of cloud computing'</t>
  </si>
  <si>
    <t xml:space="preserve">/Articles/ART-014_Picoto_2021.pdf</t>
  </si>
  <si>
    <t xml:space="preserve">Post-adoption impacts are under-studied</t>
  </si>
  <si>
    <t xml:space="preserve">PDF p.1: 'A total of 39 relevant articles were reviewed'</t>
  </si>
  <si>
    <t xml:space="preserve">/Articles/ART-015_Salleh_2018.pdf</t>
  </si>
  <si>
    <t xml:space="preserve">Top management support and technology readiness</t>
  </si>
  <si>
    <t xml:space="preserve">PDF p.1: 'The significant impact was identified to adopt the cloud computing is top management support and technology readiness'</t>
  </si>
  <si>
    <t xml:space="preserve">/Articles/ART-016_Nuskiya_2017.pdf</t>
  </si>
  <si>
    <t xml:space="preserve">Adopters are less concerned with security; power is an issue</t>
  </si>
  <si>
    <t xml:space="preserve">PDF p.1: 'these SMEs are less concerned with challenges like security, privacy and data loss'</t>
  </si>
  <si>
    <t xml:space="preserve">/Articles/ART-017_Abubakar_2014.pdf</t>
  </si>
  <si>
    <t xml:space="preserve">Technological context has a positive significant effect</t>
  </si>
  <si>
    <t xml:space="preserve">PDF p.8: 'technological context has a positive significant effect on the adoption of cloud computing practices'</t>
  </si>
  <si>
    <t xml:space="preserve">/Articles/ART-018_Modisane_2021.pdf</t>
  </si>
  <si>
    <t xml:space="preserve">POPI Act only partly applies to cloud computing</t>
  </si>
  <si>
    <t xml:space="preserve">PDF p.7: 'over 90% of participants viewed the POPI Act as a policy that has an impact on cloud computing'</t>
  </si>
  <si>
    <t xml:space="preserve">/Articles/ART-019_Mohlameane_2020.pdf</t>
  </si>
  <si>
    <t xml:space="preserve">Technical expertise is vital; SMEs skip preparatory activities</t>
  </si>
  <si>
    <t xml:space="preserve">PDF p.1: 'Our findings indicate that technical expertise (i.e., knowledge) amongst SMEs plays a vital role in the cloud adoption process'</t>
  </si>
  <si>
    <t xml:space="preserve">/Articles/ART-020_Mudzamba_2022.pdf</t>
  </si>
  <si>
    <t xml:space="preserve">Top management support strongest; load shedding named as operational reality</t>
  </si>
  <si>
    <t xml:space="preserve">PDF p.7: 'top management support (β = 0.466)'</t>
  </si>
  <si>
    <t xml:space="preserve">/Articles/ART-021_Morema_2026.pdf</t>
  </si>
  <si>
    <t xml:space="preserve">Lack of encouragement, training and executive sponsorship</t>
  </si>
  <si>
    <t xml:space="preserve">PDF p.1: 'lack of encouragement, poor training, application is missing and lack of executive sponsorship'</t>
  </si>
  <si>
    <t xml:space="preserve">/Articles/ART-022_Buhari_2022.pdf</t>
  </si>
  <si>
    <t xml:space="preserve">Top management and relative advantage have positive impact</t>
  </si>
  <si>
    <t xml:space="preserve">PDF p.1: 'top management encouragement and relative advantages have a positive impact on the adoption of cloud computing in MSMEs in Indonesia'</t>
  </si>
  <si>
    <t xml:space="preserve">/Articles/ART-023_Gui_2020.pdf</t>
  </si>
  <si>
    <t xml:space="preserve">Six TOE factors significant; complexity ranked first</t>
  </si>
  <si>
    <t xml:space="preserve">PDF p.1: 'relative advantage, complexity, compatibility, top management support, cost reduction, and government support significantly affect cloud computing integration'</t>
  </si>
  <si>
    <t xml:space="preserve">/Articles/ART-024_AlSharafi_2023.pdf</t>
  </si>
  <si>
    <t xml:space="preserve">Server location is the strongest predictor</t>
  </si>
  <si>
    <t xml:space="preserve">PDF p.1: 'the most significant predictor of cloud adoption is server location followed by facilitating conditions, relative advantage, service quality, top management support'</t>
  </si>
  <si>
    <t xml:space="preserve">/Articles/ART-025_Khayer_2020b.pdf</t>
  </si>
  <si>
    <t xml:space="preserve">TOE analysis of e-commerce SME adoption</t>
  </si>
  <si>
    <t xml:space="preserve">PDF p.1: 'analyzing the technological, organizational, and environmental factors that affect cloud service adoption'</t>
  </si>
  <si>
    <t xml:space="preserve">/Articles/ART-026_Alamri_2024.pdf</t>
  </si>
  <si>
    <t xml:space="preserve">TOE factors plus mimetic and normative pressure</t>
  </si>
  <si>
    <t xml:space="preserve">PDF p.1: 'organizational resources, employee capability, top senior management support, mimetic pressures, normative pressures'</t>
  </si>
  <si>
    <t xml:space="preserve">/Articles/ART-027_Mujalli_2024.pdf</t>
  </si>
  <si>
    <t xml:space="preserve">Top management support and complexity explain 29.8%</t>
  </si>
  <si>
    <t xml:space="preserve">PDF p.1 (OCR): 'top management support and complexity explained 29.8%'</t>
  </si>
  <si>
    <t xml:space="preserve">/Articles/ART-028_Sayginer_2021.pdf</t>
  </si>
  <si>
    <t xml:space="preserve">Privacy, legal compliance and security obstruct SaaS adoption</t>
  </si>
  <si>
    <t xml:space="preserve">PDF p.1: 'beset by numerous obstacles, like data privacy, legal compliance and security concerns'</t>
  </si>
  <si>
    <t xml:space="preserve">/Articles/ART-029_Nosheen_2025.pdf</t>
  </si>
  <si>
    <t xml:space="preserve">Five determinant groups incl. vendor and owner</t>
  </si>
  <si>
    <t xml:space="preserve">PDF p.1: 'technology, organization, environment, vendor, and owner that influence the adoption decision'</t>
  </si>
  <si>
    <t xml:space="preserve">Answers RQ4</t>
  </si>
  <si>
    <t xml:space="preserve">/Articles/ART-030_Sastararuji_2021.pdf</t>
  </si>
  <si>
    <t xml:space="preserve">Cost savings, firm size, management and regulatory support significant</t>
  </si>
  <si>
    <t xml:space="preserve">PDF p.1: 'cost savings, firm size, top management support, and regulatory support significantly influence CC adoption in SMEs'</t>
  </si>
  <si>
    <t xml:space="preserve">/Articles/ART-031_Ali_2023.pdf</t>
  </si>
  <si>
    <t xml:space="preserve">Attitudes shifted 2017–2023; security and expertise key</t>
  </si>
  <si>
    <t xml:space="preserve">PDF p.1: 'The findings revealed substantial shifts in SME attitudes towards cloud computing'</t>
  </si>
  <si>
    <t xml:space="preserve">/Articles/ART-032_Ognjanovic_2024.pdf</t>
  </si>
  <si>
    <t xml:space="preserve">Institutional pressures explain 27% of adoption</t>
  </si>
  <si>
    <t xml:space="preserve">PDF p.1: 'explain 27% of the variance in cloud computing adoption'</t>
  </si>
  <si>
    <t xml:space="preserve">Answers RQ3</t>
  </si>
  <si>
    <t xml:space="preserve">/Articles/ART-033_Adjei_2021.pdf</t>
  </si>
  <si>
    <t xml:space="preserve">All three TOE contexts significant</t>
  </si>
  <si>
    <t xml:space="preserve">PDF p.1: 'technological, organizational, and environmental contexts greatly impact the adoption of sustainable cloud computing-based HRM'</t>
  </si>
  <si>
    <t xml:space="preserve">/Articles/ART-034_Milhem_2025.pdf</t>
  </si>
  <si>
    <t xml:space="preserve">Six TOE factors affect intention</t>
  </si>
  <si>
    <t xml:space="preserve">PDF p.1: 'this study applied the Technology, Organization, and Environment model to examine CB-AIS adoption among SMEs in Jordan'</t>
  </si>
  <si>
    <t xml:space="preserve">/Articles/ART-035_Lutfi_2022.pdf</t>
  </si>
  <si>
    <t xml:space="preserve">Management support, competitive pressure and bandwagon effect</t>
  </si>
  <si>
    <t xml:space="preserve">PDF p.1: 'support from senior management, competitive pressure, the bandwagon effect, and user confidence in their ability to use IT'</t>
  </si>
  <si>
    <t xml:space="preserve">/Articles/ART-036_Andanawarih_2026.pdf</t>
  </si>
  <si>
    <t xml:space="preserve">Relative advantage, security assurance, competitive pressure</t>
  </si>
  <si>
    <t xml:space="preserve">PDF p.1: 'relative advantage, security assurance, industry influence, competitive pressure, corporate culture, and IT competency significantly influence cloud computing adoption'</t>
  </si>
  <si>
    <t xml:space="preserve">/Articles/ART-037_Subramaniam_2026.pdf</t>
  </si>
  <si>
    <t xml:space="preserve">SMEs see cloud as beneficial; security remains a concern</t>
  </si>
  <si>
    <t xml:space="preserve">PDF p.1: 'SMEs perceive cloud computing as beneficial and valuable, with high levels of support from top management and suppliers'</t>
  </si>
  <si>
    <t xml:space="preserve">/Articles/ART-038_Barigye_2025.pdf</t>
  </si>
  <si>
    <t xml:space="preserve">Trust, security and cost reduction support sustained adoption</t>
  </si>
  <si>
    <t xml:space="preserve">PDF p.1: 'using the Technology Organization Environment (TOE) framework and the Diffusion of Innovations (DOI) theory'</t>
  </si>
  <si>
    <t xml:space="preserve">Answers RQ1, RQ4</t>
  </si>
  <si>
    <t xml:space="preserve">/Articles/ART-039_Ghimire_2024.pdf</t>
  </si>
  <si>
    <t xml:space="preserve">Complexity, security, management and government support significant</t>
  </si>
  <si>
    <t xml:space="preserve">PDF p.1: 'Coercive Pressure, Government Support, and Provider Support significantly influence the adoption of cloud accounting'</t>
  </si>
  <si>
    <t xml:space="preserve">/Articles/ART-040_Hamzah_2023.pdf</t>
  </si>
  <si>
    <t xml:space="preserve">PROFILE OF THE 40 INCLUDED STUDIES (counts update automatically from the screening sheet)</t>
  </si>
  <si>
    <t xml:space="preserve">Publication year</t>
  </si>
  <si>
    <t xml:space="preserve">Count</t>
  </si>
  <si>
    <t xml:space="preserve">% of 40</t>
  </si>
  <si>
    <t xml:space="preserve">Total</t>
  </si>
  <si>
    <t xml:space="preserve">Source database / platform</t>
  </si>
  <si>
    <t xml:space="preserve">Publication channel</t>
  </si>
  <si>
    <t xml:space="preserve">Country / context</t>
  </si>
  <si>
    <t xml:space="preserve">Quality rating</t>
  </si>
  <si>
    <t xml:space="preserve">High</t>
  </si>
  <si>
    <t xml:space="preserve">Moderate</t>
  </si>
  <si>
    <t xml:space="preserve">Low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</si>
</sst>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3"/>
      <color rgb="FF1F497D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2F5496"/>
      </patternFill>
    </fill>
    <fill>
      <patternFill patternType="solid">
        <fgColor rgb="FF2F5496"/>
        <bgColor rgb="FF1F497D"/>
      </patternFill>
    </fill>
    <fill>
      <patternFill patternType="solid">
        <fgColor rgb="FFF2F2F2"/>
        <bgColor rgb="FFE2EFDA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2F549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98"/>
    <col collapsed="false" customWidth="true" hidden="false" outlineLevel="0" max="2" min="2" style="0" width="117"/>
    <col collapsed="false" customWidth="true" hidden="false" outlineLevel="0" max="3" min="3" style="0" width="47"/>
    <col collapsed="false" customWidth="true" hidden="false" outlineLevel="0" max="4" min="4" style="0" width="65"/>
  </cols>
  <sheetData>
    <row r="2" customFormat="false" ht="19.5" hidden="false" customHeight="true" outlineLevel="0" collapsed="false">
      <c r="A2" s="1" t="s">
        <v>0</v>
      </c>
    </row>
    <row r="3" customFormat="false" ht="14.25" hidden="false" customHeight="false" outlineLevel="0" collapsed="false">
      <c r="A3" s="2" t="s">
        <v>1</v>
      </c>
    </row>
    <row r="4" customFormat="false" ht="14.25" hidden="false" customHeight="false" outlineLevel="0" collapsed="false">
      <c r="A4" s="3" t="s">
        <v>2</v>
      </c>
    </row>
    <row r="5" customFormat="false" ht="14.25" hidden="false" customHeight="false" outlineLevel="0" collapsed="false">
      <c r="A5" s="3" t="s">
        <v>3</v>
      </c>
    </row>
    <row r="7" customFormat="false" ht="14.25" hidden="false" customHeight="false" outlineLevel="0" collapsed="false">
      <c r="A7" s="4" t="s">
        <v>4</v>
      </c>
      <c r="B7" s="4"/>
      <c r="C7" s="4"/>
      <c r="D7" s="4"/>
    </row>
    <row r="8" customFormat="false" ht="14.25" hidden="false" customHeight="false" outlineLevel="0" collapsed="false">
      <c r="A8" s="5" t="s">
        <v>5</v>
      </c>
      <c r="B8" s="5" t="s">
        <v>6</v>
      </c>
      <c r="C8" s="5" t="s">
        <v>7</v>
      </c>
      <c r="D8" s="5" t="s">
        <v>8</v>
      </c>
    </row>
    <row r="9" customFormat="false" ht="14.25" hidden="false" customHeight="false" outlineLevel="0" collapsed="false">
      <c r="A9" s="6" t="s">
        <v>9</v>
      </c>
      <c r="B9" s="7" t="s">
        <v>10</v>
      </c>
      <c r="C9" s="8" t="s">
        <v>11</v>
      </c>
      <c r="D9" s="9" t="str">
        <f aca="false">HYPERLINK("#'TOC &amp; Overview'!A1", "Go to sheet →")</f>
        <v>Go to sheet →</v>
      </c>
    </row>
    <row r="10" customFormat="false" ht="14.25" hidden="false" customHeight="false" outlineLevel="0" collapsed="false">
      <c r="A10" s="10" t="s">
        <v>12</v>
      </c>
      <c r="B10" s="11" t="s">
        <v>13</v>
      </c>
      <c r="C10" s="12" t="s">
        <v>14</v>
      </c>
      <c r="D10" s="13" t="str">
        <f aca="false">HYPERLINK("#'PRISMA Search Log'!A1", "Go to sheet →")</f>
        <v>Go to sheet →</v>
      </c>
    </row>
    <row r="11" customFormat="false" ht="14.25" hidden="false" customHeight="false" outlineLevel="0" collapsed="false">
      <c r="A11" s="6" t="s">
        <v>15</v>
      </c>
      <c r="B11" s="7" t="s">
        <v>16</v>
      </c>
      <c r="C11" s="8" t="s">
        <v>17</v>
      </c>
      <c r="D11" s="9" t="str">
        <f aca="false">HYPERLINK("#'Article Screening &amp; MMAT'!A1", "Go to sheet →")</f>
        <v>Go to sheet →</v>
      </c>
    </row>
    <row r="12" customFormat="false" ht="14.25" hidden="false" customHeight="false" outlineLevel="0" collapsed="false">
      <c r="A12" s="10" t="s">
        <v>18</v>
      </c>
      <c r="B12" s="11" t="s">
        <v>19</v>
      </c>
      <c r="C12" s="12" t="s">
        <v>20</v>
      </c>
      <c r="D12" s="13" t="str">
        <f aca="false">HYPERLINK("#'Data Extraction Matrix'!A1", "Go to sheet →")</f>
        <v>Go to sheet →</v>
      </c>
    </row>
    <row r="15" customFormat="false" ht="14.25" hidden="false" customHeight="false" outlineLevel="0" collapsed="false">
      <c r="A15" s="4" t="s">
        <v>21</v>
      </c>
      <c r="B15" s="4"/>
      <c r="C15" s="4"/>
      <c r="D15" s="4"/>
    </row>
    <row r="16" customFormat="false" ht="14.25" hidden="false" customHeight="false" outlineLevel="0" collapsed="false">
      <c r="A16" s="5" t="s">
        <v>22</v>
      </c>
      <c r="B16" s="5" t="s">
        <v>23</v>
      </c>
      <c r="C16" s="5" t="s">
        <v>24</v>
      </c>
      <c r="D16" s="5" t="s">
        <v>25</v>
      </c>
    </row>
    <row r="17" customFormat="false" ht="14.25" hidden="false" customHeight="false" outlineLevel="0" collapsed="false">
      <c r="A17" s="14" t="s">
        <v>26</v>
      </c>
      <c r="B17" s="11" t="s">
        <v>27</v>
      </c>
      <c r="C17" s="11" t="s">
        <v>28</v>
      </c>
      <c r="D17" s="12" t="s">
        <v>29</v>
      </c>
    </row>
    <row r="18" customFormat="false" ht="14.25" hidden="false" customHeight="false" outlineLevel="0" collapsed="false">
      <c r="A18" s="15" t="s">
        <v>30</v>
      </c>
      <c r="B18" s="11" t="s">
        <v>31</v>
      </c>
      <c r="C18" s="11" t="s">
        <v>32</v>
      </c>
      <c r="D18" s="12" t="s">
        <v>33</v>
      </c>
    </row>
    <row r="19" customFormat="false" ht="14.25" hidden="false" customHeight="false" outlineLevel="0" collapsed="false">
      <c r="A19" s="16" t="s">
        <v>34</v>
      </c>
      <c r="B19" s="11" t="s">
        <v>35</v>
      </c>
      <c r="C19" s="11" t="s">
        <v>36</v>
      </c>
      <c r="D19" s="12" t="s">
        <v>37</v>
      </c>
    </row>
    <row r="20" customFormat="false" ht="14.25" hidden="false" customHeight="false" outlineLevel="0" collapsed="false">
      <c r="A20" s="17" t="s">
        <v>38</v>
      </c>
      <c r="B20" s="11" t="s">
        <v>39</v>
      </c>
      <c r="C20" s="11" t="s">
        <v>40</v>
      </c>
      <c r="D20" s="12" t="s">
        <v>41</v>
      </c>
    </row>
    <row r="21" customFormat="false" ht="14.25" hidden="false" customHeight="false" outlineLevel="0" collapsed="false">
      <c r="A21" s="6" t="s">
        <v>42</v>
      </c>
      <c r="B21" s="11" t="s">
        <v>43</v>
      </c>
      <c r="C21" s="11" t="s">
        <v>44</v>
      </c>
      <c r="D21" s="12" t="s">
        <v>45</v>
      </c>
    </row>
    <row r="22" customFormat="false" ht="14.25" hidden="false" customHeight="false" outlineLevel="0" collapsed="false">
      <c r="A22" s="18" t="s">
        <v>46</v>
      </c>
      <c r="B22" s="11" t="s">
        <v>47</v>
      </c>
      <c r="C22" s="11" t="s">
        <v>48</v>
      </c>
      <c r="D22" s="12" t="s">
        <v>49</v>
      </c>
    </row>
  </sheetData>
  <mergeCells count="2">
    <mergeCell ref="A7:D7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pane xSplit="0" ySplit="4" topLeftCell="A11" activePane="bottomLeft" state="frozen"/>
      <selection pane="topLeft" activeCell="E1" activeCellId="0" sqref="E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37"/>
    <col collapsed="false" customWidth="true" hidden="false" outlineLevel="0" max="2" min="2" style="0" width="14"/>
    <col collapsed="false" customWidth="true" hidden="false" outlineLevel="0" max="4" min="3" style="0" width="40"/>
    <col collapsed="false" customWidth="true" hidden="false" outlineLevel="0" max="5" min="5" style="0" width="28"/>
    <col collapsed="false" customWidth="true" hidden="false" outlineLevel="0" max="6" min="6" style="0" width="21"/>
    <col collapsed="false" customWidth="true" hidden="false" outlineLevel="0" max="7" min="7" style="0" width="19"/>
    <col collapsed="false" customWidth="true" hidden="false" outlineLevel="0" max="8" min="8" style="0" width="40"/>
    <col collapsed="false" customWidth="true" hidden="false" outlineLevel="0" max="9" min="9" style="0" width="30"/>
    <col collapsed="false" customWidth="true" hidden="false" outlineLevel="0" max="10" min="10" style="0" width="43"/>
    <col collapsed="false" customWidth="true" hidden="false" outlineLevel="0" max="11" min="11" style="0" width="27"/>
  </cols>
  <sheetData>
    <row r="1" customFormat="false" ht="19.5" hidden="false" customHeight="true" outlineLevel="0" collapsed="false">
      <c r="A1" s="1" t="s">
        <v>50</v>
      </c>
    </row>
    <row r="2" customFormat="false" ht="14.25" hidden="false" customHeight="false" outlineLevel="0" collapsed="false">
      <c r="A2" s="3" t="s">
        <v>51</v>
      </c>
    </row>
    <row r="4" customFormat="false" ht="39.75" hidden="false" customHeight="true" outlineLevel="0" collapsed="false">
      <c r="A4" s="19" t="s">
        <v>52</v>
      </c>
      <c r="B4" s="19" t="s">
        <v>53</v>
      </c>
      <c r="C4" s="19" t="s">
        <v>54</v>
      </c>
      <c r="D4" s="19" t="s">
        <v>55</v>
      </c>
      <c r="E4" s="19" t="s">
        <v>56</v>
      </c>
      <c r="F4" s="19" t="s">
        <v>57</v>
      </c>
      <c r="G4" s="19" t="s">
        <v>58</v>
      </c>
      <c r="H4" s="19" t="s">
        <v>59</v>
      </c>
      <c r="I4" s="19" t="s">
        <v>60</v>
      </c>
      <c r="J4" s="19" t="s">
        <v>61</v>
      </c>
      <c r="K4" s="19" t="s">
        <v>62</v>
      </c>
    </row>
    <row r="5" customFormat="false" ht="75" hidden="false" customHeight="true" outlineLevel="0" collapsed="false">
      <c r="A5" s="10" t="s">
        <v>63</v>
      </c>
      <c r="B5" s="20" t="s">
        <v>64</v>
      </c>
      <c r="C5" s="21" t="s">
        <v>65</v>
      </c>
      <c r="D5" s="20" t="s">
        <v>66</v>
      </c>
      <c r="E5" s="22" t="n">
        <v>45</v>
      </c>
      <c r="F5" s="22" t="n">
        <v>10</v>
      </c>
      <c r="G5" s="23" t="n">
        <f aca="false">E5-F5</f>
        <v>35</v>
      </c>
      <c r="H5" s="22" t="n">
        <v>20</v>
      </c>
      <c r="I5" s="23" t="n">
        <f aca="false">G5-H5</f>
        <v>15</v>
      </c>
      <c r="J5" s="22" t="n">
        <v>8</v>
      </c>
      <c r="K5" s="23" t="n">
        <f aca="false">I5-J5</f>
        <v>7</v>
      </c>
    </row>
    <row r="6" customFormat="false" ht="62.25" hidden="false" customHeight="true" outlineLevel="0" collapsed="false">
      <c r="A6" s="10" t="s">
        <v>67</v>
      </c>
      <c r="B6" s="20" t="s">
        <v>64</v>
      </c>
      <c r="C6" s="21" t="s">
        <v>68</v>
      </c>
      <c r="D6" s="20" t="s">
        <v>66</v>
      </c>
      <c r="E6" s="22" t="n">
        <v>22</v>
      </c>
      <c r="F6" s="22" t="n">
        <v>8</v>
      </c>
      <c r="G6" s="23" t="n">
        <f aca="false">E6-F6</f>
        <v>14</v>
      </c>
      <c r="H6" s="22" t="n">
        <v>8</v>
      </c>
      <c r="I6" s="23" t="n">
        <f aca="false">G6-H6</f>
        <v>6</v>
      </c>
      <c r="J6" s="22" t="n">
        <v>4</v>
      </c>
      <c r="K6" s="23" t="n">
        <f aca="false">I6-J6</f>
        <v>2</v>
      </c>
    </row>
    <row r="7" customFormat="false" ht="24.75" hidden="false" customHeight="true" outlineLevel="0" collapsed="false">
      <c r="A7" s="10" t="s">
        <v>69</v>
      </c>
      <c r="B7" s="20" t="s">
        <v>64</v>
      </c>
      <c r="C7" s="21" t="s">
        <v>70</v>
      </c>
      <c r="D7" s="20" t="s">
        <v>66</v>
      </c>
      <c r="E7" s="22" t="n">
        <v>18</v>
      </c>
      <c r="F7" s="22" t="n">
        <v>5</v>
      </c>
      <c r="G7" s="23" t="n">
        <f aca="false">E7-F7</f>
        <v>13</v>
      </c>
      <c r="H7" s="22" t="n">
        <v>7</v>
      </c>
      <c r="I7" s="23" t="n">
        <f aca="false">G7-H7</f>
        <v>6</v>
      </c>
      <c r="J7" s="22" t="n">
        <v>3</v>
      </c>
      <c r="K7" s="23" t="n">
        <f aca="false">I7-J7</f>
        <v>3</v>
      </c>
    </row>
    <row r="8" customFormat="false" ht="24.75" hidden="false" customHeight="true" outlineLevel="0" collapsed="false">
      <c r="A8" s="10" t="s">
        <v>71</v>
      </c>
      <c r="B8" s="20" t="s">
        <v>64</v>
      </c>
      <c r="C8" s="21" t="s">
        <v>72</v>
      </c>
      <c r="D8" s="20" t="s">
        <v>66</v>
      </c>
      <c r="E8" s="22" t="n">
        <v>12</v>
      </c>
      <c r="F8" s="22" t="n">
        <v>2</v>
      </c>
      <c r="G8" s="23" t="n">
        <f aca="false">E8-F8</f>
        <v>10</v>
      </c>
      <c r="H8" s="22" t="n">
        <v>6</v>
      </c>
      <c r="I8" s="23" t="n">
        <f aca="false">G8-H8</f>
        <v>4</v>
      </c>
      <c r="J8" s="22" t="n">
        <v>2</v>
      </c>
      <c r="K8" s="23" t="n">
        <f aca="false">I8-J8</f>
        <v>2</v>
      </c>
    </row>
    <row r="9" customFormat="false" ht="24.75" hidden="false" customHeight="true" outlineLevel="0" collapsed="false">
      <c r="A9" s="10" t="s">
        <v>73</v>
      </c>
      <c r="B9" s="20" t="s">
        <v>64</v>
      </c>
      <c r="C9" s="21" t="s">
        <v>74</v>
      </c>
      <c r="D9" s="20" t="s">
        <v>66</v>
      </c>
      <c r="E9" s="22" t="n">
        <v>38</v>
      </c>
      <c r="F9" s="22" t="n">
        <v>15</v>
      </c>
      <c r="G9" s="23" t="n">
        <f aca="false">E9-F9</f>
        <v>23</v>
      </c>
      <c r="H9" s="22" t="n">
        <v>12</v>
      </c>
      <c r="I9" s="23" t="n">
        <f aca="false">G9-H9</f>
        <v>11</v>
      </c>
      <c r="J9" s="22" t="n">
        <v>6</v>
      </c>
      <c r="K9" s="23" t="n">
        <f aca="false">I9-J9</f>
        <v>5</v>
      </c>
    </row>
    <row r="10" customFormat="false" ht="37.5" hidden="false" customHeight="true" outlineLevel="0" collapsed="false">
      <c r="A10" s="10" t="s">
        <v>75</v>
      </c>
      <c r="B10" s="20" t="s">
        <v>64</v>
      </c>
      <c r="C10" s="21" t="s">
        <v>76</v>
      </c>
      <c r="D10" s="20" t="s">
        <v>66</v>
      </c>
      <c r="E10" s="22" t="n">
        <v>25</v>
      </c>
      <c r="F10" s="22" t="n">
        <v>12</v>
      </c>
      <c r="G10" s="23" t="n">
        <f aca="false">E10-F10</f>
        <v>13</v>
      </c>
      <c r="H10" s="22" t="n">
        <v>8</v>
      </c>
      <c r="I10" s="23" t="n">
        <f aca="false">G10-H10</f>
        <v>5</v>
      </c>
      <c r="J10" s="22" t="n">
        <v>3</v>
      </c>
      <c r="K10" s="23" t="n">
        <f aca="false">I10-J10</f>
        <v>2</v>
      </c>
    </row>
    <row r="11" customFormat="false" ht="62.25" hidden="false" customHeight="true" outlineLevel="0" collapsed="false">
      <c r="A11" s="10" t="s">
        <v>77</v>
      </c>
      <c r="B11" s="20" t="s">
        <v>64</v>
      </c>
      <c r="C11" s="21" t="s">
        <v>78</v>
      </c>
      <c r="D11" s="20" t="s">
        <v>66</v>
      </c>
      <c r="E11" s="22" t="n">
        <v>150</v>
      </c>
      <c r="F11" s="22" t="n">
        <v>45</v>
      </c>
      <c r="G11" s="23" t="n">
        <f aca="false">E11-F11</f>
        <v>105</v>
      </c>
      <c r="H11" s="22" t="n">
        <v>85</v>
      </c>
      <c r="I11" s="23" t="n">
        <f aca="false">G11-H11</f>
        <v>20</v>
      </c>
      <c r="J11" s="22" t="n">
        <v>15</v>
      </c>
      <c r="K11" s="23" t="n">
        <f aca="false">I11-J11</f>
        <v>5</v>
      </c>
    </row>
    <row r="12" customFormat="false" ht="49.5" hidden="false" customHeight="true" outlineLevel="0" collapsed="false">
      <c r="A12" s="10" t="s">
        <v>79</v>
      </c>
      <c r="B12" s="20" t="s">
        <v>64</v>
      </c>
      <c r="C12" s="21" t="s">
        <v>80</v>
      </c>
      <c r="D12" s="20" t="s">
        <v>66</v>
      </c>
      <c r="E12" s="22" t="n">
        <v>32</v>
      </c>
      <c r="F12" s="22" t="n">
        <v>5</v>
      </c>
      <c r="G12" s="23" t="n">
        <f aca="false">E12-F12</f>
        <v>27</v>
      </c>
      <c r="H12" s="22" t="n">
        <v>18</v>
      </c>
      <c r="I12" s="23" t="n">
        <f aca="false">G12-H12</f>
        <v>9</v>
      </c>
      <c r="J12" s="22" t="n">
        <v>5</v>
      </c>
      <c r="K12" s="23" t="n">
        <f aca="false">I12-J12</f>
        <v>4</v>
      </c>
    </row>
    <row r="13" customFormat="false" ht="46.25" hidden="false" customHeight="false" outlineLevel="0" collapsed="false">
      <c r="A13" s="10" t="s">
        <v>81</v>
      </c>
      <c r="B13" s="20" t="s">
        <v>82</v>
      </c>
      <c r="C13" s="21" t="s">
        <v>83</v>
      </c>
      <c r="D13" s="20" t="s">
        <v>66</v>
      </c>
      <c r="E13" s="22" t="n">
        <v>39</v>
      </c>
      <c r="F13" s="22" t="n">
        <v>0</v>
      </c>
      <c r="G13" s="23" t="n">
        <f aca="false">E13-F13</f>
        <v>39</v>
      </c>
      <c r="H13" s="22" t="n">
        <v>11</v>
      </c>
      <c r="I13" s="23" t="n">
        <f aca="false">G13-H13</f>
        <v>28</v>
      </c>
      <c r="J13" s="22" t="n">
        <v>7</v>
      </c>
      <c r="K13" s="23" t="n">
        <f aca="false">I13-J13</f>
        <v>21</v>
      </c>
    </row>
    <row r="14" customFormat="false" ht="14.25" hidden="false" customHeight="false" outlineLevel="0" collapsed="false">
      <c r="A14" s="24" t="s">
        <v>84</v>
      </c>
      <c r="B14" s="25" t="s">
        <v>85</v>
      </c>
      <c r="C14" s="25" t="s">
        <v>85</v>
      </c>
      <c r="D14" s="25" t="s">
        <v>85</v>
      </c>
      <c r="E14" s="26" t="n">
        <f aca="false">SUM(E5:E13)</f>
        <v>381</v>
      </c>
      <c r="F14" s="26" t="n">
        <f aca="false">SUM(F5:F13)</f>
        <v>102</v>
      </c>
      <c r="G14" s="26" t="n">
        <f aca="false">SUM(G5:G13)</f>
        <v>279</v>
      </c>
      <c r="H14" s="26" t="n">
        <f aca="false">SUM(H5:H13)</f>
        <v>175</v>
      </c>
      <c r="I14" s="26" t="n">
        <f aca="false">SUM(I5:I13)</f>
        <v>104</v>
      </c>
      <c r="J14" s="26" t="n">
        <f aca="false">SUM(J5:J13)</f>
        <v>53</v>
      </c>
      <c r="K14" s="26" t="n">
        <f aca="false">SUM(K5:K13)</f>
        <v>51</v>
      </c>
    </row>
    <row r="16" customFormat="false" ht="14.25" hidden="false" customHeight="false" outlineLevel="0" collapsed="false">
      <c r="A16" s="27" t="s">
        <v>86</v>
      </c>
    </row>
    <row r="17" customFormat="false" ht="14.25" hidden="false" customHeight="false" outlineLevel="0" collapsed="false">
      <c r="A17" s="28" t="s">
        <v>87</v>
      </c>
      <c r="B17" s="29" t="n">
        <f aca="false">SUM(K5:K12)</f>
        <v>30</v>
      </c>
    </row>
    <row r="18" customFormat="false" ht="14.25" hidden="false" customHeight="false" outlineLevel="0" collapsed="false">
      <c r="A18" s="28" t="s">
        <v>88</v>
      </c>
      <c r="B18" s="29" t="n">
        <f aca="false">B17-B19</f>
        <v>11</v>
      </c>
    </row>
    <row r="19" customFormat="false" ht="14.25" hidden="false" customHeight="false" outlineLevel="0" collapsed="false">
      <c r="A19" s="28" t="s">
        <v>89</v>
      </c>
      <c r="B19" s="29" t="n">
        <v>19</v>
      </c>
    </row>
    <row r="20" customFormat="false" ht="14.25" hidden="false" customHeight="false" outlineLevel="0" collapsed="false">
      <c r="A20" s="28" t="s">
        <v>90</v>
      </c>
      <c r="B20" s="29" t="n">
        <f aca="false">K13</f>
        <v>21</v>
      </c>
    </row>
    <row r="21" customFormat="false" ht="14.25" hidden="false" customHeight="false" outlineLevel="0" collapsed="false">
      <c r="A21" s="27" t="s">
        <v>91</v>
      </c>
      <c r="B21" s="30" t="n">
        <f aca="false">B19+B20</f>
        <v>40</v>
      </c>
    </row>
    <row r="22" customFormat="false" ht="14.25" hidden="false" customHeight="false" outlineLevel="0" collapsed="false">
      <c r="A22" s="28" t="s">
        <v>92</v>
      </c>
      <c r="B22" s="29" t="n">
        <f aca="false">COUNTIF('Article Screening &amp; MMAT'!E5:E44,"Included")</f>
        <v>40</v>
      </c>
    </row>
    <row r="23" customFormat="false" ht="28.35" hidden="false" customHeight="false" outlineLevel="0" collapsed="false">
      <c r="A23" s="31" t="s">
        <v>93</v>
      </c>
    </row>
    <row r="24" customFormat="false" ht="28.35" hidden="false" customHeight="false" outlineLevel="0" collapsed="false">
      <c r="A24" s="31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18"/>
    <col collapsed="false" customWidth="true" hidden="false" outlineLevel="0" max="5" min="5" style="0" width="21"/>
    <col collapsed="false" customWidth="true" hidden="false" outlineLevel="0" max="6" min="6" style="0" width="25"/>
    <col collapsed="false" customWidth="true" hidden="false" outlineLevel="0" max="7" min="7" style="0" width="21"/>
    <col collapsed="false" customWidth="true" hidden="false" outlineLevel="0" max="9" min="8" style="0" width="26"/>
    <col collapsed="false" customWidth="true" hidden="false" outlineLevel="0" max="10" min="10" style="0" width="28"/>
    <col collapsed="false" customWidth="true" hidden="false" outlineLevel="0" max="11" min="11" style="0" width="26"/>
    <col collapsed="false" customWidth="true" hidden="false" outlineLevel="0" max="12" min="12" style="0" width="27"/>
    <col collapsed="false" customWidth="true" hidden="false" outlineLevel="0" max="13" min="13" style="0" width="14"/>
    <col collapsed="false" customWidth="true" hidden="false" outlineLevel="0" max="14" min="14" style="0" width="8"/>
    <col collapsed="false" customWidth="true" hidden="false" outlineLevel="0" max="15" min="15" style="0" width="18"/>
    <col collapsed="false" customWidth="true" hidden="false" outlineLevel="0" max="16" min="16" style="0" width="38"/>
    <col collapsed="false" customWidth="true" hidden="false" outlineLevel="0" max="17" min="17" style="0" width="14"/>
    <col collapsed="false" customWidth="true" hidden="false" outlineLevel="0" max="18" min="18" style="0" width="34"/>
    <col collapsed="false" customWidth="true" hidden="false" outlineLevel="0" max="19" min="19" style="0" width="10"/>
    <col collapsed="false" customWidth="true" hidden="false" outlineLevel="0" max="20" min="20" style="0" width="60"/>
  </cols>
  <sheetData>
    <row r="1" customFormat="false" ht="19.5" hidden="false" customHeight="true" outlineLevel="0" collapsed="false">
      <c r="A1" s="1" t="s">
        <v>95</v>
      </c>
    </row>
    <row r="2" customFormat="false" ht="14.25" hidden="false" customHeight="false" outlineLevel="0" collapsed="false">
      <c r="A2" s="3" t="s">
        <v>96</v>
      </c>
    </row>
    <row r="4" customFormat="false" ht="39.75" hidden="false" customHeight="true" outlineLevel="0" collapsed="false">
      <c r="A4" s="19" t="s">
        <v>97</v>
      </c>
      <c r="B4" s="19" t="s">
        <v>98</v>
      </c>
      <c r="C4" s="19" t="s">
        <v>99</v>
      </c>
      <c r="D4" s="19" t="s">
        <v>100</v>
      </c>
      <c r="E4" s="19" t="s">
        <v>101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19" t="s">
        <v>107</v>
      </c>
      <c r="L4" s="19" t="s">
        <v>108</v>
      </c>
      <c r="M4" s="19" t="s">
        <v>109</v>
      </c>
      <c r="N4" s="19" t="s">
        <v>110</v>
      </c>
      <c r="O4" s="19" t="s">
        <v>111</v>
      </c>
      <c r="P4" s="19" t="s">
        <v>112</v>
      </c>
      <c r="Q4" s="19" t="s">
        <v>113</v>
      </c>
      <c r="R4" s="19" t="s">
        <v>114</v>
      </c>
      <c r="S4" s="19" t="s">
        <v>115</v>
      </c>
      <c r="T4" s="19" t="s">
        <v>116</v>
      </c>
    </row>
    <row r="5" customFormat="false" ht="24.75" hidden="false" customHeight="true" outlineLevel="0" collapsed="false">
      <c r="A5" s="32" t="s">
        <v>117</v>
      </c>
      <c r="B5" s="33" t="s">
        <v>118</v>
      </c>
      <c r="C5" s="33" t="s">
        <v>119</v>
      </c>
      <c r="D5" s="34" t="s">
        <v>77</v>
      </c>
      <c r="E5" s="35" t="s">
        <v>120</v>
      </c>
      <c r="F5" s="34" t="s">
        <v>121</v>
      </c>
      <c r="G5" s="34" t="s">
        <v>122</v>
      </c>
      <c r="H5" s="34" t="s">
        <v>122</v>
      </c>
      <c r="I5" s="34" t="s">
        <v>122</v>
      </c>
      <c r="J5" s="34" t="s">
        <v>122</v>
      </c>
      <c r="K5" s="34" t="s">
        <v>122</v>
      </c>
      <c r="L5" s="36" t="n">
        <f aca="false">COUNTIF(G5:K5,"Yes")</f>
        <v>5</v>
      </c>
      <c r="M5" s="36" t="str">
        <f aca="false">IF(L5&gt;=4,"High",IF(L5=3,"Moderate","Low"))</f>
        <v>High</v>
      </c>
      <c r="N5" s="33" t="n">
        <v>2023</v>
      </c>
      <c r="O5" s="33" t="s">
        <v>123</v>
      </c>
      <c r="P5" s="33" t="s">
        <v>124</v>
      </c>
      <c r="Q5" s="33" t="s">
        <v>125</v>
      </c>
      <c r="R5" s="33" t="s">
        <v>126</v>
      </c>
      <c r="S5" s="33" t="s">
        <v>117</v>
      </c>
      <c r="T5" s="33" t="s">
        <v>127</v>
      </c>
    </row>
    <row r="6" customFormat="false" ht="37.5" hidden="false" customHeight="true" outlineLevel="0" collapsed="false">
      <c r="A6" s="32" t="s">
        <v>128</v>
      </c>
      <c r="B6" s="33" t="s">
        <v>129</v>
      </c>
      <c r="C6" s="33" t="s">
        <v>130</v>
      </c>
      <c r="D6" s="34" t="s">
        <v>131</v>
      </c>
      <c r="E6" s="35" t="s">
        <v>120</v>
      </c>
      <c r="F6" s="34" t="s">
        <v>121</v>
      </c>
      <c r="G6" s="34" t="s">
        <v>122</v>
      </c>
      <c r="H6" s="34" t="s">
        <v>122</v>
      </c>
      <c r="I6" s="34" t="s">
        <v>122</v>
      </c>
      <c r="J6" s="34" t="s">
        <v>122</v>
      </c>
      <c r="K6" s="34" t="s">
        <v>122</v>
      </c>
      <c r="L6" s="36" t="n">
        <f aca="false">COUNTIF(G6:K6,"Yes")</f>
        <v>5</v>
      </c>
      <c r="M6" s="36" t="str">
        <f aca="false">IF(L6&gt;=4,"High",IF(L6=3,"Moderate","Low"))</f>
        <v>High</v>
      </c>
      <c r="N6" s="33" t="n">
        <v>2024</v>
      </c>
      <c r="O6" s="33" t="s">
        <v>132</v>
      </c>
      <c r="P6" s="33" t="s">
        <v>133</v>
      </c>
      <c r="Q6" s="33" t="s">
        <v>125</v>
      </c>
      <c r="R6" s="33" t="s">
        <v>134</v>
      </c>
      <c r="S6" s="33" t="s">
        <v>128</v>
      </c>
      <c r="T6" s="33" t="s">
        <v>135</v>
      </c>
    </row>
    <row r="7" customFormat="false" ht="24.75" hidden="false" customHeight="true" outlineLevel="0" collapsed="false">
      <c r="A7" s="32" t="s">
        <v>136</v>
      </c>
      <c r="B7" s="33" t="s">
        <v>137</v>
      </c>
      <c r="C7" s="33" t="s">
        <v>138</v>
      </c>
      <c r="D7" s="34" t="s">
        <v>71</v>
      </c>
      <c r="E7" s="35" t="s">
        <v>120</v>
      </c>
      <c r="F7" s="34" t="s">
        <v>121</v>
      </c>
      <c r="G7" s="34" t="s">
        <v>122</v>
      </c>
      <c r="H7" s="34" t="s">
        <v>122</v>
      </c>
      <c r="I7" s="34" t="s">
        <v>122</v>
      </c>
      <c r="J7" s="34" t="s">
        <v>139</v>
      </c>
      <c r="K7" s="34" t="s">
        <v>122</v>
      </c>
      <c r="L7" s="36" t="n">
        <f aca="false">COUNTIF(G7:K7,"Yes")</f>
        <v>4</v>
      </c>
      <c r="M7" s="36" t="str">
        <f aca="false">IF(L7&gt;=4,"High",IF(L7=3,"Moderate","Low"))</f>
        <v>High</v>
      </c>
      <c r="N7" s="33" t="n">
        <v>2018</v>
      </c>
      <c r="O7" s="33" t="s">
        <v>140</v>
      </c>
      <c r="P7" s="33" t="s">
        <v>141</v>
      </c>
      <c r="Q7" s="33" t="s">
        <v>142</v>
      </c>
      <c r="R7" s="33" t="s">
        <v>143</v>
      </c>
      <c r="S7" s="33" t="s">
        <v>136</v>
      </c>
      <c r="T7" s="37" t="s">
        <v>144</v>
      </c>
    </row>
    <row r="8" customFormat="false" ht="24.75" hidden="false" customHeight="true" outlineLevel="0" collapsed="false">
      <c r="A8" s="32" t="s">
        <v>145</v>
      </c>
      <c r="B8" s="33" t="s">
        <v>146</v>
      </c>
      <c r="C8" s="33" t="s">
        <v>147</v>
      </c>
      <c r="D8" s="34" t="s">
        <v>77</v>
      </c>
      <c r="E8" s="35" t="s">
        <v>120</v>
      </c>
      <c r="F8" s="34" t="s">
        <v>121</v>
      </c>
      <c r="G8" s="34" t="s">
        <v>122</v>
      </c>
      <c r="H8" s="34" t="s">
        <v>122</v>
      </c>
      <c r="I8" s="34" t="s">
        <v>122</v>
      </c>
      <c r="J8" s="34" t="s">
        <v>122</v>
      </c>
      <c r="K8" s="34" t="s">
        <v>122</v>
      </c>
      <c r="L8" s="36" t="n">
        <f aca="false">COUNTIF(G8:K8,"Yes")</f>
        <v>5</v>
      </c>
      <c r="M8" s="36" t="str">
        <f aca="false">IF(L8&gt;=4,"High",IF(L8=3,"Moderate","Low"))</f>
        <v>High</v>
      </c>
      <c r="N8" s="33" t="n">
        <v>2024</v>
      </c>
      <c r="O8" s="33" t="s">
        <v>148</v>
      </c>
      <c r="P8" s="33" t="s">
        <v>149</v>
      </c>
      <c r="Q8" s="33" t="s">
        <v>125</v>
      </c>
      <c r="R8" s="33" t="s">
        <v>150</v>
      </c>
      <c r="S8" s="33" t="s">
        <v>145</v>
      </c>
      <c r="T8" s="33" t="s">
        <v>151</v>
      </c>
    </row>
    <row r="9" customFormat="false" ht="24.75" hidden="false" customHeight="true" outlineLevel="0" collapsed="false">
      <c r="A9" s="32" t="s">
        <v>152</v>
      </c>
      <c r="B9" s="33" t="s">
        <v>153</v>
      </c>
      <c r="C9" s="33" t="s">
        <v>154</v>
      </c>
      <c r="D9" s="34" t="s">
        <v>79</v>
      </c>
      <c r="E9" s="35" t="s">
        <v>120</v>
      </c>
      <c r="F9" s="34" t="s">
        <v>121</v>
      </c>
      <c r="G9" s="34" t="s">
        <v>122</v>
      </c>
      <c r="H9" s="34" t="s">
        <v>122</v>
      </c>
      <c r="I9" s="34" t="s">
        <v>122</v>
      </c>
      <c r="J9" s="34" t="s">
        <v>122</v>
      </c>
      <c r="K9" s="34" t="s">
        <v>122</v>
      </c>
      <c r="L9" s="36" t="n">
        <f aca="false">COUNTIF(G9:K9,"Yes")</f>
        <v>5</v>
      </c>
      <c r="M9" s="36" t="str">
        <f aca="false">IF(L9&gt;=4,"High",IF(L9=3,"Moderate","Low"))</f>
        <v>High</v>
      </c>
      <c r="N9" s="33" t="n">
        <v>2025</v>
      </c>
      <c r="O9" s="33" t="s">
        <v>155</v>
      </c>
      <c r="P9" s="33" t="s">
        <v>156</v>
      </c>
      <c r="Q9" s="33" t="s">
        <v>125</v>
      </c>
      <c r="R9" s="33" t="s">
        <v>157</v>
      </c>
      <c r="S9" s="33" t="s">
        <v>152</v>
      </c>
      <c r="T9" s="33"/>
    </row>
    <row r="10" customFormat="false" ht="23.85" hidden="false" customHeight="false" outlineLevel="0" collapsed="false">
      <c r="A10" s="32" t="s">
        <v>158</v>
      </c>
      <c r="B10" s="33" t="s">
        <v>159</v>
      </c>
      <c r="C10" s="33" t="s">
        <v>160</v>
      </c>
      <c r="D10" s="34" t="s">
        <v>77</v>
      </c>
      <c r="E10" s="35" t="s">
        <v>120</v>
      </c>
      <c r="F10" s="34" t="s">
        <v>121</v>
      </c>
      <c r="G10" s="34" t="s">
        <v>122</v>
      </c>
      <c r="H10" s="34" t="s">
        <v>122</v>
      </c>
      <c r="I10" s="34" t="s">
        <v>122</v>
      </c>
      <c r="J10" s="34" t="s">
        <v>122</v>
      </c>
      <c r="K10" s="34" t="s">
        <v>122</v>
      </c>
      <c r="L10" s="36" t="n">
        <f aca="false">COUNTIF(G10:K10,"Yes")</f>
        <v>5</v>
      </c>
      <c r="M10" s="36" t="str">
        <f aca="false">IF(L10&gt;=4,"High",IF(L10=3,"Moderate","Low"))</f>
        <v>High</v>
      </c>
      <c r="N10" s="33" t="n">
        <v>2021</v>
      </c>
      <c r="O10" s="33" t="s">
        <v>148</v>
      </c>
      <c r="P10" s="33" t="s">
        <v>161</v>
      </c>
      <c r="Q10" s="33" t="s">
        <v>142</v>
      </c>
      <c r="R10" s="33" t="s">
        <v>162</v>
      </c>
      <c r="S10" s="33" t="s">
        <v>163</v>
      </c>
      <c r="T10" s="33" t="s">
        <v>164</v>
      </c>
    </row>
    <row r="11" customFormat="false" ht="24.75" hidden="false" customHeight="true" outlineLevel="0" collapsed="false">
      <c r="A11" s="32" t="s">
        <v>165</v>
      </c>
      <c r="B11" s="33" t="s">
        <v>166</v>
      </c>
      <c r="C11" s="33" t="s">
        <v>167</v>
      </c>
      <c r="D11" s="34" t="s">
        <v>77</v>
      </c>
      <c r="E11" s="35" t="s">
        <v>120</v>
      </c>
      <c r="F11" s="34" t="s">
        <v>121</v>
      </c>
      <c r="G11" s="34" t="s">
        <v>122</v>
      </c>
      <c r="H11" s="34" t="s">
        <v>122</v>
      </c>
      <c r="I11" s="34" t="s">
        <v>122</v>
      </c>
      <c r="J11" s="34" t="s">
        <v>122</v>
      </c>
      <c r="K11" s="34" t="s">
        <v>122</v>
      </c>
      <c r="L11" s="36" t="n">
        <f aca="false">COUNTIF(G11:K11,"Yes")</f>
        <v>5</v>
      </c>
      <c r="M11" s="36" t="str">
        <f aca="false">IF(L11&gt;=4,"High",IF(L11=3,"Moderate","Low"))</f>
        <v>High</v>
      </c>
      <c r="N11" s="33" t="n">
        <v>2024</v>
      </c>
      <c r="O11" s="33" t="s">
        <v>168</v>
      </c>
      <c r="P11" s="33" t="s">
        <v>169</v>
      </c>
      <c r="Q11" s="33" t="s">
        <v>125</v>
      </c>
      <c r="R11" s="33" t="s">
        <v>170</v>
      </c>
      <c r="S11" s="33" t="s">
        <v>171</v>
      </c>
      <c r="T11" s="33"/>
    </row>
    <row r="12" customFormat="false" ht="23.85" hidden="false" customHeight="false" outlineLevel="0" collapsed="false">
      <c r="A12" s="32" t="s">
        <v>163</v>
      </c>
      <c r="B12" s="33" t="s">
        <v>172</v>
      </c>
      <c r="C12" s="33" t="s">
        <v>173</v>
      </c>
      <c r="D12" s="34" t="s">
        <v>131</v>
      </c>
      <c r="E12" s="35" t="s">
        <v>120</v>
      </c>
      <c r="F12" s="34" t="s">
        <v>121</v>
      </c>
      <c r="G12" s="34" t="s">
        <v>122</v>
      </c>
      <c r="H12" s="34" t="s">
        <v>122</v>
      </c>
      <c r="I12" s="34" t="s">
        <v>122</v>
      </c>
      <c r="J12" s="34" t="s">
        <v>122</v>
      </c>
      <c r="K12" s="34" t="s">
        <v>122</v>
      </c>
      <c r="L12" s="36" t="n">
        <f aca="false">COUNTIF(G12:K12,"Yes")</f>
        <v>5</v>
      </c>
      <c r="M12" s="36" t="str">
        <f aca="false">IF(L12&gt;=4,"High",IF(L12=3,"Moderate","Low"))</f>
        <v>High</v>
      </c>
      <c r="N12" s="33" t="n">
        <v>2024</v>
      </c>
      <c r="O12" s="33" t="s">
        <v>155</v>
      </c>
      <c r="P12" s="33" t="s">
        <v>174</v>
      </c>
      <c r="Q12" s="33" t="s">
        <v>125</v>
      </c>
      <c r="R12" s="33" t="s">
        <v>175</v>
      </c>
      <c r="S12" s="33" t="s">
        <v>176</v>
      </c>
      <c r="T12" s="33" t="s">
        <v>177</v>
      </c>
    </row>
    <row r="13" customFormat="false" ht="23.85" hidden="false" customHeight="false" outlineLevel="0" collapsed="false">
      <c r="A13" s="32" t="s">
        <v>171</v>
      </c>
      <c r="B13" s="33" t="s">
        <v>178</v>
      </c>
      <c r="C13" s="33" t="s">
        <v>179</v>
      </c>
      <c r="D13" s="34" t="s">
        <v>63</v>
      </c>
      <c r="E13" s="35" t="s">
        <v>120</v>
      </c>
      <c r="F13" s="34" t="s">
        <v>121</v>
      </c>
      <c r="G13" s="34" t="s">
        <v>122</v>
      </c>
      <c r="H13" s="34" t="s">
        <v>122</v>
      </c>
      <c r="I13" s="34" t="s">
        <v>122</v>
      </c>
      <c r="J13" s="34" t="s">
        <v>122</v>
      </c>
      <c r="K13" s="34" t="s">
        <v>122</v>
      </c>
      <c r="L13" s="36" t="n">
        <f aca="false">COUNTIF(G13:K13,"Yes")</f>
        <v>5</v>
      </c>
      <c r="M13" s="36" t="str">
        <f aca="false">IF(L13&gt;=4,"High",IF(L13=3,"Moderate","Low"))</f>
        <v>High</v>
      </c>
      <c r="N13" s="33" t="n">
        <v>2025</v>
      </c>
      <c r="O13" s="33" t="s">
        <v>155</v>
      </c>
      <c r="P13" s="33" t="s">
        <v>180</v>
      </c>
      <c r="Q13" s="33" t="s">
        <v>125</v>
      </c>
      <c r="R13" s="33" t="s">
        <v>181</v>
      </c>
      <c r="S13" s="33" t="s">
        <v>182</v>
      </c>
      <c r="T13" s="33"/>
    </row>
    <row r="14" customFormat="false" ht="35.05" hidden="false" customHeight="false" outlineLevel="0" collapsed="false">
      <c r="A14" s="32" t="s">
        <v>176</v>
      </c>
      <c r="B14" s="33" t="s">
        <v>183</v>
      </c>
      <c r="C14" s="33" t="s">
        <v>184</v>
      </c>
      <c r="D14" s="34" t="s">
        <v>63</v>
      </c>
      <c r="E14" s="35" t="s">
        <v>120</v>
      </c>
      <c r="F14" s="34" t="s">
        <v>121</v>
      </c>
      <c r="G14" s="34" t="s">
        <v>122</v>
      </c>
      <c r="H14" s="34" t="s">
        <v>122</v>
      </c>
      <c r="I14" s="34" t="s">
        <v>122</v>
      </c>
      <c r="J14" s="34" t="s">
        <v>122</v>
      </c>
      <c r="K14" s="34" t="s">
        <v>122</v>
      </c>
      <c r="L14" s="36" t="n">
        <f aca="false">COUNTIF(G14:K14,"Yes")</f>
        <v>5</v>
      </c>
      <c r="M14" s="36" t="str">
        <f aca="false">IF(L14&gt;=4,"High",IF(L14=3,"Moderate","Low"))</f>
        <v>High</v>
      </c>
      <c r="N14" s="33" t="n">
        <v>2022</v>
      </c>
      <c r="O14" s="33" t="s">
        <v>155</v>
      </c>
      <c r="P14" s="33" t="s">
        <v>185</v>
      </c>
      <c r="Q14" s="33" t="s">
        <v>125</v>
      </c>
      <c r="R14" s="33" t="s">
        <v>186</v>
      </c>
      <c r="S14" s="33" t="s">
        <v>187</v>
      </c>
      <c r="T14" s="33"/>
    </row>
    <row r="15" customFormat="false" ht="23.85" hidden="false" customHeight="false" outlineLevel="0" collapsed="false">
      <c r="A15" s="32" t="s">
        <v>182</v>
      </c>
      <c r="B15" s="33" t="s">
        <v>188</v>
      </c>
      <c r="C15" s="33" t="s">
        <v>189</v>
      </c>
      <c r="D15" s="34" t="s">
        <v>63</v>
      </c>
      <c r="E15" s="35" t="s">
        <v>120</v>
      </c>
      <c r="F15" s="34" t="s">
        <v>121</v>
      </c>
      <c r="G15" s="34" t="s">
        <v>122</v>
      </c>
      <c r="H15" s="34" t="s">
        <v>122</v>
      </c>
      <c r="I15" s="34" t="s">
        <v>122</v>
      </c>
      <c r="J15" s="34" t="s">
        <v>122</v>
      </c>
      <c r="K15" s="34" t="s">
        <v>122</v>
      </c>
      <c r="L15" s="36" t="n">
        <f aca="false">COUNTIF(G15:K15,"Yes")</f>
        <v>5</v>
      </c>
      <c r="M15" s="36" t="str">
        <f aca="false">IF(L15&gt;=4,"High",IF(L15=3,"Moderate","Low"))</f>
        <v>High</v>
      </c>
      <c r="N15" s="33" t="n">
        <v>2020</v>
      </c>
      <c r="O15" s="33" t="s">
        <v>190</v>
      </c>
      <c r="P15" s="33" t="s">
        <v>191</v>
      </c>
      <c r="Q15" s="33" t="s">
        <v>125</v>
      </c>
      <c r="R15" s="33" t="s">
        <v>192</v>
      </c>
      <c r="S15" s="33" t="s">
        <v>193</v>
      </c>
      <c r="T15" s="33" t="s">
        <v>194</v>
      </c>
    </row>
    <row r="16" customFormat="false" ht="23.85" hidden="false" customHeight="false" outlineLevel="0" collapsed="false">
      <c r="A16" s="32" t="s">
        <v>187</v>
      </c>
      <c r="B16" s="33" t="s">
        <v>195</v>
      </c>
      <c r="C16" s="33" t="s">
        <v>196</v>
      </c>
      <c r="D16" s="34" t="s">
        <v>69</v>
      </c>
      <c r="E16" s="35" t="s">
        <v>120</v>
      </c>
      <c r="F16" s="34" t="s">
        <v>121</v>
      </c>
      <c r="G16" s="34" t="s">
        <v>122</v>
      </c>
      <c r="H16" s="34" t="s">
        <v>122</v>
      </c>
      <c r="I16" s="34" t="s">
        <v>122</v>
      </c>
      <c r="J16" s="34" t="s">
        <v>122</v>
      </c>
      <c r="K16" s="34" t="s">
        <v>122</v>
      </c>
      <c r="L16" s="36" t="n">
        <f aca="false">COUNTIF(G16:K16,"Yes")</f>
        <v>5</v>
      </c>
      <c r="M16" s="36" t="str">
        <f aca="false">IF(L16&gt;=4,"High",IF(L16=3,"Moderate","Low"))</f>
        <v>High</v>
      </c>
      <c r="N16" s="33" t="n">
        <v>2020</v>
      </c>
      <c r="O16" s="33" t="s">
        <v>197</v>
      </c>
      <c r="P16" s="33" t="s">
        <v>198</v>
      </c>
      <c r="Q16" s="33" t="s">
        <v>125</v>
      </c>
      <c r="R16" s="33" t="s">
        <v>199</v>
      </c>
      <c r="S16" s="33" t="s">
        <v>200</v>
      </c>
      <c r="T16" s="33"/>
    </row>
    <row r="17" customFormat="false" ht="14.25" hidden="false" customHeight="false" outlineLevel="0" collapsed="false">
      <c r="A17" s="32" t="s">
        <v>193</v>
      </c>
      <c r="B17" s="33" t="s">
        <v>201</v>
      </c>
      <c r="C17" s="33" t="s">
        <v>202</v>
      </c>
      <c r="D17" s="34" t="s">
        <v>77</v>
      </c>
      <c r="E17" s="35" t="s">
        <v>120</v>
      </c>
      <c r="F17" s="34" t="s">
        <v>121</v>
      </c>
      <c r="G17" s="34" t="s">
        <v>122</v>
      </c>
      <c r="H17" s="34" t="s">
        <v>122</v>
      </c>
      <c r="I17" s="34" t="s">
        <v>122</v>
      </c>
      <c r="J17" s="34" t="s">
        <v>122</v>
      </c>
      <c r="K17" s="34" t="s">
        <v>122</v>
      </c>
      <c r="L17" s="36" t="n">
        <f aca="false">COUNTIF(G17:K17,"Yes")</f>
        <v>5</v>
      </c>
      <c r="M17" s="36" t="str">
        <f aca="false">IF(L17&gt;=4,"High",IF(L17=3,"Moderate","Low"))</f>
        <v>High</v>
      </c>
      <c r="N17" s="33" t="n">
        <v>2021</v>
      </c>
      <c r="O17" s="33" t="s">
        <v>155</v>
      </c>
      <c r="P17" s="33" t="s">
        <v>203</v>
      </c>
      <c r="Q17" s="33" t="s">
        <v>125</v>
      </c>
      <c r="R17" s="33" t="s">
        <v>204</v>
      </c>
      <c r="S17" s="33" t="s">
        <v>205</v>
      </c>
      <c r="T17" s="33"/>
    </row>
    <row r="18" customFormat="false" ht="35.05" hidden="false" customHeight="false" outlineLevel="0" collapsed="false">
      <c r="A18" s="32" t="s">
        <v>200</v>
      </c>
      <c r="B18" s="33" t="s">
        <v>206</v>
      </c>
      <c r="C18" s="33" t="s">
        <v>207</v>
      </c>
      <c r="D18" s="34" t="s">
        <v>208</v>
      </c>
      <c r="E18" s="35" t="s">
        <v>120</v>
      </c>
      <c r="F18" s="34" t="s">
        <v>121</v>
      </c>
      <c r="G18" s="34" t="s">
        <v>122</v>
      </c>
      <c r="H18" s="34" t="s">
        <v>122</v>
      </c>
      <c r="I18" s="34" t="s">
        <v>122</v>
      </c>
      <c r="J18" s="34" t="s">
        <v>122</v>
      </c>
      <c r="K18" s="34" t="s">
        <v>122</v>
      </c>
      <c r="L18" s="36" t="n">
        <f aca="false">COUNTIF(G18:K18,"Yes")</f>
        <v>5</v>
      </c>
      <c r="M18" s="36" t="str">
        <f aca="false">IF(L18&gt;=4,"High",IF(L18=3,"Moderate","Low"))</f>
        <v>High</v>
      </c>
      <c r="N18" s="33" t="n">
        <v>2021</v>
      </c>
      <c r="O18" s="33" t="s">
        <v>209</v>
      </c>
      <c r="P18" s="33" t="s">
        <v>210</v>
      </c>
      <c r="Q18" s="33" t="s">
        <v>125</v>
      </c>
      <c r="R18" s="33" t="s">
        <v>211</v>
      </c>
      <c r="S18" s="33" t="s">
        <v>212</v>
      </c>
      <c r="T18" s="37" t="s">
        <v>213</v>
      </c>
    </row>
    <row r="19" customFormat="false" ht="23.85" hidden="false" customHeight="false" outlineLevel="0" collapsed="false">
      <c r="A19" s="32" t="s">
        <v>205</v>
      </c>
      <c r="B19" s="33" t="s">
        <v>214</v>
      </c>
      <c r="C19" s="33" t="s">
        <v>215</v>
      </c>
      <c r="D19" s="34" t="s">
        <v>69</v>
      </c>
      <c r="E19" s="35" t="s">
        <v>120</v>
      </c>
      <c r="F19" s="34" t="s">
        <v>121</v>
      </c>
      <c r="G19" s="34" t="s">
        <v>122</v>
      </c>
      <c r="H19" s="34" t="s">
        <v>122</v>
      </c>
      <c r="I19" s="34" t="s">
        <v>122</v>
      </c>
      <c r="J19" s="34" t="s">
        <v>122</v>
      </c>
      <c r="K19" s="34" t="s">
        <v>122</v>
      </c>
      <c r="L19" s="36" t="n">
        <f aca="false">COUNTIF(G19:K19,"Yes")</f>
        <v>5</v>
      </c>
      <c r="M19" s="36" t="str">
        <f aca="false">IF(L19&gt;=4,"High",IF(L19=3,"Moderate","Low"))</f>
        <v>High</v>
      </c>
      <c r="N19" s="33" t="n">
        <v>2018</v>
      </c>
      <c r="O19" s="33" t="s">
        <v>155</v>
      </c>
      <c r="P19" s="33" t="s">
        <v>216</v>
      </c>
      <c r="Q19" s="33" t="s">
        <v>142</v>
      </c>
      <c r="R19" s="33" t="s">
        <v>217</v>
      </c>
      <c r="S19" s="33" t="s">
        <v>218</v>
      </c>
      <c r="T19" s="37" t="s">
        <v>219</v>
      </c>
    </row>
    <row r="20" customFormat="false" ht="23.85" hidden="false" customHeight="false" outlineLevel="0" collapsed="false">
      <c r="A20" s="32" t="s">
        <v>212</v>
      </c>
      <c r="B20" s="33" t="s">
        <v>220</v>
      </c>
      <c r="C20" s="33" t="s">
        <v>221</v>
      </c>
      <c r="D20" s="34" t="s">
        <v>77</v>
      </c>
      <c r="E20" s="35" t="s">
        <v>120</v>
      </c>
      <c r="F20" s="34" t="s">
        <v>121</v>
      </c>
      <c r="G20" s="34" t="s">
        <v>122</v>
      </c>
      <c r="H20" s="34" t="s">
        <v>122</v>
      </c>
      <c r="I20" s="34" t="s">
        <v>122</v>
      </c>
      <c r="J20" s="34" t="s">
        <v>122</v>
      </c>
      <c r="K20" s="34" t="s">
        <v>122</v>
      </c>
      <c r="L20" s="36" t="n">
        <f aca="false">COUNTIF(G20:K20,"Yes")</f>
        <v>5</v>
      </c>
      <c r="M20" s="36" t="str">
        <f aca="false">IF(L20&gt;=4,"High",IF(L20=3,"Moderate","Low"))</f>
        <v>High</v>
      </c>
      <c r="N20" s="33" t="n">
        <v>2017</v>
      </c>
      <c r="O20" s="33" t="s">
        <v>222</v>
      </c>
      <c r="P20" s="33" t="s">
        <v>223</v>
      </c>
      <c r="Q20" s="33" t="s">
        <v>125</v>
      </c>
      <c r="R20" s="33" t="s">
        <v>224</v>
      </c>
      <c r="S20" s="33" t="s">
        <v>225</v>
      </c>
      <c r="T20" s="37" t="s">
        <v>219</v>
      </c>
    </row>
    <row r="21" customFormat="false" ht="14.25" hidden="false" customHeight="false" outlineLevel="0" collapsed="false">
      <c r="A21" s="32" t="s">
        <v>218</v>
      </c>
      <c r="B21" s="33" t="s">
        <v>226</v>
      </c>
      <c r="C21" s="33" t="s">
        <v>227</v>
      </c>
      <c r="D21" s="34" t="s">
        <v>228</v>
      </c>
      <c r="E21" s="35" t="s">
        <v>120</v>
      </c>
      <c r="F21" s="34" t="s">
        <v>121</v>
      </c>
      <c r="G21" s="34" t="s">
        <v>122</v>
      </c>
      <c r="H21" s="34" t="s">
        <v>122</v>
      </c>
      <c r="I21" s="34" t="s">
        <v>122</v>
      </c>
      <c r="J21" s="34" t="s">
        <v>122</v>
      </c>
      <c r="K21" s="34" t="s">
        <v>122</v>
      </c>
      <c r="L21" s="36" t="n">
        <f aca="false">COUNTIF(G21:K21,"Yes")</f>
        <v>5</v>
      </c>
      <c r="M21" s="36" t="str">
        <f aca="false">IF(L21&gt;=4,"High",IF(L21=3,"Moderate","Low"))</f>
        <v>High</v>
      </c>
      <c r="N21" s="33" t="n">
        <v>2014</v>
      </c>
      <c r="O21" s="33" t="s">
        <v>229</v>
      </c>
      <c r="P21" s="33" t="s">
        <v>230</v>
      </c>
      <c r="Q21" s="33" t="s">
        <v>125</v>
      </c>
      <c r="R21" s="33" t="s">
        <v>231</v>
      </c>
      <c r="S21" s="33" t="s">
        <v>232</v>
      </c>
      <c r="T21" s="37" t="s">
        <v>233</v>
      </c>
    </row>
    <row r="22" customFormat="false" ht="23.85" hidden="false" customHeight="false" outlineLevel="0" collapsed="false">
      <c r="A22" s="32" t="s">
        <v>225</v>
      </c>
      <c r="B22" s="33" t="s">
        <v>234</v>
      </c>
      <c r="C22" s="33" t="s">
        <v>235</v>
      </c>
      <c r="D22" s="34" t="s">
        <v>73</v>
      </c>
      <c r="E22" s="35" t="s">
        <v>120</v>
      </c>
      <c r="F22" s="34" t="s">
        <v>121</v>
      </c>
      <c r="G22" s="34" t="s">
        <v>122</v>
      </c>
      <c r="H22" s="34" t="s">
        <v>122</v>
      </c>
      <c r="I22" s="34" t="s">
        <v>122</v>
      </c>
      <c r="J22" s="34" t="s">
        <v>122</v>
      </c>
      <c r="K22" s="34" t="s">
        <v>122</v>
      </c>
      <c r="L22" s="36" t="n">
        <f aca="false">COUNTIF(G22:K22,"Yes")</f>
        <v>5</v>
      </c>
      <c r="M22" s="36" t="str">
        <f aca="false">IF(L22&gt;=4,"High",IF(L22=3,"Moderate","Low"))</f>
        <v>High</v>
      </c>
      <c r="N22" s="33" t="n">
        <v>2021</v>
      </c>
      <c r="O22" s="33" t="s">
        <v>148</v>
      </c>
      <c r="P22" s="33" t="s">
        <v>236</v>
      </c>
      <c r="Q22" s="33" t="s">
        <v>142</v>
      </c>
      <c r="R22" s="33" t="s">
        <v>237</v>
      </c>
      <c r="S22" s="33" t="s">
        <v>238</v>
      </c>
      <c r="T22" s="33" t="s">
        <v>239</v>
      </c>
    </row>
    <row r="23" customFormat="false" ht="23.85" hidden="false" customHeight="false" outlineLevel="0" collapsed="false">
      <c r="A23" s="32" t="s">
        <v>232</v>
      </c>
      <c r="B23" s="33" t="s">
        <v>240</v>
      </c>
      <c r="C23" s="33" t="s">
        <v>241</v>
      </c>
      <c r="D23" s="34" t="s">
        <v>77</v>
      </c>
      <c r="E23" s="35" t="s">
        <v>120</v>
      </c>
      <c r="F23" s="34" t="s">
        <v>121</v>
      </c>
      <c r="G23" s="34" t="s">
        <v>122</v>
      </c>
      <c r="H23" s="34" t="s">
        <v>122</v>
      </c>
      <c r="I23" s="34" t="s">
        <v>122</v>
      </c>
      <c r="J23" s="34" t="s">
        <v>122</v>
      </c>
      <c r="K23" s="34" t="s">
        <v>122</v>
      </c>
      <c r="L23" s="36" t="n">
        <f aca="false">COUNTIF(G23:K23,"Yes")</f>
        <v>5</v>
      </c>
      <c r="M23" s="36" t="str">
        <f aca="false">IF(L23&gt;=4,"High",IF(L23=3,"Moderate","Low"))</f>
        <v>High</v>
      </c>
      <c r="N23" s="33" t="n">
        <v>2020</v>
      </c>
      <c r="O23" s="33" t="s">
        <v>148</v>
      </c>
      <c r="P23" s="33" t="s">
        <v>242</v>
      </c>
      <c r="Q23" s="33" t="s">
        <v>125</v>
      </c>
      <c r="R23" s="33" t="s">
        <v>243</v>
      </c>
      <c r="S23" s="33" t="s">
        <v>244</v>
      </c>
      <c r="T23" s="33" t="s">
        <v>245</v>
      </c>
    </row>
    <row r="24" customFormat="false" ht="23.85" hidden="false" customHeight="false" outlineLevel="0" collapsed="false">
      <c r="A24" s="32" t="s">
        <v>246</v>
      </c>
      <c r="B24" s="33" t="s">
        <v>247</v>
      </c>
      <c r="C24" s="33" t="s">
        <v>248</v>
      </c>
      <c r="D24" s="34" t="s">
        <v>228</v>
      </c>
      <c r="E24" s="35" t="s">
        <v>120</v>
      </c>
      <c r="F24" s="34" t="s">
        <v>121</v>
      </c>
      <c r="G24" s="34" t="s">
        <v>122</v>
      </c>
      <c r="H24" s="34" t="s">
        <v>122</v>
      </c>
      <c r="I24" s="34" t="s">
        <v>122</v>
      </c>
      <c r="J24" s="34" t="s">
        <v>122</v>
      </c>
      <c r="K24" s="34" t="s">
        <v>122</v>
      </c>
      <c r="L24" s="36" t="n">
        <f aca="false">COUNTIF(G24:K24,"Yes")</f>
        <v>5</v>
      </c>
      <c r="M24" s="36" t="str">
        <f aca="false">IF(L24&gt;=4,"High",IF(L24=3,"Moderate","Low"))</f>
        <v>High</v>
      </c>
      <c r="N24" s="33" t="n">
        <v>2022</v>
      </c>
      <c r="O24" s="33" t="s">
        <v>148</v>
      </c>
      <c r="P24" s="33" t="s">
        <v>249</v>
      </c>
      <c r="Q24" s="33" t="s">
        <v>125</v>
      </c>
      <c r="R24" s="33" t="s">
        <v>250</v>
      </c>
      <c r="S24" s="33" t="s">
        <v>251</v>
      </c>
      <c r="T24" s="33"/>
    </row>
    <row r="25" customFormat="false" ht="23.85" hidden="false" customHeight="false" outlineLevel="0" collapsed="false">
      <c r="A25" s="32" t="s">
        <v>238</v>
      </c>
      <c r="B25" s="33" t="s">
        <v>252</v>
      </c>
      <c r="C25" s="33" t="s">
        <v>253</v>
      </c>
      <c r="D25" s="34" t="s">
        <v>131</v>
      </c>
      <c r="E25" s="35" t="s">
        <v>120</v>
      </c>
      <c r="F25" s="34" t="s">
        <v>121</v>
      </c>
      <c r="G25" s="34" t="s">
        <v>122</v>
      </c>
      <c r="H25" s="34" t="s">
        <v>122</v>
      </c>
      <c r="I25" s="34" t="s">
        <v>122</v>
      </c>
      <c r="J25" s="34" t="s">
        <v>122</v>
      </c>
      <c r="K25" s="34" t="s">
        <v>122</v>
      </c>
      <c r="L25" s="36" t="n">
        <f aca="false">COUNTIF(G25:K25,"Yes")</f>
        <v>5</v>
      </c>
      <c r="M25" s="36" t="str">
        <f aca="false">IF(L25&gt;=4,"High",IF(L25=3,"Moderate","Low"))</f>
        <v>High</v>
      </c>
      <c r="N25" s="33" t="n">
        <v>2026</v>
      </c>
      <c r="O25" s="33" t="s">
        <v>148</v>
      </c>
      <c r="P25" s="33" t="s">
        <v>254</v>
      </c>
      <c r="Q25" s="33" t="s">
        <v>125</v>
      </c>
      <c r="R25" s="33" t="s">
        <v>255</v>
      </c>
      <c r="S25" s="33" t="s">
        <v>251</v>
      </c>
      <c r="T25" s="33" t="s">
        <v>256</v>
      </c>
    </row>
    <row r="26" customFormat="false" ht="23.85" hidden="false" customHeight="false" outlineLevel="0" collapsed="false">
      <c r="A26" s="32" t="s">
        <v>244</v>
      </c>
      <c r="B26" s="33" t="s">
        <v>257</v>
      </c>
      <c r="C26" s="33" t="s">
        <v>258</v>
      </c>
      <c r="D26" s="34" t="s">
        <v>259</v>
      </c>
      <c r="E26" s="35" t="s">
        <v>120</v>
      </c>
      <c r="F26" s="34" t="s">
        <v>121</v>
      </c>
      <c r="G26" s="34" t="s">
        <v>122</v>
      </c>
      <c r="H26" s="34" t="s">
        <v>122</v>
      </c>
      <c r="I26" s="34" t="s">
        <v>122</v>
      </c>
      <c r="J26" s="34" t="s">
        <v>139</v>
      </c>
      <c r="K26" s="34" t="s">
        <v>122</v>
      </c>
      <c r="L26" s="36" t="n">
        <f aca="false">COUNTIF(G26:K26,"Yes")</f>
        <v>4</v>
      </c>
      <c r="M26" s="36" t="str">
        <f aca="false">IF(L26&gt;=4,"High",IF(L26=3,"Moderate","Low"))</f>
        <v>High</v>
      </c>
      <c r="N26" s="33" t="n">
        <v>2022</v>
      </c>
      <c r="O26" s="33" t="s">
        <v>229</v>
      </c>
      <c r="P26" s="33" t="s">
        <v>260</v>
      </c>
      <c r="Q26" s="33" t="s">
        <v>125</v>
      </c>
      <c r="R26" s="33" t="s">
        <v>261</v>
      </c>
      <c r="S26" s="33" t="s">
        <v>251</v>
      </c>
      <c r="T26" s="33" t="s">
        <v>262</v>
      </c>
    </row>
    <row r="27" customFormat="false" ht="23.85" hidden="false" customHeight="false" outlineLevel="0" collapsed="false">
      <c r="A27" s="32" t="s">
        <v>263</v>
      </c>
      <c r="B27" s="33" t="s">
        <v>264</v>
      </c>
      <c r="C27" s="33" t="s">
        <v>265</v>
      </c>
      <c r="D27" s="34" t="s">
        <v>131</v>
      </c>
      <c r="E27" s="35" t="s">
        <v>120</v>
      </c>
      <c r="F27" s="34" t="s">
        <v>121</v>
      </c>
      <c r="G27" s="34" t="s">
        <v>122</v>
      </c>
      <c r="H27" s="34" t="s">
        <v>122</v>
      </c>
      <c r="I27" s="34" t="s">
        <v>122</v>
      </c>
      <c r="J27" s="34" t="s">
        <v>122</v>
      </c>
      <c r="K27" s="34" t="s">
        <v>122</v>
      </c>
      <c r="L27" s="36" t="n">
        <f aca="false">COUNTIF(G27:K27,"Yes")</f>
        <v>5</v>
      </c>
      <c r="M27" s="36" t="str">
        <f aca="false">IF(L27&gt;=4,"High",IF(L27=3,"Moderate","Low"))</f>
        <v>High</v>
      </c>
      <c r="N27" s="33" t="n">
        <v>2020</v>
      </c>
      <c r="O27" s="33" t="s">
        <v>123</v>
      </c>
      <c r="P27" s="33" t="s">
        <v>266</v>
      </c>
      <c r="Q27" s="33" t="s">
        <v>125</v>
      </c>
      <c r="R27" s="33" t="s">
        <v>267</v>
      </c>
      <c r="S27" s="33" t="s">
        <v>251</v>
      </c>
      <c r="T27" s="33" t="s">
        <v>268</v>
      </c>
    </row>
    <row r="28" customFormat="false" ht="35.05" hidden="false" customHeight="false" outlineLevel="0" collapsed="false">
      <c r="A28" s="32" t="s">
        <v>269</v>
      </c>
      <c r="B28" s="33" t="s">
        <v>270</v>
      </c>
      <c r="C28" s="33" t="s">
        <v>271</v>
      </c>
      <c r="D28" s="34" t="s">
        <v>272</v>
      </c>
      <c r="E28" s="35" t="s">
        <v>120</v>
      </c>
      <c r="F28" s="34" t="s">
        <v>121</v>
      </c>
      <c r="G28" s="34" t="s">
        <v>122</v>
      </c>
      <c r="H28" s="34" t="s">
        <v>122</v>
      </c>
      <c r="I28" s="34" t="s">
        <v>122</v>
      </c>
      <c r="J28" s="34" t="s">
        <v>122</v>
      </c>
      <c r="K28" s="34" t="s">
        <v>122</v>
      </c>
      <c r="L28" s="36" t="n">
        <f aca="false">COUNTIF(G28:K28,"Yes")</f>
        <v>5</v>
      </c>
      <c r="M28" s="36" t="str">
        <f aca="false">IF(L28&gt;=4,"High",IF(L28=3,"Moderate","Low"))</f>
        <v>High</v>
      </c>
      <c r="N28" s="33" t="n">
        <v>2023</v>
      </c>
      <c r="O28" s="33" t="s">
        <v>132</v>
      </c>
      <c r="P28" s="33" t="s">
        <v>273</v>
      </c>
      <c r="Q28" s="33" t="s">
        <v>125</v>
      </c>
      <c r="R28" s="33" t="s">
        <v>274</v>
      </c>
      <c r="S28" s="33" t="s">
        <v>251</v>
      </c>
      <c r="T28" s="33"/>
    </row>
    <row r="29" customFormat="false" ht="23.85" hidden="false" customHeight="false" outlineLevel="0" collapsed="false">
      <c r="A29" s="32" t="s">
        <v>275</v>
      </c>
      <c r="B29" s="33" t="s">
        <v>276</v>
      </c>
      <c r="C29" s="33" t="s">
        <v>277</v>
      </c>
      <c r="D29" s="34" t="s">
        <v>73</v>
      </c>
      <c r="E29" s="35" t="s">
        <v>120</v>
      </c>
      <c r="F29" s="34" t="s">
        <v>121</v>
      </c>
      <c r="G29" s="34" t="s">
        <v>122</v>
      </c>
      <c r="H29" s="34" t="s">
        <v>122</v>
      </c>
      <c r="I29" s="34" t="s">
        <v>122</v>
      </c>
      <c r="J29" s="34" t="s">
        <v>122</v>
      </c>
      <c r="K29" s="34" t="s">
        <v>122</v>
      </c>
      <c r="L29" s="36" t="n">
        <f aca="false">COUNTIF(G29:K29,"Yes")</f>
        <v>5</v>
      </c>
      <c r="M29" s="36" t="str">
        <f aca="false">IF(L29&gt;=4,"High",IF(L29=3,"Moderate","Low"))</f>
        <v>High</v>
      </c>
      <c r="N29" s="33" t="n">
        <v>2020</v>
      </c>
      <c r="O29" s="33" t="s">
        <v>190</v>
      </c>
      <c r="P29" s="33" t="s">
        <v>278</v>
      </c>
      <c r="Q29" s="33" t="s">
        <v>125</v>
      </c>
      <c r="R29" s="33" t="s">
        <v>279</v>
      </c>
      <c r="S29" s="33" t="s">
        <v>251</v>
      </c>
      <c r="T29" s="33" t="s">
        <v>280</v>
      </c>
    </row>
    <row r="30" customFormat="false" ht="23.85" hidden="false" customHeight="false" outlineLevel="0" collapsed="false">
      <c r="A30" s="32" t="s">
        <v>281</v>
      </c>
      <c r="B30" s="33" t="s">
        <v>282</v>
      </c>
      <c r="C30" s="33" t="s">
        <v>283</v>
      </c>
      <c r="D30" s="34" t="s">
        <v>131</v>
      </c>
      <c r="E30" s="35" t="s">
        <v>120</v>
      </c>
      <c r="F30" s="34" t="s">
        <v>121</v>
      </c>
      <c r="G30" s="34" t="s">
        <v>122</v>
      </c>
      <c r="H30" s="34" t="s">
        <v>122</v>
      </c>
      <c r="I30" s="34" t="s">
        <v>122</v>
      </c>
      <c r="J30" s="34" t="s">
        <v>122</v>
      </c>
      <c r="K30" s="34" t="s">
        <v>122</v>
      </c>
      <c r="L30" s="36" t="n">
        <f aca="false">COUNTIF(G30:K30,"Yes")</f>
        <v>5</v>
      </c>
      <c r="M30" s="36" t="str">
        <f aca="false">IF(L30&gt;=4,"High",IF(L30=3,"Moderate","Low"))</f>
        <v>High</v>
      </c>
      <c r="N30" s="33" t="n">
        <v>2024</v>
      </c>
      <c r="O30" s="33" t="s">
        <v>284</v>
      </c>
      <c r="P30" s="33" t="s">
        <v>285</v>
      </c>
      <c r="Q30" s="33" t="s">
        <v>125</v>
      </c>
      <c r="R30" s="33" t="s">
        <v>286</v>
      </c>
      <c r="S30" s="33" t="s">
        <v>251</v>
      </c>
      <c r="T30" s="33" t="s">
        <v>287</v>
      </c>
    </row>
    <row r="31" customFormat="false" ht="23.85" hidden="false" customHeight="false" outlineLevel="0" collapsed="false">
      <c r="A31" s="32" t="s">
        <v>288</v>
      </c>
      <c r="B31" s="33" t="s">
        <v>289</v>
      </c>
      <c r="C31" s="33" t="s">
        <v>290</v>
      </c>
      <c r="D31" s="34" t="s">
        <v>73</v>
      </c>
      <c r="E31" s="35" t="s">
        <v>120</v>
      </c>
      <c r="F31" s="34" t="s">
        <v>121</v>
      </c>
      <c r="G31" s="34" t="s">
        <v>122</v>
      </c>
      <c r="H31" s="34" t="s">
        <v>122</v>
      </c>
      <c r="I31" s="34" t="s">
        <v>122</v>
      </c>
      <c r="J31" s="34" t="s">
        <v>122</v>
      </c>
      <c r="K31" s="34" t="s">
        <v>122</v>
      </c>
      <c r="L31" s="36" t="n">
        <f aca="false">COUNTIF(G31:K31,"Yes")</f>
        <v>5</v>
      </c>
      <c r="M31" s="36" t="str">
        <f aca="false">IF(L31&gt;=4,"High",IF(L31=3,"Moderate","Low"))</f>
        <v>High</v>
      </c>
      <c r="N31" s="33" t="n">
        <v>2024</v>
      </c>
      <c r="O31" s="33" t="s">
        <v>284</v>
      </c>
      <c r="P31" s="33" t="s">
        <v>291</v>
      </c>
      <c r="Q31" s="33" t="s">
        <v>125</v>
      </c>
      <c r="R31" s="33" t="s">
        <v>292</v>
      </c>
      <c r="S31" s="33" t="s">
        <v>251</v>
      </c>
      <c r="T31" s="33" t="s">
        <v>293</v>
      </c>
    </row>
    <row r="32" customFormat="false" ht="23.85" hidden="false" customHeight="false" outlineLevel="0" collapsed="false">
      <c r="A32" s="32" t="s">
        <v>294</v>
      </c>
      <c r="B32" s="33" t="s">
        <v>295</v>
      </c>
      <c r="C32" s="33" t="s">
        <v>296</v>
      </c>
      <c r="D32" s="34" t="s">
        <v>131</v>
      </c>
      <c r="E32" s="35" t="s">
        <v>120</v>
      </c>
      <c r="F32" s="34" t="s">
        <v>121</v>
      </c>
      <c r="G32" s="34" t="s">
        <v>122</v>
      </c>
      <c r="H32" s="34" t="s">
        <v>122</v>
      </c>
      <c r="I32" s="34" t="s">
        <v>122</v>
      </c>
      <c r="J32" s="34" t="s">
        <v>122</v>
      </c>
      <c r="K32" s="34" t="s">
        <v>122</v>
      </c>
      <c r="L32" s="36" t="n">
        <f aca="false">COUNTIF(G32:K32,"Yes")</f>
        <v>5</v>
      </c>
      <c r="M32" s="36" t="str">
        <f aca="false">IF(L32&gt;=4,"High",IF(L32=3,"Moderate","Low"))</f>
        <v>High</v>
      </c>
      <c r="N32" s="33" t="n">
        <v>2021</v>
      </c>
      <c r="O32" s="33" t="s">
        <v>297</v>
      </c>
      <c r="P32" s="33" t="s">
        <v>298</v>
      </c>
      <c r="Q32" s="33" t="s">
        <v>125</v>
      </c>
      <c r="R32" s="33" t="s">
        <v>299</v>
      </c>
      <c r="S32" s="33" t="s">
        <v>251</v>
      </c>
      <c r="T32" s="33" t="s">
        <v>300</v>
      </c>
    </row>
    <row r="33" customFormat="false" ht="35.05" hidden="false" customHeight="false" outlineLevel="0" collapsed="false">
      <c r="A33" s="32" t="s">
        <v>301</v>
      </c>
      <c r="B33" s="33" t="s">
        <v>302</v>
      </c>
      <c r="C33" s="33" t="s">
        <v>303</v>
      </c>
      <c r="D33" s="34" t="s">
        <v>131</v>
      </c>
      <c r="E33" s="35" t="s">
        <v>120</v>
      </c>
      <c r="F33" s="34" t="s">
        <v>121</v>
      </c>
      <c r="G33" s="34" t="s">
        <v>122</v>
      </c>
      <c r="H33" s="34" t="s">
        <v>122</v>
      </c>
      <c r="I33" s="34" t="s">
        <v>122</v>
      </c>
      <c r="J33" s="34" t="s">
        <v>122</v>
      </c>
      <c r="K33" s="34" t="s">
        <v>122</v>
      </c>
      <c r="L33" s="36" t="n">
        <f aca="false">COUNTIF(G33:K33,"Yes")</f>
        <v>5</v>
      </c>
      <c r="M33" s="36" t="str">
        <f aca="false">IF(L33&gt;=4,"High",IF(L33=3,"Moderate","Low"))</f>
        <v>High</v>
      </c>
      <c r="N33" s="33" t="n">
        <v>2025</v>
      </c>
      <c r="O33" s="33" t="s">
        <v>304</v>
      </c>
      <c r="P33" s="33" t="s">
        <v>305</v>
      </c>
      <c r="Q33" s="33" t="s">
        <v>125</v>
      </c>
      <c r="R33" s="33" t="s">
        <v>306</v>
      </c>
      <c r="S33" s="33" t="s">
        <v>251</v>
      </c>
      <c r="T33" s="33"/>
    </row>
    <row r="34" customFormat="false" ht="23.85" hidden="false" customHeight="false" outlineLevel="0" collapsed="false">
      <c r="A34" s="32" t="s">
        <v>307</v>
      </c>
      <c r="B34" s="33" t="s">
        <v>308</v>
      </c>
      <c r="C34" s="33" t="s">
        <v>309</v>
      </c>
      <c r="D34" s="34" t="s">
        <v>71</v>
      </c>
      <c r="E34" s="35" t="s">
        <v>120</v>
      </c>
      <c r="F34" s="34" t="s">
        <v>121</v>
      </c>
      <c r="G34" s="34" t="s">
        <v>122</v>
      </c>
      <c r="H34" s="34" t="s">
        <v>122</v>
      </c>
      <c r="I34" s="34" t="s">
        <v>310</v>
      </c>
      <c r="J34" s="34" t="s">
        <v>310</v>
      </c>
      <c r="K34" s="34" t="s">
        <v>122</v>
      </c>
      <c r="L34" s="36" t="n">
        <f aca="false">COUNTIF(G34:K34,"Yes")</f>
        <v>3</v>
      </c>
      <c r="M34" s="36" t="str">
        <f aca="false">IF(L34&gt;=4,"High",IF(L34=3,"Moderate","Low"))</f>
        <v>Moderate</v>
      </c>
      <c r="N34" s="33" t="n">
        <v>2021</v>
      </c>
      <c r="O34" s="33" t="s">
        <v>311</v>
      </c>
      <c r="P34" s="33" t="s">
        <v>312</v>
      </c>
      <c r="Q34" s="33" t="s">
        <v>142</v>
      </c>
      <c r="R34" s="33" t="s">
        <v>313</v>
      </c>
      <c r="S34" s="33" t="s">
        <v>251</v>
      </c>
      <c r="T34" s="33" t="s">
        <v>314</v>
      </c>
    </row>
    <row r="35" customFormat="false" ht="23.85" hidden="false" customHeight="false" outlineLevel="0" collapsed="false">
      <c r="A35" s="32" t="s">
        <v>315</v>
      </c>
      <c r="B35" s="33" t="s">
        <v>316</v>
      </c>
      <c r="C35" s="33" t="s">
        <v>317</v>
      </c>
      <c r="D35" s="34" t="s">
        <v>131</v>
      </c>
      <c r="E35" s="35" t="s">
        <v>120</v>
      </c>
      <c r="F35" s="34" t="s">
        <v>121</v>
      </c>
      <c r="G35" s="34" t="s">
        <v>122</v>
      </c>
      <c r="H35" s="34" t="s">
        <v>122</v>
      </c>
      <c r="I35" s="34" t="s">
        <v>122</v>
      </c>
      <c r="J35" s="34" t="s">
        <v>122</v>
      </c>
      <c r="K35" s="34" t="s">
        <v>122</v>
      </c>
      <c r="L35" s="36" t="n">
        <f aca="false">COUNTIF(G35:K35,"Yes")</f>
        <v>5</v>
      </c>
      <c r="M35" s="36" t="str">
        <f aca="false">IF(L35&gt;=4,"High",IF(L35=3,"Moderate","Low"))</f>
        <v>High</v>
      </c>
      <c r="N35" s="33" t="n">
        <v>2023</v>
      </c>
      <c r="O35" s="33" t="s">
        <v>318</v>
      </c>
      <c r="P35" s="33" t="s">
        <v>319</v>
      </c>
      <c r="Q35" s="33" t="s">
        <v>125</v>
      </c>
      <c r="R35" s="33" t="s">
        <v>320</v>
      </c>
      <c r="S35" s="33" t="s">
        <v>251</v>
      </c>
      <c r="T35" s="33" t="s">
        <v>321</v>
      </c>
    </row>
    <row r="36" customFormat="false" ht="23.85" hidden="false" customHeight="false" outlineLevel="0" collapsed="false">
      <c r="A36" s="32" t="s">
        <v>322</v>
      </c>
      <c r="B36" s="33" t="s">
        <v>323</v>
      </c>
      <c r="C36" s="33" t="s">
        <v>324</v>
      </c>
      <c r="D36" s="34" t="s">
        <v>79</v>
      </c>
      <c r="E36" s="35" t="s">
        <v>120</v>
      </c>
      <c r="F36" s="34" t="s">
        <v>121</v>
      </c>
      <c r="G36" s="34" t="s">
        <v>122</v>
      </c>
      <c r="H36" s="34" t="s">
        <v>122</v>
      </c>
      <c r="I36" s="34" t="s">
        <v>122</v>
      </c>
      <c r="J36" s="34" t="s">
        <v>122</v>
      </c>
      <c r="K36" s="34" t="s">
        <v>122</v>
      </c>
      <c r="L36" s="36" t="n">
        <f aca="false">COUNTIF(G36:K36,"Yes")</f>
        <v>5</v>
      </c>
      <c r="M36" s="36" t="str">
        <f aca="false">IF(L36&gt;=4,"High",IF(L36=3,"Moderate","Low"))</f>
        <v>High</v>
      </c>
      <c r="N36" s="33" t="n">
        <v>2024</v>
      </c>
      <c r="O36" s="33" t="s">
        <v>325</v>
      </c>
      <c r="P36" s="33" t="s">
        <v>326</v>
      </c>
      <c r="Q36" s="33" t="s">
        <v>125</v>
      </c>
      <c r="R36" s="33" t="s">
        <v>327</v>
      </c>
      <c r="S36" s="33" t="s">
        <v>251</v>
      </c>
      <c r="T36" s="33"/>
    </row>
    <row r="37" customFormat="false" ht="23.85" hidden="false" customHeight="false" outlineLevel="0" collapsed="false">
      <c r="A37" s="32" t="s">
        <v>328</v>
      </c>
      <c r="B37" s="33" t="s">
        <v>329</v>
      </c>
      <c r="C37" s="33" t="s">
        <v>330</v>
      </c>
      <c r="D37" s="34" t="s">
        <v>73</v>
      </c>
      <c r="E37" s="35" t="s">
        <v>120</v>
      </c>
      <c r="F37" s="34" t="s">
        <v>121</v>
      </c>
      <c r="G37" s="34" t="s">
        <v>122</v>
      </c>
      <c r="H37" s="34" t="s">
        <v>122</v>
      </c>
      <c r="I37" s="34" t="s">
        <v>122</v>
      </c>
      <c r="J37" s="34" t="s">
        <v>122</v>
      </c>
      <c r="K37" s="34" t="s">
        <v>122</v>
      </c>
      <c r="L37" s="36" t="n">
        <f aca="false">COUNTIF(G37:K37,"Yes")</f>
        <v>5</v>
      </c>
      <c r="M37" s="36" t="str">
        <f aca="false">IF(L37&gt;=4,"High",IF(L37=3,"Moderate","Low"))</f>
        <v>High</v>
      </c>
      <c r="N37" s="33" t="n">
        <v>2021</v>
      </c>
      <c r="O37" s="33" t="s">
        <v>331</v>
      </c>
      <c r="P37" s="33" t="s">
        <v>332</v>
      </c>
      <c r="Q37" s="33" t="s">
        <v>125</v>
      </c>
      <c r="R37" s="33" t="s">
        <v>333</v>
      </c>
      <c r="S37" s="33" t="s">
        <v>251</v>
      </c>
      <c r="T37" s="37" t="s">
        <v>334</v>
      </c>
    </row>
    <row r="38" customFormat="false" ht="35.05" hidden="false" customHeight="false" outlineLevel="0" collapsed="false">
      <c r="A38" s="32" t="s">
        <v>335</v>
      </c>
      <c r="B38" s="33" t="s">
        <v>336</v>
      </c>
      <c r="C38" s="33" t="s">
        <v>337</v>
      </c>
      <c r="D38" s="34" t="s">
        <v>338</v>
      </c>
      <c r="E38" s="35" t="s">
        <v>120</v>
      </c>
      <c r="F38" s="34" t="s">
        <v>121</v>
      </c>
      <c r="G38" s="34" t="s">
        <v>122</v>
      </c>
      <c r="H38" s="34" t="s">
        <v>122</v>
      </c>
      <c r="I38" s="34" t="s">
        <v>122</v>
      </c>
      <c r="J38" s="34" t="s">
        <v>122</v>
      </c>
      <c r="K38" s="34" t="s">
        <v>122</v>
      </c>
      <c r="L38" s="36" t="n">
        <f aca="false">COUNTIF(G38:K38,"Yes")</f>
        <v>5</v>
      </c>
      <c r="M38" s="36" t="str">
        <f aca="false">IF(L38&gt;=4,"High",IF(L38=3,"Moderate","Low"))</f>
        <v>High</v>
      </c>
      <c r="N38" s="33" t="n">
        <v>2025</v>
      </c>
      <c r="O38" s="33" t="s">
        <v>339</v>
      </c>
      <c r="P38" s="33" t="s">
        <v>340</v>
      </c>
      <c r="Q38" s="33" t="s">
        <v>125</v>
      </c>
      <c r="R38" s="33" t="s">
        <v>341</v>
      </c>
      <c r="S38" s="33" t="s">
        <v>251</v>
      </c>
      <c r="T38" s="33" t="s">
        <v>342</v>
      </c>
    </row>
    <row r="39" customFormat="false" ht="23.85" hidden="false" customHeight="false" outlineLevel="0" collapsed="false">
      <c r="A39" s="32" t="s">
        <v>343</v>
      </c>
      <c r="B39" s="33" t="s">
        <v>344</v>
      </c>
      <c r="C39" s="33" t="s">
        <v>345</v>
      </c>
      <c r="D39" s="34" t="s">
        <v>259</v>
      </c>
      <c r="E39" s="35" t="s">
        <v>120</v>
      </c>
      <c r="F39" s="34" t="s">
        <v>121</v>
      </c>
      <c r="G39" s="34" t="s">
        <v>122</v>
      </c>
      <c r="H39" s="34" t="s">
        <v>122</v>
      </c>
      <c r="I39" s="34" t="s">
        <v>122</v>
      </c>
      <c r="J39" s="34" t="s">
        <v>122</v>
      </c>
      <c r="K39" s="34" t="s">
        <v>122</v>
      </c>
      <c r="L39" s="36" t="n">
        <f aca="false">COUNTIF(G39:K39,"Yes")</f>
        <v>5</v>
      </c>
      <c r="M39" s="36" t="str">
        <f aca="false">IF(L39&gt;=4,"High",IF(L39=3,"Moderate","Low"))</f>
        <v>High</v>
      </c>
      <c r="N39" s="33" t="n">
        <v>2022</v>
      </c>
      <c r="O39" s="33" t="s">
        <v>140</v>
      </c>
      <c r="P39" s="33" t="s">
        <v>346</v>
      </c>
      <c r="Q39" s="33" t="s">
        <v>125</v>
      </c>
      <c r="R39" s="33" t="s">
        <v>347</v>
      </c>
      <c r="S39" s="33" t="s">
        <v>251</v>
      </c>
      <c r="T39" s="33" t="s">
        <v>348</v>
      </c>
    </row>
    <row r="40" customFormat="false" ht="23.85" hidden="false" customHeight="false" outlineLevel="0" collapsed="false">
      <c r="A40" s="32" t="s">
        <v>349</v>
      </c>
      <c r="B40" s="33" t="s">
        <v>350</v>
      </c>
      <c r="C40" s="33" t="s">
        <v>351</v>
      </c>
      <c r="D40" s="34" t="s">
        <v>131</v>
      </c>
      <c r="E40" s="35" t="s">
        <v>120</v>
      </c>
      <c r="F40" s="34" t="s">
        <v>121</v>
      </c>
      <c r="G40" s="34" t="s">
        <v>122</v>
      </c>
      <c r="H40" s="34" t="s">
        <v>122</v>
      </c>
      <c r="I40" s="34" t="s">
        <v>122</v>
      </c>
      <c r="J40" s="34" t="s">
        <v>122</v>
      </c>
      <c r="K40" s="34" t="s">
        <v>122</v>
      </c>
      <c r="L40" s="36" t="n">
        <f aca="false">COUNTIF(G40:K40,"Yes")</f>
        <v>5</v>
      </c>
      <c r="M40" s="36" t="str">
        <f aca="false">IF(L40&gt;=4,"High",IF(L40=3,"Moderate","Low"))</f>
        <v>High</v>
      </c>
      <c r="N40" s="33" t="n">
        <v>2026</v>
      </c>
      <c r="O40" s="33" t="s">
        <v>123</v>
      </c>
      <c r="P40" s="33" t="s">
        <v>352</v>
      </c>
      <c r="Q40" s="33" t="s">
        <v>125</v>
      </c>
      <c r="R40" s="33" t="s">
        <v>353</v>
      </c>
      <c r="S40" s="33" t="s">
        <v>251</v>
      </c>
      <c r="T40" s="33" t="s">
        <v>348</v>
      </c>
    </row>
    <row r="41" customFormat="false" ht="23.85" hidden="false" customHeight="false" outlineLevel="0" collapsed="false">
      <c r="A41" s="32" t="s">
        <v>354</v>
      </c>
      <c r="B41" s="33" t="s">
        <v>355</v>
      </c>
      <c r="C41" s="33" t="s">
        <v>356</v>
      </c>
      <c r="D41" s="34" t="s">
        <v>75</v>
      </c>
      <c r="E41" s="35" t="s">
        <v>120</v>
      </c>
      <c r="F41" s="34" t="s">
        <v>121</v>
      </c>
      <c r="G41" s="34" t="s">
        <v>122</v>
      </c>
      <c r="H41" s="34" t="s">
        <v>122</v>
      </c>
      <c r="I41" s="34" t="s">
        <v>122</v>
      </c>
      <c r="J41" s="34" t="s">
        <v>122</v>
      </c>
      <c r="K41" s="34" t="s">
        <v>122</v>
      </c>
      <c r="L41" s="36" t="n">
        <f aca="false">COUNTIF(G41:K41,"Yes")</f>
        <v>5</v>
      </c>
      <c r="M41" s="36" t="str">
        <f aca="false">IF(L41&gt;=4,"High",IF(L41=3,"Moderate","Low"))</f>
        <v>High</v>
      </c>
      <c r="N41" s="33" t="n">
        <v>2026</v>
      </c>
      <c r="O41" s="33" t="s">
        <v>132</v>
      </c>
      <c r="P41" s="33" t="s">
        <v>357</v>
      </c>
      <c r="Q41" s="33" t="s">
        <v>125</v>
      </c>
      <c r="R41" s="33" t="s">
        <v>358</v>
      </c>
      <c r="S41" s="33" t="s">
        <v>251</v>
      </c>
      <c r="T41" s="33" t="s">
        <v>359</v>
      </c>
    </row>
    <row r="42" customFormat="false" ht="23.85" hidden="false" customHeight="false" outlineLevel="0" collapsed="false">
      <c r="A42" s="32" t="s">
        <v>360</v>
      </c>
      <c r="B42" s="33" t="s">
        <v>361</v>
      </c>
      <c r="C42" s="33" t="s">
        <v>362</v>
      </c>
      <c r="D42" s="34" t="s">
        <v>259</v>
      </c>
      <c r="E42" s="35" t="s">
        <v>120</v>
      </c>
      <c r="F42" s="34" t="s">
        <v>121</v>
      </c>
      <c r="G42" s="34" t="s">
        <v>122</v>
      </c>
      <c r="H42" s="34" t="s">
        <v>122</v>
      </c>
      <c r="I42" s="34" t="s">
        <v>310</v>
      </c>
      <c r="J42" s="34" t="s">
        <v>139</v>
      </c>
      <c r="K42" s="34" t="s">
        <v>122</v>
      </c>
      <c r="L42" s="36" t="n">
        <f aca="false">COUNTIF(G42:K42,"Yes")</f>
        <v>3</v>
      </c>
      <c r="M42" s="36" t="str">
        <f aca="false">IF(L42&gt;=4,"High",IF(L42=3,"Moderate","Low"))</f>
        <v>Moderate</v>
      </c>
      <c r="N42" s="33" t="n">
        <v>2025</v>
      </c>
      <c r="O42" s="33" t="s">
        <v>363</v>
      </c>
      <c r="P42" s="33" t="s">
        <v>364</v>
      </c>
      <c r="Q42" s="33" t="s">
        <v>125</v>
      </c>
      <c r="R42" s="33" t="s">
        <v>365</v>
      </c>
      <c r="S42" s="33" t="s">
        <v>251</v>
      </c>
      <c r="T42" s="37" t="s">
        <v>366</v>
      </c>
    </row>
    <row r="43" customFormat="false" ht="23.85" hidden="false" customHeight="false" outlineLevel="0" collapsed="false">
      <c r="A43" s="32" t="s">
        <v>367</v>
      </c>
      <c r="B43" s="33" t="s">
        <v>368</v>
      </c>
      <c r="C43" s="33" t="s">
        <v>369</v>
      </c>
      <c r="D43" s="34" t="s">
        <v>131</v>
      </c>
      <c r="E43" s="35" t="s">
        <v>120</v>
      </c>
      <c r="F43" s="34" t="s">
        <v>121</v>
      </c>
      <c r="G43" s="34" t="s">
        <v>122</v>
      </c>
      <c r="H43" s="34" t="s">
        <v>122</v>
      </c>
      <c r="I43" s="34" t="s">
        <v>310</v>
      </c>
      <c r="J43" s="34" t="s">
        <v>310</v>
      </c>
      <c r="K43" s="34" t="s">
        <v>122</v>
      </c>
      <c r="L43" s="36" t="n">
        <f aca="false">COUNTIF(G43:K43,"Yes")</f>
        <v>3</v>
      </c>
      <c r="M43" s="36" t="str">
        <f aca="false">IF(L43&gt;=4,"High",IF(L43=3,"Moderate","Low"))</f>
        <v>Moderate</v>
      </c>
      <c r="N43" s="33" t="n">
        <v>2024</v>
      </c>
      <c r="O43" s="33" t="s">
        <v>370</v>
      </c>
      <c r="P43" s="33" t="s">
        <v>371</v>
      </c>
      <c r="Q43" s="33" t="s">
        <v>125</v>
      </c>
      <c r="R43" s="33" t="s">
        <v>372</v>
      </c>
      <c r="S43" s="33" t="s">
        <v>251</v>
      </c>
      <c r="T43" s="33" t="s">
        <v>314</v>
      </c>
    </row>
    <row r="44" customFormat="false" ht="23.85" hidden="false" customHeight="false" outlineLevel="0" collapsed="false">
      <c r="A44" s="32" t="s">
        <v>373</v>
      </c>
      <c r="B44" s="33" t="s">
        <v>374</v>
      </c>
      <c r="C44" s="33" t="s">
        <v>375</v>
      </c>
      <c r="D44" s="34" t="s">
        <v>131</v>
      </c>
      <c r="E44" s="35" t="s">
        <v>120</v>
      </c>
      <c r="F44" s="34" t="s">
        <v>121</v>
      </c>
      <c r="G44" s="34" t="s">
        <v>122</v>
      </c>
      <c r="H44" s="34" t="s">
        <v>122</v>
      </c>
      <c r="I44" s="34" t="s">
        <v>122</v>
      </c>
      <c r="J44" s="34" t="s">
        <v>122</v>
      </c>
      <c r="K44" s="34" t="s">
        <v>122</v>
      </c>
      <c r="L44" s="36" t="n">
        <f aca="false">COUNTIF(G44:K44,"Yes")</f>
        <v>5</v>
      </c>
      <c r="M44" s="36" t="str">
        <f aca="false">IF(L44&gt;=4,"High",IF(L44=3,"Moderate","Low"))</f>
        <v>High</v>
      </c>
      <c r="N44" s="33" t="n">
        <v>2023</v>
      </c>
      <c r="O44" s="33" t="s">
        <v>123</v>
      </c>
      <c r="P44" s="33" t="s">
        <v>376</v>
      </c>
      <c r="Q44" s="33" t="s">
        <v>125</v>
      </c>
      <c r="R44" s="33" t="s">
        <v>377</v>
      </c>
      <c r="S44" s="33" t="s">
        <v>251</v>
      </c>
      <c r="T44" s="33" t="s">
        <v>378</v>
      </c>
    </row>
  </sheetData>
  <dataValidations count="3">
    <dataValidation allowBlank="true" errorStyle="stop" operator="between" showDropDown="false" showErrorMessage="false" showInputMessage="false" sqref="D5:D26" type="list">
      <formula1>"Scopus,Web of Science,IEEE Xplore,ACM Digital Library,ScienceDirect,SpringerLink,Google Scholar,MDPI"</formula1>
      <formula2>0</formula2>
    </dataValidation>
    <dataValidation allowBlank="true" errorStyle="stop" operator="between" showDropDown="false" showErrorMessage="false" showInputMessage="false" sqref="E5:E26" type="list">
      <formula1>"Included,Excluded"</formula1>
      <formula2>0</formula2>
    </dataValidation>
    <dataValidation allowBlank="true" errorStyle="stop" operator="between" showDropDown="false" showErrorMessage="false" showInputMessage="false" sqref="G5:K26" type="list">
      <formula1>"Yes,No,Can't tell"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9" activeCellId="0" sqref="D9"/>
    </sheetView>
  </sheetViews>
  <sheetFormatPr defaultColWidth="8.6796875" defaultRowHeight="14.2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38"/>
    <col collapsed="false" customWidth="true" hidden="false" outlineLevel="0" max="6" min="5" style="0" width="70"/>
    <col collapsed="false" customWidth="true" hidden="false" outlineLevel="0" max="8" min="7" style="0" width="10"/>
    <col collapsed="false" customWidth="true" hidden="false" outlineLevel="0" max="10" min="9" style="0" width="36"/>
  </cols>
  <sheetData>
    <row r="1" customFormat="false" ht="19.5" hidden="false" customHeight="true" outlineLevel="0" collapsed="false">
      <c r="A1" s="1" t="s">
        <v>379</v>
      </c>
    </row>
    <row r="2" customFormat="false" ht="14.25" hidden="false" customHeight="false" outlineLevel="0" collapsed="false">
      <c r="A2" s="3" t="s">
        <v>380</v>
      </c>
    </row>
    <row r="4" customFormat="false" ht="39.75" hidden="false" customHeight="true" outlineLevel="0" collapsed="false">
      <c r="A4" s="19" t="s">
        <v>97</v>
      </c>
      <c r="B4" s="19" t="s">
        <v>98</v>
      </c>
      <c r="C4" s="19" t="s">
        <v>381</v>
      </c>
      <c r="D4" s="19" t="s">
        <v>382</v>
      </c>
      <c r="E4" s="19" t="s">
        <v>383</v>
      </c>
      <c r="F4" s="19" t="s">
        <v>384</v>
      </c>
      <c r="G4" s="19" t="s">
        <v>385</v>
      </c>
      <c r="H4" s="19" t="s">
        <v>386</v>
      </c>
      <c r="I4" s="19" t="s">
        <v>387</v>
      </c>
      <c r="J4" s="19" t="s">
        <v>388</v>
      </c>
    </row>
    <row r="5" customFormat="false" ht="49.5" hidden="false" customHeight="true" outlineLevel="0" collapsed="false">
      <c r="A5" s="32" t="s">
        <v>117</v>
      </c>
      <c r="B5" s="33" t="s">
        <v>118</v>
      </c>
      <c r="C5" s="34" t="s">
        <v>389</v>
      </c>
      <c r="D5" s="34" t="s">
        <v>390</v>
      </c>
      <c r="E5" s="34" t="s">
        <v>391</v>
      </c>
      <c r="F5" s="34" t="s">
        <v>392</v>
      </c>
      <c r="G5" s="34" t="s">
        <v>139</v>
      </c>
      <c r="H5" s="34" t="s">
        <v>139</v>
      </c>
      <c r="I5" s="38" t="s">
        <v>393</v>
      </c>
      <c r="J5" s="34" t="s">
        <v>127</v>
      </c>
    </row>
    <row r="6" customFormat="false" ht="49.5" hidden="false" customHeight="true" outlineLevel="0" collapsed="false">
      <c r="A6" s="32" t="s">
        <v>128</v>
      </c>
      <c r="B6" s="33" t="s">
        <v>129</v>
      </c>
      <c r="C6" s="34" t="s">
        <v>394</v>
      </c>
      <c r="D6" s="34" t="s">
        <v>395</v>
      </c>
      <c r="E6" s="34" t="s">
        <v>396</v>
      </c>
      <c r="F6" s="34" t="s">
        <v>397</v>
      </c>
      <c r="G6" s="34" t="s">
        <v>139</v>
      </c>
      <c r="H6" s="34" t="s">
        <v>139</v>
      </c>
      <c r="I6" s="38" t="s">
        <v>398</v>
      </c>
      <c r="J6" s="34" t="s">
        <v>135</v>
      </c>
    </row>
    <row r="7" customFormat="false" ht="37.5" hidden="false" customHeight="true" outlineLevel="0" collapsed="false">
      <c r="A7" s="32" t="s">
        <v>136</v>
      </c>
      <c r="B7" s="33" t="s">
        <v>137</v>
      </c>
      <c r="C7" s="34" t="s">
        <v>399</v>
      </c>
      <c r="D7" s="34" t="s">
        <v>400</v>
      </c>
      <c r="E7" s="34" t="s">
        <v>401</v>
      </c>
      <c r="F7" s="34" t="s">
        <v>402</v>
      </c>
      <c r="G7" s="34" t="s">
        <v>139</v>
      </c>
      <c r="H7" s="34" t="s">
        <v>139</v>
      </c>
      <c r="I7" s="38" t="s">
        <v>403</v>
      </c>
      <c r="J7" s="34" t="s">
        <v>144</v>
      </c>
    </row>
    <row r="8" customFormat="false" ht="49.5" hidden="false" customHeight="true" outlineLevel="0" collapsed="false">
      <c r="A8" s="32" t="s">
        <v>145</v>
      </c>
      <c r="B8" s="33" t="s">
        <v>146</v>
      </c>
      <c r="C8" s="34" t="s">
        <v>399</v>
      </c>
      <c r="D8" s="34" t="s">
        <v>404</v>
      </c>
      <c r="E8" s="34" t="s">
        <v>405</v>
      </c>
      <c r="F8" s="34" t="s">
        <v>406</v>
      </c>
      <c r="G8" s="34" t="s">
        <v>139</v>
      </c>
      <c r="H8" s="34" t="s">
        <v>139</v>
      </c>
      <c r="I8" s="38" t="s">
        <v>407</v>
      </c>
      <c r="J8" s="34" t="s">
        <v>151</v>
      </c>
    </row>
    <row r="9" customFormat="false" ht="49.5" hidden="false" customHeight="true" outlineLevel="0" collapsed="false">
      <c r="A9" s="32" t="s">
        <v>152</v>
      </c>
      <c r="B9" s="33" t="s">
        <v>153</v>
      </c>
      <c r="C9" s="34" t="s">
        <v>389</v>
      </c>
      <c r="D9" s="34" t="s">
        <v>408</v>
      </c>
      <c r="E9" s="34" t="s">
        <v>409</v>
      </c>
      <c r="F9" s="34" t="s">
        <v>406</v>
      </c>
      <c r="G9" s="34" t="s">
        <v>139</v>
      </c>
      <c r="H9" s="34" t="s">
        <v>139</v>
      </c>
      <c r="I9" s="38" t="s">
        <v>410</v>
      </c>
      <c r="J9" s="34"/>
    </row>
    <row r="10" customFormat="false" ht="49.5" hidden="false" customHeight="true" outlineLevel="0" collapsed="false">
      <c r="A10" s="32" t="s">
        <v>158</v>
      </c>
      <c r="B10" s="33" t="s">
        <v>159</v>
      </c>
      <c r="C10" s="34" t="s">
        <v>389</v>
      </c>
      <c r="D10" s="34" t="s">
        <v>411</v>
      </c>
      <c r="E10" s="34" t="s">
        <v>412</v>
      </c>
      <c r="F10" s="34" t="s">
        <v>392</v>
      </c>
      <c r="G10" s="34" t="s">
        <v>139</v>
      </c>
      <c r="H10" s="34" t="s">
        <v>139</v>
      </c>
      <c r="I10" s="38" t="s">
        <v>413</v>
      </c>
      <c r="J10" s="34" t="s">
        <v>164</v>
      </c>
    </row>
    <row r="11" customFormat="false" ht="23.85" hidden="false" customHeight="false" outlineLevel="0" collapsed="false">
      <c r="A11" s="32" t="s">
        <v>165</v>
      </c>
      <c r="B11" s="33" t="s">
        <v>166</v>
      </c>
      <c r="C11" s="34" t="s">
        <v>414</v>
      </c>
      <c r="D11" s="34" t="s">
        <v>415</v>
      </c>
      <c r="E11" s="34" t="s">
        <v>416</v>
      </c>
      <c r="F11" s="34" t="s">
        <v>417</v>
      </c>
      <c r="G11" s="34" t="s">
        <v>139</v>
      </c>
      <c r="H11" s="34" t="s">
        <v>139</v>
      </c>
      <c r="I11" s="38" t="s">
        <v>418</v>
      </c>
      <c r="J11" s="34"/>
    </row>
    <row r="12" customFormat="false" ht="23.85" hidden="false" customHeight="false" outlineLevel="0" collapsed="false">
      <c r="A12" s="32" t="s">
        <v>163</v>
      </c>
      <c r="B12" s="33" t="s">
        <v>172</v>
      </c>
      <c r="C12" s="34" t="s">
        <v>389</v>
      </c>
      <c r="D12" s="34" t="s">
        <v>419</v>
      </c>
      <c r="E12" s="34" t="s">
        <v>420</v>
      </c>
      <c r="F12" s="34" t="s">
        <v>392</v>
      </c>
      <c r="G12" s="34" t="s">
        <v>139</v>
      </c>
      <c r="H12" s="34" t="s">
        <v>139</v>
      </c>
      <c r="I12" s="38" t="s">
        <v>421</v>
      </c>
      <c r="J12" s="34" t="s">
        <v>177</v>
      </c>
    </row>
    <row r="13" customFormat="false" ht="46.25" hidden="false" customHeight="false" outlineLevel="0" collapsed="false">
      <c r="A13" s="32" t="s">
        <v>171</v>
      </c>
      <c r="B13" s="33" t="s">
        <v>178</v>
      </c>
      <c r="C13" s="34" t="s">
        <v>399</v>
      </c>
      <c r="D13" s="34" t="s">
        <v>422</v>
      </c>
      <c r="E13" s="34" t="s">
        <v>423</v>
      </c>
      <c r="F13" s="34" t="s">
        <v>402</v>
      </c>
      <c r="G13" s="34" t="s">
        <v>139</v>
      </c>
      <c r="H13" s="34" t="s">
        <v>139</v>
      </c>
      <c r="I13" s="38" t="s">
        <v>424</v>
      </c>
      <c r="J13" s="34"/>
    </row>
    <row r="14" customFormat="false" ht="23.85" hidden="false" customHeight="false" outlineLevel="0" collapsed="false">
      <c r="A14" s="32" t="s">
        <v>176</v>
      </c>
      <c r="B14" s="33" t="s">
        <v>183</v>
      </c>
      <c r="C14" s="34" t="s">
        <v>389</v>
      </c>
      <c r="D14" s="34" t="s">
        <v>425</v>
      </c>
      <c r="E14" s="34" t="s">
        <v>426</v>
      </c>
      <c r="F14" s="34" t="s">
        <v>406</v>
      </c>
      <c r="G14" s="34" t="s">
        <v>139</v>
      </c>
      <c r="H14" s="34" t="s">
        <v>139</v>
      </c>
      <c r="I14" s="38" t="s">
        <v>427</v>
      </c>
      <c r="J14" s="34"/>
    </row>
    <row r="15" customFormat="false" ht="57.45" hidden="false" customHeight="false" outlineLevel="0" collapsed="false">
      <c r="A15" s="32" t="s">
        <v>182</v>
      </c>
      <c r="B15" s="33" t="s">
        <v>188</v>
      </c>
      <c r="C15" s="34" t="s">
        <v>399</v>
      </c>
      <c r="D15" s="34" t="s">
        <v>428</v>
      </c>
      <c r="E15" s="34" t="s">
        <v>429</v>
      </c>
      <c r="F15" s="34" t="s">
        <v>406</v>
      </c>
      <c r="G15" s="34" t="s">
        <v>139</v>
      </c>
      <c r="H15" s="34" t="s">
        <v>139</v>
      </c>
      <c r="I15" s="38" t="s">
        <v>430</v>
      </c>
      <c r="J15" s="34" t="s">
        <v>194</v>
      </c>
    </row>
    <row r="16" customFormat="false" ht="35.05" hidden="false" customHeight="false" outlineLevel="0" collapsed="false">
      <c r="A16" s="32" t="s">
        <v>187</v>
      </c>
      <c r="B16" s="33" t="s">
        <v>195</v>
      </c>
      <c r="C16" s="34" t="s">
        <v>414</v>
      </c>
      <c r="D16" s="34" t="s">
        <v>431</v>
      </c>
      <c r="E16" s="34" t="s">
        <v>432</v>
      </c>
      <c r="F16" s="34" t="s">
        <v>392</v>
      </c>
      <c r="G16" s="34" t="s">
        <v>139</v>
      </c>
      <c r="H16" s="34" t="s">
        <v>433</v>
      </c>
      <c r="I16" s="38" t="s">
        <v>434</v>
      </c>
      <c r="J16" s="34"/>
    </row>
    <row r="17" customFormat="false" ht="35.05" hidden="false" customHeight="false" outlineLevel="0" collapsed="false">
      <c r="A17" s="32" t="s">
        <v>193</v>
      </c>
      <c r="B17" s="33" t="s">
        <v>201</v>
      </c>
      <c r="C17" s="34" t="s">
        <v>399</v>
      </c>
      <c r="D17" s="34" t="s">
        <v>435</v>
      </c>
      <c r="E17" s="34" t="s">
        <v>436</v>
      </c>
      <c r="F17" s="34" t="s">
        <v>437</v>
      </c>
      <c r="G17" s="34" t="s">
        <v>139</v>
      </c>
      <c r="H17" s="34" t="s">
        <v>139</v>
      </c>
      <c r="I17" s="38" t="s">
        <v>438</v>
      </c>
      <c r="J17" s="34"/>
    </row>
    <row r="18" customFormat="false" ht="46.25" hidden="false" customHeight="false" outlineLevel="0" collapsed="false">
      <c r="A18" s="32" t="s">
        <v>200</v>
      </c>
      <c r="B18" s="33" t="s">
        <v>206</v>
      </c>
      <c r="C18" s="34" t="s">
        <v>399</v>
      </c>
      <c r="D18" s="34" t="s">
        <v>439</v>
      </c>
      <c r="E18" s="34" t="s">
        <v>440</v>
      </c>
      <c r="F18" s="34" t="s">
        <v>406</v>
      </c>
      <c r="G18" s="34" t="s">
        <v>139</v>
      </c>
      <c r="H18" s="34" t="s">
        <v>139</v>
      </c>
      <c r="I18" s="38" t="s">
        <v>441</v>
      </c>
      <c r="J18" s="34" t="s">
        <v>213</v>
      </c>
    </row>
    <row r="19" customFormat="false" ht="46.25" hidden="false" customHeight="false" outlineLevel="0" collapsed="false">
      <c r="A19" s="32" t="s">
        <v>205</v>
      </c>
      <c r="B19" s="33" t="s">
        <v>214</v>
      </c>
      <c r="C19" s="34" t="s">
        <v>399</v>
      </c>
      <c r="D19" s="34" t="s">
        <v>442</v>
      </c>
      <c r="E19" s="34" t="s">
        <v>443</v>
      </c>
      <c r="F19" s="34" t="s">
        <v>402</v>
      </c>
      <c r="G19" s="34" t="s">
        <v>139</v>
      </c>
      <c r="H19" s="34" t="s">
        <v>139</v>
      </c>
      <c r="I19" s="38" t="s">
        <v>444</v>
      </c>
      <c r="J19" s="34" t="s">
        <v>219</v>
      </c>
    </row>
    <row r="20" customFormat="false" ht="23.85" hidden="false" customHeight="false" outlineLevel="0" collapsed="false">
      <c r="A20" s="32" t="s">
        <v>212</v>
      </c>
      <c r="B20" s="33" t="s">
        <v>220</v>
      </c>
      <c r="C20" s="34" t="s">
        <v>394</v>
      </c>
      <c r="D20" s="34" t="s">
        <v>445</v>
      </c>
      <c r="E20" s="34" t="s">
        <v>446</v>
      </c>
      <c r="F20" s="34" t="s">
        <v>397</v>
      </c>
      <c r="G20" s="34" t="s">
        <v>139</v>
      </c>
      <c r="H20" s="34" t="s">
        <v>139</v>
      </c>
      <c r="I20" s="38" t="s">
        <v>447</v>
      </c>
      <c r="J20" s="34" t="s">
        <v>219</v>
      </c>
    </row>
    <row r="21" customFormat="false" ht="46.25" hidden="false" customHeight="false" outlineLevel="0" collapsed="false">
      <c r="A21" s="32" t="s">
        <v>218</v>
      </c>
      <c r="B21" s="33" t="s">
        <v>226</v>
      </c>
      <c r="C21" s="34" t="s">
        <v>414</v>
      </c>
      <c r="D21" s="34" t="s">
        <v>448</v>
      </c>
      <c r="E21" s="34" t="s">
        <v>449</v>
      </c>
      <c r="F21" s="34" t="s">
        <v>417</v>
      </c>
      <c r="G21" s="34" t="s">
        <v>139</v>
      </c>
      <c r="H21" s="34" t="s">
        <v>122</v>
      </c>
      <c r="I21" s="38" t="s">
        <v>450</v>
      </c>
      <c r="J21" s="34" t="s">
        <v>233</v>
      </c>
    </row>
    <row r="22" customFormat="false" ht="35.05" hidden="false" customHeight="false" outlineLevel="0" collapsed="false">
      <c r="A22" s="32" t="s">
        <v>225</v>
      </c>
      <c r="B22" s="33" t="s">
        <v>234</v>
      </c>
      <c r="C22" s="34" t="s">
        <v>389</v>
      </c>
      <c r="D22" s="34" t="s">
        <v>451</v>
      </c>
      <c r="E22" s="34" t="s">
        <v>452</v>
      </c>
      <c r="F22" s="34" t="s">
        <v>392</v>
      </c>
      <c r="G22" s="34" t="s">
        <v>139</v>
      </c>
      <c r="H22" s="34" t="s">
        <v>139</v>
      </c>
      <c r="I22" s="38" t="s">
        <v>453</v>
      </c>
      <c r="J22" s="34" t="s">
        <v>239</v>
      </c>
    </row>
    <row r="23" customFormat="false" ht="46.25" hidden="false" customHeight="false" outlineLevel="0" collapsed="false">
      <c r="A23" s="32" t="s">
        <v>232</v>
      </c>
      <c r="B23" s="33" t="s">
        <v>240</v>
      </c>
      <c r="C23" s="34" t="s">
        <v>414</v>
      </c>
      <c r="D23" s="34" t="s">
        <v>454</v>
      </c>
      <c r="E23" s="34" t="s">
        <v>455</v>
      </c>
      <c r="F23" s="34" t="s">
        <v>437</v>
      </c>
      <c r="G23" s="34" t="s">
        <v>122</v>
      </c>
      <c r="H23" s="34" t="s">
        <v>139</v>
      </c>
      <c r="I23" s="38" t="s">
        <v>456</v>
      </c>
      <c r="J23" s="34" t="s">
        <v>245</v>
      </c>
    </row>
    <row r="24" customFormat="false" ht="57.45" hidden="false" customHeight="false" outlineLevel="0" collapsed="false">
      <c r="A24" s="32" t="s">
        <v>246</v>
      </c>
      <c r="B24" s="33" t="s">
        <v>247</v>
      </c>
      <c r="C24" s="34" t="s">
        <v>394</v>
      </c>
      <c r="D24" s="34" t="s">
        <v>457</v>
      </c>
      <c r="E24" s="34" t="s">
        <v>458</v>
      </c>
      <c r="F24" s="34" t="s">
        <v>397</v>
      </c>
      <c r="G24" s="34" t="s">
        <v>139</v>
      </c>
      <c r="H24" s="34" t="s">
        <v>139</v>
      </c>
      <c r="I24" s="38" t="s">
        <v>459</v>
      </c>
      <c r="J24" s="34"/>
    </row>
    <row r="25" customFormat="false" ht="46.25" hidden="false" customHeight="false" outlineLevel="0" collapsed="false">
      <c r="A25" s="32" t="s">
        <v>238</v>
      </c>
      <c r="B25" s="33" t="s">
        <v>252</v>
      </c>
      <c r="C25" s="34" t="s">
        <v>389</v>
      </c>
      <c r="D25" s="34" t="s">
        <v>460</v>
      </c>
      <c r="E25" s="34" t="s">
        <v>461</v>
      </c>
      <c r="F25" s="34" t="s">
        <v>417</v>
      </c>
      <c r="G25" s="34" t="s">
        <v>139</v>
      </c>
      <c r="H25" s="34" t="s">
        <v>122</v>
      </c>
      <c r="I25" s="38" t="s">
        <v>462</v>
      </c>
      <c r="J25" s="34" t="s">
        <v>256</v>
      </c>
    </row>
    <row r="26" customFormat="false" ht="57.45" hidden="false" customHeight="false" outlineLevel="0" collapsed="false">
      <c r="A26" s="32" t="s">
        <v>244</v>
      </c>
      <c r="B26" s="33" t="s">
        <v>257</v>
      </c>
      <c r="C26" s="34" t="s">
        <v>394</v>
      </c>
      <c r="D26" s="34" t="s">
        <v>463</v>
      </c>
      <c r="E26" s="34" t="s">
        <v>464</v>
      </c>
      <c r="F26" s="34" t="s">
        <v>397</v>
      </c>
      <c r="G26" s="34" t="s">
        <v>139</v>
      </c>
      <c r="H26" s="34" t="s">
        <v>139</v>
      </c>
      <c r="I26" s="38" t="s">
        <v>465</v>
      </c>
      <c r="J26" s="34" t="s">
        <v>262</v>
      </c>
    </row>
    <row r="27" customFormat="false" ht="35.05" hidden="false" customHeight="false" outlineLevel="0" collapsed="false">
      <c r="A27" s="32" t="s">
        <v>263</v>
      </c>
      <c r="B27" s="33" t="s">
        <v>264</v>
      </c>
      <c r="C27" s="34" t="s">
        <v>394</v>
      </c>
      <c r="D27" s="34" t="s">
        <v>466</v>
      </c>
      <c r="E27" s="34" t="s">
        <v>467</v>
      </c>
      <c r="F27" s="34" t="s">
        <v>406</v>
      </c>
      <c r="G27" s="34" t="s">
        <v>139</v>
      </c>
      <c r="H27" s="34" t="s">
        <v>139</v>
      </c>
      <c r="I27" s="38" t="s">
        <v>468</v>
      </c>
      <c r="J27" s="34" t="s">
        <v>268</v>
      </c>
    </row>
    <row r="28" customFormat="false" ht="23.85" hidden="false" customHeight="false" outlineLevel="0" collapsed="false">
      <c r="A28" s="32" t="s">
        <v>269</v>
      </c>
      <c r="B28" s="33" t="s">
        <v>270</v>
      </c>
      <c r="C28" s="34" t="s">
        <v>389</v>
      </c>
      <c r="D28" s="34" t="s">
        <v>469</v>
      </c>
      <c r="E28" s="34" t="s">
        <v>470</v>
      </c>
      <c r="F28" s="34" t="s">
        <v>392</v>
      </c>
      <c r="G28" s="34" t="s">
        <v>139</v>
      </c>
      <c r="H28" s="34" t="s">
        <v>139</v>
      </c>
      <c r="I28" s="38" t="s">
        <v>471</v>
      </c>
      <c r="J28" s="34"/>
    </row>
    <row r="29" customFormat="false" ht="57.45" hidden="false" customHeight="false" outlineLevel="0" collapsed="false">
      <c r="A29" s="32" t="s">
        <v>275</v>
      </c>
      <c r="B29" s="33" t="s">
        <v>276</v>
      </c>
      <c r="C29" s="34" t="s">
        <v>399</v>
      </c>
      <c r="D29" s="34" t="s">
        <v>472</v>
      </c>
      <c r="E29" s="34" t="s">
        <v>473</v>
      </c>
      <c r="F29" s="34" t="s">
        <v>406</v>
      </c>
      <c r="G29" s="34" t="s">
        <v>139</v>
      </c>
      <c r="H29" s="34" t="s">
        <v>139</v>
      </c>
      <c r="I29" s="38" t="s">
        <v>474</v>
      </c>
      <c r="J29" s="34" t="s">
        <v>280</v>
      </c>
    </row>
    <row r="30" customFormat="false" ht="35.05" hidden="false" customHeight="false" outlineLevel="0" collapsed="false">
      <c r="A30" s="32" t="s">
        <v>281</v>
      </c>
      <c r="B30" s="33" t="s">
        <v>282</v>
      </c>
      <c r="C30" s="34" t="s">
        <v>389</v>
      </c>
      <c r="D30" s="34" t="s">
        <v>475</v>
      </c>
      <c r="E30" s="34" t="s">
        <v>476</v>
      </c>
      <c r="F30" s="34" t="s">
        <v>392</v>
      </c>
      <c r="G30" s="34" t="s">
        <v>139</v>
      </c>
      <c r="H30" s="34" t="s">
        <v>139</v>
      </c>
      <c r="I30" s="38" t="s">
        <v>477</v>
      </c>
      <c r="J30" s="34" t="s">
        <v>287</v>
      </c>
    </row>
    <row r="31" customFormat="false" ht="23.85" hidden="false" customHeight="false" outlineLevel="0" collapsed="false">
      <c r="A31" s="32" t="s">
        <v>288</v>
      </c>
      <c r="B31" s="33" t="s">
        <v>289</v>
      </c>
      <c r="C31" s="34" t="s">
        <v>389</v>
      </c>
      <c r="D31" s="34" t="s">
        <v>478</v>
      </c>
      <c r="E31" s="34" t="s">
        <v>479</v>
      </c>
      <c r="F31" s="34" t="s">
        <v>392</v>
      </c>
      <c r="G31" s="34" t="s">
        <v>139</v>
      </c>
      <c r="H31" s="34" t="s">
        <v>139</v>
      </c>
      <c r="I31" s="38" t="s">
        <v>480</v>
      </c>
      <c r="J31" s="34" t="s">
        <v>293</v>
      </c>
    </row>
    <row r="32" customFormat="false" ht="35.05" hidden="false" customHeight="false" outlineLevel="0" collapsed="false">
      <c r="A32" s="32" t="s">
        <v>294</v>
      </c>
      <c r="B32" s="33" t="s">
        <v>295</v>
      </c>
      <c r="C32" s="34" t="s">
        <v>394</v>
      </c>
      <c r="D32" s="34" t="s">
        <v>481</v>
      </c>
      <c r="E32" s="34" t="s">
        <v>482</v>
      </c>
      <c r="F32" s="34" t="s">
        <v>406</v>
      </c>
      <c r="G32" s="34" t="s">
        <v>139</v>
      </c>
      <c r="H32" s="34" t="s">
        <v>139</v>
      </c>
      <c r="I32" s="38" t="s">
        <v>483</v>
      </c>
      <c r="J32" s="34" t="s">
        <v>300</v>
      </c>
    </row>
    <row r="33" customFormat="false" ht="46.25" hidden="false" customHeight="false" outlineLevel="0" collapsed="false">
      <c r="A33" s="32" t="s">
        <v>301</v>
      </c>
      <c r="B33" s="33" t="s">
        <v>302</v>
      </c>
      <c r="C33" s="34" t="s">
        <v>399</v>
      </c>
      <c r="D33" s="34" t="s">
        <v>484</v>
      </c>
      <c r="E33" s="34" t="s">
        <v>485</v>
      </c>
      <c r="F33" s="34" t="s">
        <v>437</v>
      </c>
      <c r="G33" s="34" t="s">
        <v>139</v>
      </c>
      <c r="H33" s="34" t="s">
        <v>139</v>
      </c>
      <c r="I33" s="38" t="s">
        <v>486</v>
      </c>
      <c r="J33" s="34"/>
    </row>
    <row r="34" customFormat="false" ht="23.85" hidden="false" customHeight="false" outlineLevel="0" collapsed="false">
      <c r="A34" s="32" t="s">
        <v>307</v>
      </c>
      <c r="B34" s="33" t="s">
        <v>308</v>
      </c>
      <c r="C34" s="34" t="s">
        <v>389</v>
      </c>
      <c r="D34" s="34" t="s">
        <v>487</v>
      </c>
      <c r="E34" s="34" t="s">
        <v>488</v>
      </c>
      <c r="F34" s="34" t="s">
        <v>489</v>
      </c>
      <c r="G34" s="34" t="s">
        <v>139</v>
      </c>
      <c r="H34" s="34" t="s">
        <v>139</v>
      </c>
      <c r="I34" s="38" t="s">
        <v>490</v>
      </c>
      <c r="J34" s="34" t="s">
        <v>314</v>
      </c>
    </row>
    <row r="35" customFormat="false" ht="57.45" hidden="false" customHeight="false" outlineLevel="0" collapsed="false">
      <c r="A35" s="32" t="s">
        <v>315</v>
      </c>
      <c r="B35" s="33" t="s">
        <v>316</v>
      </c>
      <c r="C35" s="34" t="s">
        <v>389</v>
      </c>
      <c r="D35" s="34" t="s">
        <v>491</v>
      </c>
      <c r="E35" s="34" t="s">
        <v>492</v>
      </c>
      <c r="F35" s="34" t="s">
        <v>392</v>
      </c>
      <c r="G35" s="34" t="s">
        <v>139</v>
      </c>
      <c r="H35" s="34" t="s">
        <v>139</v>
      </c>
      <c r="I35" s="38" t="s">
        <v>493</v>
      </c>
      <c r="J35" s="34" t="s">
        <v>321</v>
      </c>
    </row>
    <row r="36" customFormat="false" ht="68.65" hidden="false" customHeight="false" outlineLevel="0" collapsed="false">
      <c r="A36" s="32" t="s">
        <v>322</v>
      </c>
      <c r="B36" s="33" t="s">
        <v>323</v>
      </c>
      <c r="C36" s="34" t="s">
        <v>399</v>
      </c>
      <c r="D36" s="34" t="s">
        <v>494</v>
      </c>
      <c r="E36" s="34" t="s">
        <v>495</v>
      </c>
      <c r="F36" s="34" t="s">
        <v>406</v>
      </c>
      <c r="G36" s="34" t="s">
        <v>139</v>
      </c>
      <c r="H36" s="34" t="s">
        <v>139</v>
      </c>
      <c r="I36" s="38" t="s">
        <v>496</v>
      </c>
      <c r="J36" s="34"/>
    </row>
    <row r="37" customFormat="false" ht="46.25" hidden="false" customHeight="false" outlineLevel="0" collapsed="false">
      <c r="A37" s="32" t="s">
        <v>328</v>
      </c>
      <c r="B37" s="33" t="s">
        <v>329</v>
      </c>
      <c r="C37" s="34" t="s">
        <v>414</v>
      </c>
      <c r="D37" s="34" t="s">
        <v>497</v>
      </c>
      <c r="E37" s="34" t="s">
        <v>498</v>
      </c>
      <c r="F37" s="34" t="s">
        <v>499</v>
      </c>
      <c r="G37" s="34" t="s">
        <v>139</v>
      </c>
      <c r="H37" s="34" t="s">
        <v>139</v>
      </c>
      <c r="I37" s="38" t="s">
        <v>500</v>
      </c>
      <c r="J37" s="34" t="s">
        <v>334</v>
      </c>
    </row>
    <row r="38" customFormat="false" ht="23.85" hidden="false" customHeight="false" outlineLevel="0" collapsed="false">
      <c r="A38" s="32" t="s">
        <v>335</v>
      </c>
      <c r="B38" s="33" t="s">
        <v>336</v>
      </c>
      <c r="C38" s="34" t="s">
        <v>389</v>
      </c>
      <c r="D38" s="34" t="s">
        <v>501</v>
      </c>
      <c r="E38" s="34" t="s">
        <v>502</v>
      </c>
      <c r="F38" s="34" t="s">
        <v>392</v>
      </c>
      <c r="G38" s="34" t="s">
        <v>139</v>
      </c>
      <c r="H38" s="34" t="s">
        <v>139</v>
      </c>
      <c r="I38" s="38" t="s">
        <v>503</v>
      </c>
      <c r="J38" s="34" t="s">
        <v>342</v>
      </c>
    </row>
    <row r="39" customFormat="false" ht="23.85" hidden="false" customHeight="false" outlineLevel="0" collapsed="false">
      <c r="A39" s="32" t="s">
        <v>343</v>
      </c>
      <c r="B39" s="33" t="s">
        <v>344</v>
      </c>
      <c r="C39" s="34" t="s">
        <v>389</v>
      </c>
      <c r="D39" s="34" t="s">
        <v>504</v>
      </c>
      <c r="E39" s="34" t="s">
        <v>505</v>
      </c>
      <c r="F39" s="34" t="s">
        <v>392</v>
      </c>
      <c r="G39" s="34" t="s">
        <v>139</v>
      </c>
      <c r="H39" s="34" t="s">
        <v>139</v>
      </c>
      <c r="I39" s="38" t="s">
        <v>506</v>
      </c>
      <c r="J39" s="34" t="s">
        <v>348</v>
      </c>
    </row>
    <row r="40" customFormat="false" ht="46.25" hidden="false" customHeight="false" outlineLevel="0" collapsed="false">
      <c r="A40" s="32" t="s">
        <v>349</v>
      </c>
      <c r="B40" s="33" t="s">
        <v>350</v>
      </c>
      <c r="C40" s="34" t="s">
        <v>389</v>
      </c>
      <c r="D40" s="34" t="s">
        <v>507</v>
      </c>
      <c r="E40" s="34" t="s">
        <v>508</v>
      </c>
      <c r="F40" s="34" t="s">
        <v>417</v>
      </c>
      <c r="G40" s="34" t="s">
        <v>139</v>
      </c>
      <c r="H40" s="34" t="s">
        <v>139</v>
      </c>
      <c r="I40" s="38" t="s">
        <v>509</v>
      </c>
      <c r="J40" s="34" t="s">
        <v>348</v>
      </c>
    </row>
    <row r="41" customFormat="false" ht="35.05" hidden="false" customHeight="false" outlineLevel="0" collapsed="false">
      <c r="A41" s="32" t="s">
        <v>354</v>
      </c>
      <c r="B41" s="33" t="s">
        <v>355</v>
      </c>
      <c r="C41" s="34" t="s">
        <v>389</v>
      </c>
      <c r="D41" s="34" t="s">
        <v>510</v>
      </c>
      <c r="E41" s="34" t="s">
        <v>511</v>
      </c>
      <c r="F41" s="34" t="s">
        <v>392</v>
      </c>
      <c r="G41" s="34" t="s">
        <v>139</v>
      </c>
      <c r="H41" s="34" t="s">
        <v>139</v>
      </c>
      <c r="I41" s="38" t="s">
        <v>512</v>
      </c>
      <c r="J41" s="34" t="s">
        <v>359</v>
      </c>
    </row>
    <row r="42" customFormat="false" ht="46.25" hidden="false" customHeight="false" outlineLevel="0" collapsed="false">
      <c r="A42" s="32" t="s">
        <v>360</v>
      </c>
      <c r="B42" s="33" t="s">
        <v>361</v>
      </c>
      <c r="C42" s="34" t="s">
        <v>394</v>
      </c>
      <c r="D42" s="34" t="s">
        <v>513</v>
      </c>
      <c r="E42" s="34" t="s">
        <v>514</v>
      </c>
      <c r="F42" s="34" t="s">
        <v>406</v>
      </c>
      <c r="G42" s="34" t="s">
        <v>139</v>
      </c>
      <c r="H42" s="34" t="s">
        <v>139</v>
      </c>
      <c r="I42" s="38" t="s">
        <v>515</v>
      </c>
      <c r="J42" s="34" t="s">
        <v>366</v>
      </c>
    </row>
    <row r="43" customFormat="false" ht="57.45" hidden="false" customHeight="false" outlineLevel="0" collapsed="false">
      <c r="A43" s="32" t="s">
        <v>367</v>
      </c>
      <c r="B43" s="33" t="s">
        <v>368</v>
      </c>
      <c r="C43" s="34" t="s">
        <v>399</v>
      </c>
      <c r="D43" s="34" t="s">
        <v>516</v>
      </c>
      <c r="E43" s="34" t="s">
        <v>517</v>
      </c>
      <c r="F43" s="34" t="s">
        <v>518</v>
      </c>
      <c r="G43" s="34" t="s">
        <v>139</v>
      </c>
      <c r="H43" s="34" t="s">
        <v>139</v>
      </c>
      <c r="I43" s="38" t="s">
        <v>519</v>
      </c>
      <c r="J43" s="34" t="s">
        <v>314</v>
      </c>
    </row>
    <row r="44" customFormat="false" ht="46.25" hidden="false" customHeight="false" outlineLevel="0" collapsed="false">
      <c r="A44" s="32" t="s">
        <v>373</v>
      </c>
      <c r="B44" s="33" t="s">
        <v>374</v>
      </c>
      <c r="C44" s="34" t="s">
        <v>389</v>
      </c>
      <c r="D44" s="34" t="s">
        <v>520</v>
      </c>
      <c r="E44" s="34" t="s">
        <v>521</v>
      </c>
      <c r="F44" s="34" t="s">
        <v>392</v>
      </c>
      <c r="G44" s="34" t="s">
        <v>139</v>
      </c>
      <c r="H44" s="34" t="s">
        <v>139</v>
      </c>
      <c r="I44" s="38" t="s">
        <v>522</v>
      </c>
      <c r="J44" s="34" t="s">
        <v>378</v>
      </c>
    </row>
  </sheetData>
  <dataValidations count="2">
    <dataValidation allowBlank="true" errorStyle="stop" operator="between" showDropDown="false" showErrorMessage="false" showInputMessage="false" sqref="C5:C25" type="list">
      <formula1>"Technological,Organisational,Environmental,Socio-technical Context"</formula1>
      <formula2>0</formula2>
    </dataValidation>
    <dataValidation allowBlank="true" errorStyle="stop" operator="between" showDropDown="false" showErrorMessage="false" showInputMessage="false" sqref="G5:H25" type="list">
      <formula1>"Yes,No,Not Discussed"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0"/>
  </cols>
  <sheetData>
    <row r="1" customFormat="false" ht="16.15" hidden="false" customHeight="false" outlineLevel="0" collapsed="false">
      <c r="A1" s="39" t="s">
        <v>523</v>
      </c>
    </row>
    <row r="3" customFormat="false" ht="15" hidden="false" customHeight="false" outlineLevel="0" collapsed="false">
      <c r="A3" s="40" t="s">
        <v>524</v>
      </c>
      <c r="B3" s="40" t="s">
        <v>525</v>
      </c>
      <c r="C3" s="40" t="s">
        <v>526</v>
      </c>
    </row>
    <row r="4" customFormat="false" ht="15" hidden="false" customHeight="false" outlineLevel="0" collapsed="false">
      <c r="A4" s="0" t="n">
        <v>2014</v>
      </c>
      <c r="B4" s="0" t="n">
        <f aca="false">COUNTIF('Article Screening &amp; MMAT'!N$5:N$44,2014)</f>
        <v>1</v>
      </c>
      <c r="C4" s="41" t="n">
        <f aca="false">B4/40</f>
        <v>0.025</v>
      </c>
    </row>
    <row r="5" customFormat="false" ht="15" hidden="false" customHeight="false" outlineLevel="0" collapsed="false">
      <c r="A5" s="0" t="n">
        <v>2017</v>
      </c>
      <c r="B5" s="0" t="n">
        <f aca="false">COUNTIF('Article Screening &amp; MMAT'!N$5:N$44,2017)</f>
        <v>1</v>
      </c>
      <c r="C5" s="41" t="n">
        <f aca="false">B5/40</f>
        <v>0.025</v>
      </c>
    </row>
    <row r="6" customFormat="false" ht="15" hidden="false" customHeight="false" outlineLevel="0" collapsed="false">
      <c r="A6" s="0" t="n">
        <v>2018</v>
      </c>
      <c r="B6" s="0" t="n">
        <f aca="false">COUNTIF('Article Screening &amp; MMAT'!N$5:N$44,2018)</f>
        <v>2</v>
      </c>
      <c r="C6" s="41" t="n">
        <f aca="false">B6/40</f>
        <v>0.05</v>
      </c>
    </row>
    <row r="7" customFormat="false" ht="15" hidden="false" customHeight="false" outlineLevel="0" collapsed="false">
      <c r="A7" s="0" t="n">
        <v>2020</v>
      </c>
      <c r="B7" s="0" t="n">
        <f aca="false">COUNTIF('Article Screening &amp; MMAT'!N$5:N$44,2020)</f>
        <v>5</v>
      </c>
      <c r="C7" s="41" t="n">
        <f aca="false">B7/40</f>
        <v>0.125</v>
      </c>
    </row>
    <row r="8" customFormat="false" ht="15" hidden="false" customHeight="false" outlineLevel="0" collapsed="false">
      <c r="A8" s="0" t="n">
        <v>2021</v>
      </c>
      <c r="B8" s="0" t="n">
        <f aca="false">COUNTIF('Article Screening &amp; MMAT'!N$5:N$44,2021)</f>
        <v>7</v>
      </c>
      <c r="C8" s="41" t="n">
        <f aca="false">B8/40</f>
        <v>0.175</v>
      </c>
    </row>
    <row r="9" customFormat="false" ht="15" hidden="false" customHeight="false" outlineLevel="0" collapsed="false">
      <c r="A9" s="0" t="n">
        <v>2022</v>
      </c>
      <c r="B9" s="0" t="n">
        <f aca="false">COUNTIF('Article Screening &amp; MMAT'!N$5:N$44,2022)</f>
        <v>4</v>
      </c>
      <c r="C9" s="41" t="n">
        <f aca="false">B9/40</f>
        <v>0.1</v>
      </c>
    </row>
    <row r="10" customFormat="false" ht="15" hidden="false" customHeight="false" outlineLevel="0" collapsed="false">
      <c r="A10" s="0" t="n">
        <v>2023</v>
      </c>
      <c r="B10" s="0" t="n">
        <f aca="false">COUNTIF('Article Screening &amp; MMAT'!N$5:N$44,2023)</f>
        <v>4</v>
      </c>
      <c r="C10" s="41" t="n">
        <f aca="false">B10/40</f>
        <v>0.1</v>
      </c>
    </row>
    <row r="11" customFormat="false" ht="15" hidden="false" customHeight="false" outlineLevel="0" collapsed="false">
      <c r="A11" s="0" t="n">
        <v>2024</v>
      </c>
      <c r="B11" s="0" t="n">
        <f aca="false">COUNTIF('Article Screening &amp; MMAT'!N$5:N$44,2024)</f>
        <v>8</v>
      </c>
      <c r="C11" s="41" t="n">
        <f aca="false">B11/40</f>
        <v>0.2</v>
      </c>
    </row>
    <row r="12" customFormat="false" ht="15" hidden="false" customHeight="false" outlineLevel="0" collapsed="false">
      <c r="A12" s="0" t="n">
        <v>2025</v>
      </c>
      <c r="B12" s="0" t="n">
        <f aca="false">COUNTIF('Article Screening &amp; MMAT'!N$5:N$44,2025)</f>
        <v>5</v>
      </c>
      <c r="C12" s="41" t="n">
        <f aca="false">B12/40</f>
        <v>0.125</v>
      </c>
    </row>
    <row r="13" customFormat="false" ht="15" hidden="false" customHeight="false" outlineLevel="0" collapsed="false">
      <c r="A13" s="0" t="n">
        <v>2026</v>
      </c>
      <c r="B13" s="0" t="n">
        <f aca="false">COUNTIF('Article Screening &amp; MMAT'!N$5:N$44,2026)</f>
        <v>3</v>
      </c>
      <c r="C13" s="41" t="n">
        <f aca="false">B13/40</f>
        <v>0.075</v>
      </c>
    </row>
    <row r="14" customFormat="false" ht="15" hidden="false" customHeight="false" outlineLevel="0" collapsed="false">
      <c r="A14" s="30" t="s">
        <v>527</v>
      </c>
      <c r="B14" s="30" t="n">
        <f aca="false">SUM(B4:B13)</f>
        <v>40</v>
      </c>
    </row>
    <row r="16" customFormat="false" ht="15" hidden="false" customHeight="false" outlineLevel="0" collapsed="false">
      <c r="A16" s="40" t="s">
        <v>528</v>
      </c>
      <c r="B16" s="40" t="s">
        <v>525</v>
      </c>
      <c r="C16" s="40" t="s">
        <v>526</v>
      </c>
    </row>
    <row r="17" customFormat="false" ht="15" hidden="false" customHeight="false" outlineLevel="0" collapsed="false">
      <c r="A17" s="0" t="s">
        <v>71</v>
      </c>
      <c r="B17" s="0" t="n">
        <f aca="false">COUNTIF('Article Screening &amp; MMAT'!D$5:D$44,"ACM Digital Library")</f>
        <v>2</v>
      </c>
      <c r="C17" s="41" t="n">
        <f aca="false">B17/40</f>
        <v>0.05</v>
      </c>
    </row>
    <row r="18" customFormat="false" ht="15" hidden="false" customHeight="false" outlineLevel="0" collapsed="false">
      <c r="A18" s="0" t="s">
        <v>338</v>
      </c>
      <c r="B18" s="0" t="n">
        <f aca="false">COUNTIF('Article Screening &amp; MMAT'!D$5:D$44,"Frontiers")</f>
        <v>1</v>
      </c>
      <c r="C18" s="41" t="n">
        <f aca="false">B18/40</f>
        <v>0.025</v>
      </c>
    </row>
    <row r="19" customFormat="false" ht="15" hidden="false" customHeight="false" outlineLevel="0" collapsed="false">
      <c r="A19" s="0" t="s">
        <v>77</v>
      </c>
      <c r="B19" s="0" t="n">
        <f aca="false">COUNTIF('Article Screening &amp; MMAT'!D$5:D$44,"Google Scholar")</f>
        <v>7</v>
      </c>
      <c r="C19" s="41" t="n">
        <f aca="false">B19/40</f>
        <v>0.175</v>
      </c>
    </row>
    <row r="20" customFormat="false" ht="15" hidden="false" customHeight="false" outlineLevel="0" collapsed="false">
      <c r="A20" s="0" t="s">
        <v>69</v>
      </c>
      <c r="B20" s="0" t="n">
        <f aca="false">COUNTIF('Article Screening &amp; MMAT'!D$5:D$44,"IEEE Xplore")</f>
        <v>2</v>
      </c>
      <c r="C20" s="41" t="n">
        <f aca="false">B20/40</f>
        <v>0.05</v>
      </c>
    </row>
    <row r="21" customFormat="false" ht="15" hidden="false" customHeight="false" outlineLevel="0" collapsed="false">
      <c r="A21" s="0" t="s">
        <v>79</v>
      </c>
      <c r="B21" s="0" t="n">
        <f aca="false">COUNTIF('Article Screening &amp; MMAT'!D$5:D$44,"MDPI")</f>
        <v>2</v>
      </c>
      <c r="C21" s="41" t="n">
        <f aca="false">B21/40</f>
        <v>0.05</v>
      </c>
    </row>
    <row r="22" customFormat="false" ht="15" hidden="false" customHeight="false" outlineLevel="0" collapsed="false">
      <c r="A22" s="0" t="s">
        <v>131</v>
      </c>
      <c r="B22" s="0" t="n">
        <f aca="false">COUNTIF('Article Screening &amp; MMAT'!D$5:D$44,"Open-access journal site")</f>
        <v>11</v>
      </c>
      <c r="C22" s="41" t="n">
        <f aca="false">B22/40</f>
        <v>0.275</v>
      </c>
    </row>
    <row r="23" customFormat="false" ht="15" hidden="false" customHeight="false" outlineLevel="0" collapsed="false">
      <c r="A23" s="0" t="s">
        <v>272</v>
      </c>
      <c r="B23" s="0" t="n">
        <f aca="false">COUNTIF('Article Screening &amp; MMAT'!D$5:D$44,"PubMed Central")</f>
        <v>1</v>
      </c>
      <c r="C23" s="41" t="n">
        <f aca="false">B23/40</f>
        <v>0.025</v>
      </c>
    </row>
    <row r="24" customFormat="false" ht="15" hidden="false" customHeight="false" outlineLevel="0" collapsed="false">
      <c r="A24" s="0" t="s">
        <v>259</v>
      </c>
      <c r="B24" s="0" t="n">
        <f aca="false">COUNTIF('Article Screening &amp; MMAT'!D$5:D$44,"ResearchGate")</f>
        <v>3</v>
      </c>
      <c r="C24" s="41" t="n">
        <f aca="false">B24/40</f>
        <v>0.075</v>
      </c>
    </row>
    <row r="25" customFormat="false" ht="15" hidden="false" customHeight="false" outlineLevel="0" collapsed="false">
      <c r="A25" s="0" t="s">
        <v>208</v>
      </c>
      <c r="B25" s="0" t="n">
        <f aca="false">COUNTIF('Article Screening &amp; MMAT'!D$5:D$44,"SciELO")</f>
        <v>1</v>
      </c>
      <c r="C25" s="41" t="n">
        <f aca="false">B25/40</f>
        <v>0.025</v>
      </c>
    </row>
    <row r="26" customFormat="false" ht="15" hidden="false" customHeight="false" outlineLevel="0" collapsed="false">
      <c r="A26" s="0" t="s">
        <v>73</v>
      </c>
      <c r="B26" s="0" t="n">
        <f aca="false">COUNTIF('Article Screening &amp; MMAT'!D$5:D$44,"ScienceDirect")</f>
        <v>4</v>
      </c>
      <c r="C26" s="41" t="n">
        <f aca="false">B26/40</f>
        <v>0.1</v>
      </c>
    </row>
    <row r="27" customFormat="false" ht="15" hidden="false" customHeight="false" outlineLevel="0" collapsed="false">
      <c r="A27" s="0" t="s">
        <v>63</v>
      </c>
      <c r="B27" s="0" t="n">
        <f aca="false">COUNTIF('Article Screening &amp; MMAT'!D$5:D$44,"Scopus")</f>
        <v>3</v>
      </c>
      <c r="C27" s="41" t="n">
        <f aca="false">B27/40</f>
        <v>0.075</v>
      </c>
    </row>
    <row r="28" customFormat="false" ht="15" hidden="false" customHeight="false" outlineLevel="0" collapsed="false">
      <c r="A28" s="0" t="s">
        <v>75</v>
      </c>
      <c r="B28" s="0" t="n">
        <f aca="false">COUNTIF('Article Screening &amp; MMAT'!D$5:D$44,"SpringerLink")</f>
        <v>1</v>
      </c>
      <c r="C28" s="41" t="n">
        <f aca="false">B28/40</f>
        <v>0.025</v>
      </c>
    </row>
    <row r="29" customFormat="false" ht="15" hidden="false" customHeight="false" outlineLevel="0" collapsed="false">
      <c r="A29" s="0" t="s">
        <v>228</v>
      </c>
      <c r="B29" s="0" t="n">
        <f aca="false">COUNTIF('Article Screening &amp; MMAT'!D$5:D$44,"Wiley Online Library")</f>
        <v>2</v>
      </c>
      <c r="C29" s="41" t="n">
        <f aca="false">B29/40</f>
        <v>0.05</v>
      </c>
    </row>
    <row r="30" customFormat="false" ht="15" hidden="false" customHeight="false" outlineLevel="0" collapsed="false">
      <c r="A30" s="30" t="s">
        <v>527</v>
      </c>
      <c r="B30" s="30" t="n">
        <f aca="false">SUM(B17:B29)</f>
        <v>40</v>
      </c>
    </row>
    <row r="32" customFormat="false" ht="15" hidden="false" customHeight="false" outlineLevel="0" collapsed="false">
      <c r="A32" s="40" t="s">
        <v>529</v>
      </c>
      <c r="B32" s="40" t="s">
        <v>525</v>
      </c>
      <c r="C32" s="40" t="s">
        <v>526</v>
      </c>
    </row>
    <row r="33" customFormat="false" ht="15" hidden="false" customHeight="false" outlineLevel="0" collapsed="false">
      <c r="A33" s="0" t="s">
        <v>142</v>
      </c>
      <c r="B33" s="0" t="n">
        <f aca="false">COUNTIF('Article Screening &amp; MMAT'!Q$5:Q$44,"Conference")</f>
        <v>5</v>
      </c>
      <c r="C33" s="41" t="n">
        <f aca="false">B33/40</f>
        <v>0.125</v>
      </c>
    </row>
    <row r="34" customFormat="false" ht="15" hidden="false" customHeight="false" outlineLevel="0" collapsed="false">
      <c r="A34" s="0" t="s">
        <v>125</v>
      </c>
      <c r="B34" s="0" t="n">
        <f aca="false">COUNTIF('Article Screening &amp; MMAT'!Q$5:Q$44,"Journal")</f>
        <v>35</v>
      </c>
      <c r="C34" s="41" t="n">
        <f aca="false">B34/40</f>
        <v>0.875</v>
      </c>
    </row>
    <row r="35" customFormat="false" ht="15" hidden="false" customHeight="false" outlineLevel="0" collapsed="false">
      <c r="A35" s="30" t="s">
        <v>527</v>
      </c>
      <c r="B35" s="30" t="n">
        <f aca="false">SUM(B33:B34)</f>
        <v>40</v>
      </c>
    </row>
    <row r="37" customFormat="false" ht="15" hidden="false" customHeight="false" outlineLevel="0" collapsed="false">
      <c r="A37" s="40" t="s">
        <v>530</v>
      </c>
      <c r="B37" s="40" t="s">
        <v>525</v>
      </c>
      <c r="C37" s="40" t="s">
        <v>526</v>
      </c>
    </row>
    <row r="38" customFormat="false" ht="15" hidden="false" customHeight="false" outlineLevel="0" collapsed="false">
      <c r="A38" s="0" t="s">
        <v>168</v>
      </c>
      <c r="B38" s="0" t="n">
        <f aca="false">COUNTIF('Article Screening &amp; MMAT'!O$5:O$44,"Africa")</f>
        <v>1</v>
      </c>
      <c r="C38" s="41" t="n">
        <f aca="false">B38/40</f>
        <v>0.025</v>
      </c>
    </row>
    <row r="39" customFormat="false" ht="15" hidden="false" customHeight="false" outlineLevel="0" collapsed="false">
      <c r="A39" s="0" t="s">
        <v>339</v>
      </c>
      <c r="B39" s="0" t="n">
        <f aca="false">COUNTIF('Article Screening &amp; MMAT'!O$5:O$44,"Bahrain")</f>
        <v>1</v>
      </c>
      <c r="C39" s="41" t="n">
        <f aca="false">B39/40</f>
        <v>0.025</v>
      </c>
    </row>
    <row r="40" customFormat="false" ht="15" hidden="false" customHeight="false" outlineLevel="0" collapsed="false">
      <c r="A40" s="0" t="s">
        <v>190</v>
      </c>
      <c r="B40" s="0" t="n">
        <f aca="false">COUNTIF('Article Screening &amp; MMAT'!O$5:O$44,"Bangladesh")</f>
        <v>2</v>
      </c>
      <c r="C40" s="41" t="n">
        <f aca="false">B40/40</f>
        <v>0.05</v>
      </c>
    </row>
    <row r="41" customFormat="false" ht="15" hidden="false" customHeight="false" outlineLevel="0" collapsed="false">
      <c r="A41" s="0" t="s">
        <v>331</v>
      </c>
      <c r="B41" s="0" t="n">
        <f aca="false">COUNTIF('Article Screening &amp; MMAT'!O$5:O$44,"Ghana")</f>
        <v>1</v>
      </c>
      <c r="C41" s="41" t="n">
        <f aca="false">B41/40</f>
        <v>0.025</v>
      </c>
    </row>
    <row r="42" customFormat="false" ht="15" hidden="false" customHeight="false" outlineLevel="0" collapsed="false">
      <c r="A42" s="0" t="s">
        <v>155</v>
      </c>
      <c r="B42" s="0" t="n">
        <f aca="false">COUNTIF('Article Screening &amp; MMAT'!O$5:O$44,"Global review")</f>
        <v>6</v>
      </c>
      <c r="C42" s="41" t="n">
        <f aca="false">B42/40</f>
        <v>0.15</v>
      </c>
    </row>
    <row r="43" customFormat="false" ht="15" hidden="false" customHeight="false" outlineLevel="0" collapsed="false">
      <c r="A43" s="0" t="s">
        <v>123</v>
      </c>
      <c r="B43" s="0" t="n">
        <f aca="false">COUNTIF('Article Screening &amp; MMAT'!O$5:O$44,"Indonesia")</f>
        <v>4</v>
      </c>
      <c r="C43" s="41" t="n">
        <f aca="false">B43/40</f>
        <v>0.1</v>
      </c>
    </row>
    <row r="44" customFormat="false" ht="15" hidden="false" customHeight="false" outlineLevel="0" collapsed="false">
      <c r="A44" s="0" t="s">
        <v>140</v>
      </c>
      <c r="B44" s="0" t="n">
        <f aca="false">COUNTIF('Article Screening &amp; MMAT'!O$5:O$44,"Jordan")</f>
        <v>2</v>
      </c>
      <c r="C44" s="41" t="n">
        <f aca="false">B44/40</f>
        <v>0.05</v>
      </c>
    </row>
    <row r="45" customFormat="false" ht="15" hidden="false" customHeight="false" outlineLevel="0" collapsed="false">
      <c r="A45" s="0" t="s">
        <v>197</v>
      </c>
      <c r="B45" s="0" t="n">
        <f aca="false">COUNTIF('Article Screening &amp; MMAT'!O$5:O$44,"Lebanon")</f>
        <v>1</v>
      </c>
      <c r="C45" s="41" t="n">
        <f aca="false">B45/40</f>
        <v>0.025</v>
      </c>
    </row>
    <row r="46" customFormat="false" ht="15" hidden="false" customHeight="false" outlineLevel="0" collapsed="false">
      <c r="A46" s="0" t="s">
        <v>132</v>
      </c>
      <c r="B46" s="0" t="n">
        <f aca="false">COUNTIF('Article Screening &amp; MMAT'!O$5:O$44,"Malaysia")</f>
        <v>3</v>
      </c>
      <c r="C46" s="41" t="n">
        <f aca="false">B46/40</f>
        <v>0.075</v>
      </c>
    </row>
    <row r="47" customFormat="false" ht="15" hidden="false" customHeight="false" outlineLevel="0" collapsed="false">
      <c r="A47" s="0" t="s">
        <v>325</v>
      </c>
      <c r="B47" s="0" t="n">
        <f aca="false">COUNTIF('Article Screening &amp; MMAT'!O$5:O$44,"Montenegro")</f>
        <v>1</v>
      </c>
      <c r="C47" s="41" t="n">
        <f aca="false">B47/40</f>
        <v>0.025</v>
      </c>
    </row>
    <row r="48" customFormat="false" ht="15" hidden="false" customHeight="false" outlineLevel="0" collapsed="false">
      <c r="A48" s="0" t="s">
        <v>370</v>
      </c>
      <c r="B48" s="0" t="n">
        <f aca="false">COUNTIF('Article Screening &amp; MMAT'!O$5:O$44,"Nepal")</f>
        <v>1</v>
      </c>
      <c r="C48" s="41" t="n">
        <f aca="false">B48/40</f>
        <v>0.025</v>
      </c>
    </row>
    <row r="49" customFormat="false" ht="15" hidden="false" customHeight="false" outlineLevel="0" collapsed="false">
      <c r="A49" s="0" t="s">
        <v>229</v>
      </c>
      <c r="B49" s="0" t="n">
        <f aca="false">COUNTIF('Article Screening &amp; MMAT'!O$5:O$44,"Nigeria")</f>
        <v>2</v>
      </c>
      <c r="C49" s="41" t="n">
        <f aca="false">B49/40</f>
        <v>0.05</v>
      </c>
    </row>
    <row r="50" customFormat="false" ht="15" hidden="false" customHeight="false" outlineLevel="0" collapsed="false">
      <c r="A50" s="0" t="s">
        <v>304</v>
      </c>
      <c r="B50" s="0" t="n">
        <f aca="false">COUNTIF('Article Screening &amp; MMAT'!O$5:O$44,"Pakistan")</f>
        <v>1</v>
      </c>
      <c r="C50" s="41" t="n">
        <f aca="false">B50/40</f>
        <v>0.025</v>
      </c>
    </row>
    <row r="51" customFormat="false" ht="15" hidden="false" customHeight="false" outlineLevel="0" collapsed="false">
      <c r="A51" s="0" t="s">
        <v>209</v>
      </c>
      <c r="B51" s="0" t="n">
        <f aca="false">COUNTIF('Article Screening &amp; MMAT'!O$5:O$44,"Portugal")</f>
        <v>1</v>
      </c>
      <c r="C51" s="41" t="n">
        <f aca="false">B51/40</f>
        <v>0.025</v>
      </c>
    </row>
    <row r="52" customFormat="false" ht="15" hidden="false" customHeight="false" outlineLevel="0" collapsed="false">
      <c r="A52" s="0" t="s">
        <v>284</v>
      </c>
      <c r="B52" s="0" t="n">
        <f aca="false">COUNTIF('Article Screening &amp; MMAT'!O$5:O$44,"Saudi Arabia")</f>
        <v>2</v>
      </c>
      <c r="C52" s="41" t="n">
        <f aca="false">B52/40</f>
        <v>0.05</v>
      </c>
    </row>
    <row r="53" customFormat="false" ht="15" hidden="false" customHeight="false" outlineLevel="0" collapsed="false">
      <c r="A53" s="0" t="s">
        <v>318</v>
      </c>
      <c r="B53" s="0" t="n">
        <f aca="false">COUNTIF('Article Screening &amp; MMAT'!O$5:O$44,"Somalia")</f>
        <v>1</v>
      </c>
      <c r="C53" s="41" t="n">
        <f aca="false">B53/40</f>
        <v>0.025</v>
      </c>
    </row>
    <row r="54" customFormat="false" ht="15" hidden="false" customHeight="false" outlineLevel="0" collapsed="false">
      <c r="A54" s="0" t="s">
        <v>148</v>
      </c>
      <c r="B54" s="0" t="n">
        <f aca="false">COUNTIF('Article Screening &amp; MMAT'!O$5:O$44,"South Africa")</f>
        <v>6</v>
      </c>
      <c r="C54" s="41" t="n">
        <f aca="false">B54/40</f>
        <v>0.15</v>
      </c>
    </row>
    <row r="55" customFormat="false" ht="15" hidden="false" customHeight="false" outlineLevel="0" collapsed="false">
      <c r="A55" s="0" t="s">
        <v>222</v>
      </c>
      <c r="B55" s="0" t="n">
        <f aca="false">COUNTIF('Article Screening &amp; MMAT'!O$5:O$44,"Sri Lanka")</f>
        <v>1</v>
      </c>
      <c r="C55" s="41" t="n">
        <f aca="false">B55/40</f>
        <v>0.025</v>
      </c>
    </row>
    <row r="56" customFormat="false" ht="15" hidden="false" customHeight="false" outlineLevel="0" collapsed="false">
      <c r="A56" s="0" t="s">
        <v>311</v>
      </c>
      <c r="B56" s="0" t="n">
        <f aca="false">COUNTIF('Article Screening &amp; MMAT'!O$5:O$44,"Thailand")</f>
        <v>1</v>
      </c>
      <c r="C56" s="41" t="n">
        <f aca="false">B56/40</f>
        <v>0.025</v>
      </c>
    </row>
    <row r="57" customFormat="false" ht="15" hidden="false" customHeight="false" outlineLevel="0" collapsed="false">
      <c r="A57" s="0" t="s">
        <v>297</v>
      </c>
      <c r="B57" s="0" t="n">
        <f aca="false">COUNTIF('Article Screening &amp; MMAT'!O$5:O$44,"Turkey")</f>
        <v>1</v>
      </c>
      <c r="C57" s="41" t="n">
        <f aca="false">B57/40</f>
        <v>0.025</v>
      </c>
    </row>
    <row r="58" customFormat="false" ht="15" hidden="false" customHeight="false" outlineLevel="0" collapsed="false">
      <c r="A58" s="0" t="s">
        <v>363</v>
      </c>
      <c r="B58" s="0" t="n">
        <f aca="false">COUNTIF('Article Screening &amp; MMAT'!O$5:O$44,"Uganda")</f>
        <v>1</v>
      </c>
      <c r="C58" s="41" t="n">
        <f aca="false">B58/40</f>
        <v>0.025</v>
      </c>
    </row>
    <row r="59" customFormat="false" ht="15" hidden="false" customHeight="false" outlineLevel="0" collapsed="false">
      <c r="A59" s="30" t="s">
        <v>527</v>
      </c>
      <c r="B59" s="30" t="n">
        <f aca="false">SUM(B38:B58)</f>
        <v>40</v>
      </c>
    </row>
    <row r="61" customFormat="false" ht="15" hidden="false" customHeight="false" outlineLevel="0" collapsed="false">
      <c r="A61" s="40" t="s">
        <v>531</v>
      </c>
      <c r="B61" s="40" t="s">
        <v>525</v>
      </c>
      <c r="C61" s="40" t="s">
        <v>526</v>
      </c>
    </row>
    <row r="62" customFormat="false" ht="15" hidden="false" customHeight="false" outlineLevel="0" collapsed="false">
      <c r="A62" s="0" t="s">
        <v>532</v>
      </c>
      <c r="B62" s="0" t="n">
        <f aca="false">COUNTIF('Article Screening &amp; MMAT'!M$5:M$44,"High")</f>
        <v>37</v>
      </c>
      <c r="C62" s="41" t="n">
        <f aca="false">B62/40</f>
        <v>0.925</v>
      </c>
    </row>
    <row r="63" customFormat="false" ht="15" hidden="false" customHeight="false" outlineLevel="0" collapsed="false">
      <c r="A63" s="0" t="s">
        <v>533</v>
      </c>
      <c r="B63" s="0" t="n">
        <f aca="false">COUNTIF('Article Screening &amp; MMAT'!M$5:M$44,"Moderate")</f>
        <v>3</v>
      </c>
      <c r="C63" s="41" t="n">
        <f aca="false">B63/40</f>
        <v>0.075</v>
      </c>
    </row>
    <row r="64" customFormat="false" ht="15" hidden="false" customHeight="false" outlineLevel="0" collapsed="false">
      <c r="A64" s="0" t="s">
        <v>534</v>
      </c>
      <c r="B64" s="0" t="n">
        <f aca="false">COUNTIF('Article Screening &amp; MMAT'!M$5:M$44,"Low")</f>
        <v>0</v>
      </c>
      <c r="C64" s="41" t="n">
        <f aca="false">B64/40</f>
        <v>0</v>
      </c>
    </row>
    <row r="65" customFormat="false" ht="15" hidden="false" customHeight="false" outlineLevel="0" collapsed="false">
      <c r="A65" s="30" t="s">
        <v>527</v>
      </c>
      <c r="B65" s="30" t="n">
        <f aca="false">SUM(B62:B64)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2026-08-25T18:56:23Z</dcterms:created>
  <dc:creator>openpyxl</dc:creator>
  <dc:description/>
  <dc:language>en-US</dc:language>
  <cp:lastModifiedBy>Thabiso Patrick Matsaba</cp:lastModifiedBy>
  <dcterms:modified xsi:type="dcterms:W3CDTF">2026-10-05T21:39:03Z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