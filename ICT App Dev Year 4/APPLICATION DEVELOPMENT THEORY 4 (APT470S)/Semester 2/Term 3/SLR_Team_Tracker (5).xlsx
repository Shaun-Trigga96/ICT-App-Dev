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creening Tracker" sheetId="2" state="visible" r:id="rId4"/>
    <sheet name="Full-Text Eligibility" sheetId="3" state="visible" r:id="rId5"/>
    <sheet name="Data Extraction" sheetId="4" state="visible" r:id="rId6"/>
    <sheet name="Quality Assessment" sheetId="5" state="visible" r:id="rId7"/>
    <sheet name="PRISMA Cou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<sst xmlns="http://schemas.openxmlformats.org/spreadsheetml/2006/main" count="150" uniqueCount="122">
  <si>
    <t xml:space="preserve">AI-Driven Model Engineering SLR — Team Tracker</t>
  </si>
  <si>
    <t xml:space="preserve">APT470S | Term 3 Research Project | Submission: CoB 27 August 2026</t>
  </si>
  <si>
    <t xml:space="preserve">HOW TO USE THIS WORKBOOK (6-person team)</t>
  </si>
  <si>
    <t xml:space="preserve">1. Screening Tracker tab — everyone logs the papers from their assigned database here.</t>
  </si>
  <si>
    <t xml:space="preserve">   Each paper must be screened by 2 people (title/abstract only). Log both reviewers'</t>
  </si>
  <si>
    <t xml:space="preserve">   decisions in the Reviewer 1 / Reviewer 2 columns, then agree a Final Decision.</t>
  </si>
  <si>
    <t xml:space="preserve">2. Full-Text Eligibility tab — for anything marked Include (or Maybe) after screening,</t>
  </si>
  <si>
    <t xml:space="preserve">   do a full-text read and log Include/Exclude + a reason here. Reasons are required</t>
  </si>
  <si>
    <t xml:space="preserve">   for every exclusion (this feeds your PRISMA diagram and Criterion 4 on the rubric).</t>
  </si>
  <si>
    <t xml:space="preserve">3. Data Extraction tab — one row per FINAL included paper. Split these evenly across</t>
  </si>
  <si>
    <t xml:space="preserve">   the team once you know the total. Pilot-test on 2 shared papers first so everyone</t>
  </si>
  <si>
    <t xml:space="preserve">   codes fields the same way, before splitting the rest.</t>
  </si>
  <si>
    <t xml:space="preserve">4. Quality Assessment tab — score each included paper against the 18-item checklist</t>
  </si>
  <si>
    <t xml:space="preserve">   from the brief (0 = No, 0.5 = Partial, 1 = Yes). Pair up and cross-check each</t>
  </si>
  <si>
    <t xml:space="preserve">   other's scoring — this maps to Rubric Criterion 5 (10 marks).</t>
  </si>
  <si>
    <t xml:space="preserve">5. PRISMA Counts tab — auto-calculates from the Screening and Full-Text tabs. Use the</t>
  </si>
  <si>
    <t xml:space="preserve">   numbers here to draw your PRISMA flow diagram.</t>
  </si>
  <si>
    <t xml:space="preserve">SUGGESTED DATABASE ASSIGNMENTS (edit names below):</t>
  </si>
  <si>
    <t xml:space="preserve">Note: Person 7 has no database of their own for week 1 — have them help two other</t>
  </si>
  <si>
    <t xml:space="preserve">people clear their search results faster, then switch fully to snowballing once the</t>
  </si>
  <si>
    <t xml:space="preserve">team has a first draft Include list (usually partway through week 1-2).</t>
  </si>
  <si>
    <t xml:space="preserve">Person</t>
  </si>
  <si>
    <t xml:space="preserve">Database / Role</t>
  </si>
  <si>
    <t xml:space="preserve">Status</t>
  </si>
  <si>
    <t xml:space="preserve">Person 1</t>
  </si>
  <si>
    <t xml:space="preserve">IEEE Xplore</t>
  </si>
  <si>
    <t xml:space="preserve">Not started</t>
  </si>
  <si>
    <t xml:space="preserve">Person 2</t>
  </si>
  <si>
    <t xml:space="preserve">ACM Digital Library</t>
  </si>
  <si>
    <t xml:space="preserve">Person 3</t>
  </si>
  <si>
    <t xml:space="preserve">ScienceDirect</t>
  </si>
  <si>
    <t xml:space="preserve">Person 4</t>
  </si>
  <si>
    <t xml:space="preserve">SpringerLink</t>
  </si>
  <si>
    <t xml:space="preserve">Person 5</t>
  </si>
  <si>
    <t xml:space="preserve">Scopus</t>
  </si>
  <si>
    <t xml:space="preserve">Person 6</t>
  </si>
  <si>
    <t xml:space="preserve">Web of Science</t>
  </si>
  <si>
    <t xml:space="preserve">Person 7</t>
  </si>
  <si>
    <t xml:space="preserve">Google Scholar snowballing (backward + forward citation search on included papers) + floating support for whichever database falls behind</t>
  </si>
  <si>
    <t xml:space="preserve">#</t>
  </si>
  <si>
    <t xml:space="preserve">Database</t>
  </si>
  <si>
    <t xml:space="preserve">Reviewer(s)</t>
  </si>
  <si>
    <t xml:space="preserve">Title</t>
  </si>
  <si>
    <t xml:space="preserve">Authors</t>
  </si>
  <si>
    <t xml:space="preserve">Year</t>
  </si>
  <si>
    <t xml:space="preserve">Venue</t>
  </si>
  <si>
    <t xml:space="preserve">DOI / Link</t>
  </si>
  <si>
    <t xml:space="preserve">Abstract (paste)</t>
  </si>
  <si>
    <t xml:space="preserve">Reviewer 1 Decision</t>
  </si>
  <si>
    <t xml:space="preserve">Reviewer 2 Decision</t>
  </si>
  <si>
    <t xml:space="preserve">Final Decision</t>
  </si>
  <si>
    <t xml:space="preserve">Exclusion Reason (if excluded)</t>
  </si>
  <si>
    <t xml:space="preserve">Person 1 / Person 2</t>
  </si>
  <si>
    <t xml:space="preserve">Example: LLM-based UML class diagram generation from requirements</t>
  </si>
  <si>
    <t xml:space="preserve">Smith, J. et al.</t>
  </si>
  <si>
    <t xml:space="preserve">IEEE Transactions on SE</t>
  </si>
  <si>
    <t xml:space="preserve">10.1109/example</t>
  </si>
  <si>
    <t xml:space="preserve">This paper proposes an approach using GPT-4 to generate UML class diagrams...</t>
  </si>
  <si>
    <t xml:space="preserve">Include</t>
  </si>
  <si>
    <t xml:space="preserve">Reviewer</t>
  </si>
  <si>
    <t xml:space="preserve">Full-Text Decision</t>
  </si>
  <si>
    <t xml:space="preserve">Exclusion Reason</t>
  </si>
  <si>
    <t xml:space="preserve">Notes (why relevant / key contribution)</t>
  </si>
  <si>
    <t xml:space="preserve">Uses GPT-4 + grammar constraints; evaluated on 20 industrial requirement docs.</t>
  </si>
  <si>
    <t xml:space="preserve">Extracted By</t>
  </si>
  <si>
    <t xml:space="preserve">Country/Institution</t>
  </si>
  <si>
    <t xml:space="preserve">Study/Contribution Type</t>
  </si>
  <si>
    <t xml:space="preserve">Application Domain</t>
  </si>
  <si>
    <t xml:space="preserve">System Scale</t>
  </si>
  <si>
    <t xml:space="preserve">AI Technique/Model/Version</t>
  </si>
  <si>
    <t xml:space="preserve">Prompting/Training/Adaptation Method</t>
  </si>
  <si>
    <t xml:space="preserve">Single- or Multi-Agent</t>
  </si>
  <si>
    <t xml:space="preserve">Model-Engineering Stage/Task</t>
  </si>
  <si>
    <t xml:space="preserve">Modelling Language/Metamodel/Diagram Type</t>
  </si>
  <si>
    <t xml:space="preserve">Input Artefact(s)</t>
  </si>
  <si>
    <t xml:space="preserve">Output Artefact(s)</t>
  </si>
  <si>
    <t xml:space="preserve">Dataset/Benchmark</t>
  </si>
  <si>
    <t xml:space="preserve">Baseline/Comparison</t>
  </si>
  <si>
    <t xml:space="preserve">Validation Mechanism</t>
  </si>
  <si>
    <t xml:space="preserve">Human Involvement</t>
  </si>
  <si>
    <t xml:space="preserve">Quality Metrics &amp; Reported Performance</t>
  </si>
  <si>
    <t xml:space="preserve">Computational Cost/Scalability</t>
  </si>
  <si>
    <t xml:space="preserve">Explainability/Uncertainty Treatment</t>
  </si>
  <si>
    <t xml:space="preserve">Standards Conformance/Traceability</t>
  </si>
  <si>
    <t xml:space="preserve">Reproducibility Assets</t>
  </si>
  <si>
    <t xml:space="preserve">Reported Benefits</t>
  </si>
  <si>
    <t xml:space="preserve">Reported Limitations</t>
  </si>
  <si>
    <t xml:space="preserve">Industrial Evidence</t>
  </si>
  <si>
    <t xml:space="preserve">Assigned Maturity Level (1-6)</t>
  </si>
  <si>
    <t xml:space="preserve">Scored By</t>
  </si>
  <si>
    <t xml:space="preserve">Research clarity</t>
  </si>
  <si>
    <t xml:space="preserve">Context</t>
  </si>
  <si>
    <t xml:space="preserve">AI transparency</t>
  </si>
  <si>
    <t xml:space="preserve">Modelling transparency</t>
  </si>
  <si>
    <t xml:space="preserve">Dataset quality</t>
  </si>
  <si>
    <t xml:space="preserve">Baseline</t>
  </si>
  <si>
    <t xml:space="preserve">Syntactic validity</t>
  </si>
  <si>
    <t xml:space="preserve">Semantic fidelity</t>
  </si>
  <si>
    <t xml:space="preserve">Completeness</t>
  </si>
  <si>
    <t xml:space="preserve">Cross-view consistency</t>
  </si>
  <si>
    <t xml:space="preserve">Independent validation</t>
  </si>
  <si>
    <t xml:space="preserve">Human expertise</t>
  </si>
  <si>
    <t xml:space="preserve">Experimental rigour</t>
  </si>
  <si>
    <t xml:space="preserve">Statistical analysis</t>
  </si>
  <si>
    <t xml:space="preserve">Reproducibility</t>
  </si>
  <si>
    <t xml:space="preserve">Practical relevance</t>
  </si>
  <si>
    <t xml:space="preserve">Scalability</t>
  </si>
  <si>
    <t xml:space="preserve">Threats to validity</t>
  </si>
  <si>
    <t xml:space="preserve">Total (/18)</t>
  </si>
  <si>
    <t xml:space="preserve">Notes</t>
  </si>
  <si>
    <t xml:space="preserve">PRISMA Flow — Auto-Calculated Counts</t>
  </si>
  <si>
    <t xml:space="preserve">These update automatically as you fill in the Screening Tracker and Full-Text Eligibility tabs.</t>
  </si>
  <si>
    <t xml:space="preserve">Stage</t>
  </si>
  <si>
    <t xml:space="preserve">Count</t>
  </si>
  <si>
    <t xml:space="preserve">Records identified through database searching</t>
  </si>
  <si>
    <t xml:space="preserve">Records after title/abstract screening (Final Decision = Include or Maybe)</t>
  </si>
  <si>
    <t xml:space="preserve">Records excluded at title/abstract stage</t>
  </si>
  <si>
    <t xml:space="preserve">Full-text articles assessed for eligibility</t>
  </si>
  <si>
    <t xml:space="preserve">Full-text articles excluded (with reasons)</t>
  </si>
  <si>
    <t xml:space="preserve">Studies included in qualitative synthesis (final)</t>
  </si>
  <si>
    <t xml:space="preserve">Records by database:</t>
  </si>
  <si>
    <t xml:space="preserve">Google Scholar (snowball)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</si>
</sst>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b val="true"/>
      <sz val="12"/>
      <color rgb="FF3D85C6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2"/>
      <color rgb="FF1B2A4A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85C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15</v>
      </c>
    </row>
    <row r="23" customFormat="false" ht="15" hidden="false" customHeight="false" outlineLevel="0" collapsed="false">
      <c r="A23" s="3" t="s">
        <v>16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 t="s">
        <v>17</v>
      </c>
    </row>
    <row r="26" customFormat="false" ht="15" hidden="false" customHeight="false" outlineLevel="0" collapsed="false">
      <c r="A26" s="3" t="s">
        <v>18</v>
      </c>
    </row>
    <row r="27" customFormat="false" ht="15" hidden="false" customHeight="false" outlineLevel="0" collapsed="false">
      <c r="A27" s="3" t="s">
        <v>19</v>
      </c>
    </row>
    <row r="28" customFormat="false" ht="15" hidden="false" customHeight="false" outlineLevel="0" collapsed="false">
      <c r="A28" s="3" t="s">
        <v>20</v>
      </c>
    </row>
    <row r="30" customFormat="false" ht="28.35" hidden="false" customHeight="false" outlineLevel="0" collapsed="false">
      <c r="A30" s="4" t="s">
        <v>21</v>
      </c>
      <c r="B30" s="4" t="s">
        <v>22</v>
      </c>
      <c r="C30" s="4" t="s">
        <v>23</v>
      </c>
    </row>
    <row r="31" customFormat="false" ht="15" hidden="false" customHeight="false" outlineLevel="0" collapsed="false">
      <c r="A31" s="5" t="s">
        <v>24</v>
      </c>
      <c r="B31" s="5" t="s">
        <v>25</v>
      </c>
      <c r="C31" s="5" t="s">
        <v>26</v>
      </c>
    </row>
    <row r="32" customFormat="false" ht="15" hidden="false" customHeight="false" outlineLevel="0" collapsed="false">
      <c r="A32" s="5" t="s">
        <v>27</v>
      </c>
      <c r="B32" s="5" t="s">
        <v>28</v>
      </c>
      <c r="C32" s="5" t="s">
        <v>26</v>
      </c>
    </row>
    <row r="33" customFormat="false" ht="15" hidden="false" customHeight="false" outlineLevel="0" collapsed="false">
      <c r="A33" s="5" t="s">
        <v>29</v>
      </c>
      <c r="B33" s="5" t="s">
        <v>30</v>
      </c>
      <c r="C33" s="5" t="s">
        <v>26</v>
      </c>
    </row>
    <row r="34" customFormat="false" ht="15" hidden="false" customHeight="false" outlineLevel="0" collapsed="false">
      <c r="A34" s="5" t="s">
        <v>31</v>
      </c>
      <c r="B34" s="5" t="s">
        <v>32</v>
      </c>
      <c r="C34" s="5" t="s">
        <v>26</v>
      </c>
    </row>
    <row r="35" customFormat="false" ht="15" hidden="false" customHeight="false" outlineLevel="0" collapsed="false">
      <c r="A35" s="5" t="s">
        <v>33</v>
      </c>
      <c r="B35" s="5" t="s">
        <v>34</v>
      </c>
      <c r="C35" s="5" t="s">
        <v>26</v>
      </c>
    </row>
    <row r="36" customFormat="false" ht="15" hidden="false" customHeight="false" outlineLevel="0" collapsed="false">
      <c r="A36" s="5" t="s">
        <v>35</v>
      </c>
      <c r="B36" s="5" t="s">
        <v>36</v>
      </c>
      <c r="C36" s="5" t="s">
        <v>26</v>
      </c>
    </row>
    <row r="37" customFormat="false" ht="15" hidden="false" customHeight="false" outlineLevel="0" collapsed="false">
      <c r="A37" s="5" t="s">
        <v>37</v>
      </c>
      <c r="B37" s="5" t="s">
        <v>38</v>
      </c>
      <c r="C37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28.35" hidden="false" customHeight="fals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</row>
    <row r="2" customFormat="false" ht="15" hidden="false" customHeight="false" outlineLevel="0" collapsed="false">
      <c r="A2" s="6" t="n">
        <v>1</v>
      </c>
      <c r="B2" s="6" t="s">
        <v>25</v>
      </c>
      <c r="C2" s="6" t="s">
        <v>52</v>
      </c>
      <c r="D2" s="6" t="s">
        <v>53</v>
      </c>
      <c r="E2" s="6" t="s">
        <v>54</v>
      </c>
      <c r="F2" s="6" t="n">
        <v>2024</v>
      </c>
      <c r="G2" s="6" t="s">
        <v>55</v>
      </c>
      <c r="H2" s="6" t="s">
        <v>56</v>
      </c>
      <c r="I2" s="6" t="s">
        <v>57</v>
      </c>
      <c r="J2" s="6" t="s">
        <v>58</v>
      </c>
      <c r="K2" s="6" t="s">
        <v>58</v>
      </c>
      <c r="L2" s="6" t="s">
        <v>58</v>
      </c>
      <c r="M2" s="6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</sheetData>
  <dataValidations count="2">
    <dataValidation allowBlank="true" errorStyle="stop" operator="between" showDropDown="false" showErrorMessage="false" showInputMessage="false" sqref="J3:L502" type="list">
      <formula1>"Include,Exclude,Maybe"</formula1>
      <formula2>0</formula2>
    </dataValidation>
    <dataValidation allowBlank="true" errorStyle="stop" operator="between" showDropDown="false" showErrorMessage="false" showInputMessage="false" sqref="B3:B502" type="list">
      <formula1>"IEEE Xplore,ACM Digital Library,ScienceDirect,SpringerLink,Scopus,Web of Science,Google Scholar (snowball)"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4" t="s">
        <v>39</v>
      </c>
      <c r="B1" s="4" t="s">
        <v>42</v>
      </c>
      <c r="C1" s="4" t="s">
        <v>59</v>
      </c>
      <c r="D1" s="4" t="s">
        <v>60</v>
      </c>
      <c r="E1" s="4" t="s">
        <v>61</v>
      </c>
      <c r="F1" s="4" t="s">
        <v>62</v>
      </c>
    </row>
    <row r="2" customFormat="false" ht="15" hidden="false" customHeight="false" outlineLevel="0" collapsed="false">
      <c r="A2" s="6" t="n">
        <v>1</v>
      </c>
      <c r="B2" s="6" t="s">
        <v>53</v>
      </c>
      <c r="C2" s="6" t="s">
        <v>29</v>
      </c>
      <c r="D2" s="6" t="s">
        <v>58</v>
      </c>
      <c r="E2" s="6"/>
      <c r="F2" s="6" t="s">
        <v>63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</row>
  </sheetData>
  <dataValidations count="2">
    <dataValidation allowBlank="true" errorStyle="stop" operator="between" showDropDown="false" showErrorMessage="false" showInputMessage="false" sqref="D3:D302" type="list">
      <formula1>"Include,Exclude"</formula1>
      <formula2>0</formula2>
    </dataValidation>
    <dataValidation allowBlank="true" errorStyle="stop" operator="between" showDropDown="false" showErrorMessage="false" showInputMessage="false" sqref="E3:E302" type="list">
      <formula1>"Conceptual only - no technical contribution,ML predictive model (not software model),Generates code directly without a model,Non-software CAD model,Editorial/abstract/poster,Duplicate of later/extended version,Outside date range,Not peer-reviewed,Other (s"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9" min="2" style="0" width="22"/>
  </cols>
  <sheetData>
    <row r="1" customFormat="false" ht="41.75" hidden="false" customHeight="false" outlineLevel="0" collapsed="false">
      <c r="A1" s="4" t="s">
        <v>39</v>
      </c>
      <c r="B1" s="4" t="s">
        <v>42</v>
      </c>
      <c r="C1" s="4" t="s">
        <v>64</v>
      </c>
      <c r="D1" s="4" t="s">
        <v>44</v>
      </c>
      <c r="E1" s="4" t="s">
        <v>45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76</v>
      </c>
      <c r="R1" s="4" t="s">
        <v>77</v>
      </c>
      <c r="S1" s="4" t="s">
        <v>78</v>
      </c>
      <c r="T1" s="4" t="s">
        <v>79</v>
      </c>
      <c r="U1" s="4" t="s">
        <v>80</v>
      </c>
      <c r="V1" s="4" t="s">
        <v>81</v>
      </c>
      <c r="W1" s="4" t="s">
        <v>82</v>
      </c>
      <c r="X1" s="4" t="s">
        <v>83</v>
      </c>
      <c r="Y1" s="4" t="s">
        <v>84</v>
      </c>
      <c r="Z1" s="4" t="s">
        <v>85</v>
      </c>
      <c r="AA1" s="4" t="s">
        <v>86</v>
      </c>
      <c r="AB1" s="4" t="s">
        <v>87</v>
      </c>
      <c r="AC1" s="4" t="s">
        <v>88</v>
      </c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</sheetData>
  <dataValidations count="1">
    <dataValidation allowBlank="true" errorStyle="stop" operator="between" showDropDown="false" showErrorMessage="false" showInputMessage="false" sqref="AC2:AC201" type="list">
      <formula1>"1 - Manual,2 - Assistive,3 - Interactive co-modelling,4 - Semi-autonomous,5 - Verifier-guided autonomous,6 - Continuous adaptive"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22" min="4" style="0" width="10"/>
    <col collapsed="false" customWidth="true" hidden="false" outlineLevel="0" max="23" min="23" style="0" width="30"/>
  </cols>
  <sheetData>
    <row r="1" customFormat="false" ht="41.75" hidden="false" customHeight="false" outlineLevel="0" collapsed="false">
      <c r="A1" s="4" t="s">
        <v>39</v>
      </c>
      <c r="B1" s="4" t="s">
        <v>42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100</v>
      </c>
      <c r="O1" s="4" t="s">
        <v>101</v>
      </c>
      <c r="P1" s="4" t="s">
        <v>102</v>
      </c>
      <c r="Q1" s="4" t="s">
        <v>103</v>
      </c>
      <c r="R1" s="4" t="s">
        <v>104</v>
      </c>
      <c r="S1" s="4" t="s">
        <v>105</v>
      </c>
      <c r="T1" s="4" t="s">
        <v>106</v>
      </c>
      <c r="U1" s="4" t="s">
        <v>107</v>
      </c>
      <c r="V1" s="4" t="s">
        <v>108</v>
      </c>
      <c r="W1" s="4" t="s">
        <v>109</v>
      </c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 t="n">
        <f aca="false">SUM(D2:U2)</f>
        <v>0</v>
      </c>
      <c r="W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 t="n">
        <f aca="false">SUM(D3:U3)</f>
        <v>0</v>
      </c>
      <c r="W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 t="n">
        <f aca="false">SUM(D4:U4)</f>
        <v>0</v>
      </c>
      <c r="W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n">
        <f aca="false">SUM(D5:U5)</f>
        <v>0</v>
      </c>
      <c r="W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 t="n">
        <f aca="false">SUM(D6:U6)</f>
        <v>0</v>
      </c>
      <c r="W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 t="n">
        <f aca="false">SUM(D7:U7)</f>
        <v>0</v>
      </c>
      <c r="W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 t="n">
        <f aca="false">SUM(D8:U8)</f>
        <v>0</v>
      </c>
      <c r="W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 t="n">
        <f aca="false">SUM(D9:U9)</f>
        <v>0</v>
      </c>
      <c r="W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 t="n">
        <f aca="false">SUM(D10:U10)</f>
        <v>0</v>
      </c>
      <c r="W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 t="n">
        <f aca="false">SUM(D11:U11)</f>
        <v>0</v>
      </c>
      <c r="W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n">
        <f aca="false">SUM(D12:U12)</f>
        <v>0</v>
      </c>
      <c r="W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n">
        <f aca="false">SUM(D13:U13)</f>
        <v>0</v>
      </c>
      <c r="W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 t="n">
        <f aca="false">SUM(D14:U14)</f>
        <v>0</v>
      </c>
      <c r="W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 t="n">
        <f aca="false">SUM(D15:U15)</f>
        <v>0</v>
      </c>
      <c r="W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 t="n">
        <f aca="false">SUM(D16:U16)</f>
        <v>0</v>
      </c>
      <c r="W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 t="n">
        <f aca="false">SUM(D17:U17)</f>
        <v>0</v>
      </c>
      <c r="W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 t="n">
        <f aca="false">SUM(D18:U18)</f>
        <v>0</v>
      </c>
      <c r="W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 t="n">
        <f aca="false">SUM(D19:U19)</f>
        <v>0</v>
      </c>
      <c r="W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 t="n">
        <f aca="false">SUM(D20:U20)</f>
        <v>0</v>
      </c>
      <c r="W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 t="n">
        <f aca="false">SUM(D21:U21)</f>
        <v>0</v>
      </c>
      <c r="W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 t="n">
        <f aca="false">SUM(D22:U22)</f>
        <v>0</v>
      </c>
      <c r="W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 t="n">
        <f aca="false">SUM(D23:U23)</f>
        <v>0</v>
      </c>
      <c r="W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 t="n">
        <f aca="false">SUM(D24:U24)</f>
        <v>0</v>
      </c>
      <c r="W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 t="n">
        <f aca="false">SUM(D25:U25)</f>
        <v>0</v>
      </c>
      <c r="W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n">
        <f aca="false">SUM(D26:U26)</f>
        <v>0</v>
      </c>
      <c r="W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 t="n">
        <f aca="false">SUM(D27:U27)</f>
        <v>0</v>
      </c>
      <c r="W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 t="n">
        <f aca="false">SUM(D28:U28)</f>
        <v>0</v>
      </c>
      <c r="W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 t="n">
        <f aca="false">SUM(D29:U29)</f>
        <v>0</v>
      </c>
      <c r="W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 t="n">
        <f aca="false">SUM(D30:U30)</f>
        <v>0</v>
      </c>
      <c r="W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 t="n">
        <f aca="false">SUM(D31:U31)</f>
        <v>0</v>
      </c>
      <c r="W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 t="n">
        <f aca="false">SUM(D32:U32)</f>
        <v>0</v>
      </c>
      <c r="W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 t="n">
        <f aca="false">SUM(D33:U33)</f>
        <v>0</v>
      </c>
      <c r="W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n">
        <f aca="false">SUM(D34:U34)</f>
        <v>0</v>
      </c>
      <c r="W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 t="n">
        <f aca="false">SUM(D35:U35)</f>
        <v>0</v>
      </c>
      <c r="W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 t="n">
        <f aca="false">SUM(D36:U36)</f>
        <v>0</v>
      </c>
      <c r="W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 t="n">
        <f aca="false">SUM(D37:U37)</f>
        <v>0</v>
      </c>
      <c r="W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 t="n">
        <f aca="false">SUM(D38:U38)</f>
        <v>0</v>
      </c>
      <c r="W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 t="n">
        <f aca="false">SUM(D39:U39)</f>
        <v>0</v>
      </c>
      <c r="W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 t="n">
        <f aca="false">SUM(D40:U40)</f>
        <v>0</v>
      </c>
      <c r="W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 t="n">
        <f aca="false">SUM(D41:U41)</f>
        <v>0</v>
      </c>
      <c r="W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 t="n">
        <f aca="false">SUM(D42:U42)</f>
        <v>0</v>
      </c>
      <c r="W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 t="n">
        <f aca="false">SUM(D43:U43)</f>
        <v>0</v>
      </c>
      <c r="W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 t="n">
        <f aca="false">SUM(D44:U44)</f>
        <v>0</v>
      </c>
      <c r="W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 t="n">
        <f aca="false">SUM(D45:U45)</f>
        <v>0</v>
      </c>
      <c r="W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 t="n">
        <f aca="false">SUM(D46:U46)</f>
        <v>0</v>
      </c>
      <c r="W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 t="n">
        <f aca="false">SUM(D47:U47)</f>
        <v>0</v>
      </c>
      <c r="W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 t="n">
        <f aca="false">SUM(D48:U48)</f>
        <v>0</v>
      </c>
      <c r="W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 t="n">
        <f aca="false">SUM(D49:U49)</f>
        <v>0</v>
      </c>
      <c r="W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 t="n">
        <f aca="false">SUM(D50:U50)</f>
        <v>0</v>
      </c>
      <c r="W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 t="n">
        <f aca="false">SUM(D51:U51)</f>
        <v>0</v>
      </c>
      <c r="W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 t="n">
        <f aca="false">SUM(D52:U52)</f>
        <v>0</v>
      </c>
      <c r="W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 t="n">
        <f aca="false">SUM(D53:U53)</f>
        <v>0</v>
      </c>
      <c r="W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 t="n">
        <f aca="false">SUM(D54:U54)</f>
        <v>0</v>
      </c>
      <c r="W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 t="n">
        <f aca="false">SUM(D55:U55)</f>
        <v>0</v>
      </c>
      <c r="W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n">
        <f aca="false">SUM(D56:U56)</f>
        <v>0</v>
      </c>
      <c r="W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n">
        <f aca="false">SUM(D57:U57)</f>
        <v>0</v>
      </c>
      <c r="W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 t="n">
        <f aca="false">SUM(D58:U58)</f>
        <v>0</v>
      </c>
      <c r="W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n">
        <f aca="false">SUM(D59:U59)</f>
        <v>0</v>
      </c>
      <c r="W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 t="n">
        <f aca="false">SUM(D60:U60)</f>
        <v>0</v>
      </c>
      <c r="W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n">
        <f aca="false">SUM(D61:U61)</f>
        <v>0</v>
      </c>
      <c r="W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 t="n">
        <f aca="false">SUM(D62:U62)</f>
        <v>0</v>
      </c>
      <c r="W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 t="n">
        <f aca="false">SUM(D63:U63)</f>
        <v>0</v>
      </c>
      <c r="W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 t="n">
        <f aca="false">SUM(D64:U64)</f>
        <v>0</v>
      </c>
      <c r="W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n">
        <f aca="false">SUM(D65:U65)</f>
        <v>0</v>
      </c>
      <c r="W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 t="n">
        <f aca="false">SUM(D66:U66)</f>
        <v>0</v>
      </c>
      <c r="W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 t="n">
        <f aca="false">SUM(D67:U67)</f>
        <v>0</v>
      </c>
      <c r="W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 t="n">
        <f aca="false">SUM(D68:U68)</f>
        <v>0</v>
      </c>
      <c r="W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 t="n">
        <f aca="false">SUM(D69:U69)</f>
        <v>0</v>
      </c>
      <c r="W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 t="n">
        <f aca="false">SUM(D70:U70)</f>
        <v>0</v>
      </c>
      <c r="W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 t="n">
        <f aca="false">SUM(D71:U71)</f>
        <v>0</v>
      </c>
      <c r="W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 t="n">
        <f aca="false">SUM(D72:U72)</f>
        <v>0</v>
      </c>
      <c r="W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 t="n">
        <f aca="false">SUM(D73:U73)</f>
        <v>0</v>
      </c>
      <c r="W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 t="n">
        <f aca="false">SUM(D74:U74)</f>
        <v>0</v>
      </c>
      <c r="W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n">
        <f aca="false">SUM(D75:U75)</f>
        <v>0</v>
      </c>
      <c r="W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 t="n">
        <f aca="false">SUM(D76:U76)</f>
        <v>0</v>
      </c>
      <c r="W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n">
        <f aca="false">SUM(D77:U77)</f>
        <v>0</v>
      </c>
      <c r="W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 t="n">
        <f aca="false">SUM(D78:U78)</f>
        <v>0</v>
      </c>
      <c r="W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 t="n">
        <f aca="false">SUM(D79:U79)</f>
        <v>0</v>
      </c>
      <c r="W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n">
        <f aca="false">SUM(D80:U80)</f>
        <v>0</v>
      </c>
      <c r="W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n">
        <f aca="false">SUM(D81:U81)</f>
        <v>0</v>
      </c>
      <c r="W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 t="n">
        <f aca="false">SUM(D82:U82)</f>
        <v>0</v>
      </c>
      <c r="W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n">
        <f aca="false">SUM(D83:U83)</f>
        <v>0</v>
      </c>
      <c r="W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n">
        <f aca="false">SUM(D84:U84)</f>
        <v>0</v>
      </c>
      <c r="W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n">
        <f aca="false">SUM(D85:U85)</f>
        <v>0</v>
      </c>
      <c r="W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n">
        <f aca="false">SUM(D86:U86)</f>
        <v>0</v>
      </c>
      <c r="W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 t="n">
        <f aca="false">SUM(D87:U87)</f>
        <v>0</v>
      </c>
      <c r="W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n">
        <f aca="false">SUM(D88:U88)</f>
        <v>0</v>
      </c>
      <c r="W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 t="n">
        <f aca="false">SUM(D89:U89)</f>
        <v>0</v>
      </c>
      <c r="W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n">
        <f aca="false">SUM(D90:U90)</f>
        <v>0</v>
      </c>
      <c r="W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 t="n">
        <f aca="false">SUM(D91:U91)</f>
        <v>0</v>
      </c>
      <c r="W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n">
        <f aca="false">SUM(D92:U92)</f>
        <v>0</v>
      </c>
      <c r="W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 t="n">
        <f aca="false">SUM(D93:U93)</f>
        <v>0</v>
      </c>
      <c r="W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 t="n">
        <f aca="false">SUM(D94:U94)</f>
        <v>0</v>
      </c>
      <c r="W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 t="n">
        <f aca="false">SUM(D95:U95)</f>
        <v>0</v>
      </c>
      <c r="W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n">
        <f aca="false">SUM(D96:U96)</f>
        <v>0</v>
      </c>
      <c r="W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 t="n">
        <f aca="false">SUM(D97:U97)</f>
        <v>0</v>
      </c>
      <c r="W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 t="n">
        <f aca="false">SUM(D98:U98)</f>
        <v>0</v>
      </c>
      <c r="W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n">
        <f aca="false">SUM(D99:U99)</f>
        <v>0</v>
      </c>
      <c r="W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 t="n">
        <f aca="false">SUM(D100:U100)</f>
        <v>0</v>
      </c>
      <c r="W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 t="n">
        <f aca="false">SUM(D101:U101)</f>
        <v>0</v>
      </c>
      <c r="W101" s="5"/>
    </row>
  </sheetData>
  <dataValidations count="1">
    <dataValidation allowBlank="true" errorStyle="stop" operator="between" showDropDown="false" showErrorMessage="false" showInputMessage="false" sqref="D2:U101" type="list">
      <formula1>"0,0.5,1"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110</v>
      </c>
    </row>
    <row r="2" customFormat="false" ht="15" hidden="false" customHeight="false" outlineLevel="0" collapsed="false">
      <c r="A2" s="7" t="s">
        <v>111</v>
      </c>
    </row>
    <row r="4" customFormat="false" ht="15" hidden="false" customHeight="false" outlineLevel="0" collapsed="false">
      <c r="A4" s="8" t="s">
        <v>112</v>
      </c>
      <c r="B4" s="8" t="s">
        <v>113</v>
      </c>
    </row>
    <row r="5" customFormat="false" ht="15" hidden="false" customHeight="false" outlineLevel="0" collapsed="false">
      <c r="A5" s="5" t="s">
        <v>114</v>
      </c>
      <c r="B5" s="9" t="n">
        <f aca="false">COUNTA('Screening Tracker'!B3:B502)</f>
        <v>0</v>
      </c>
    </row>
    <row r="6" customFormat="false" ht="15" hidden="false" customHeight="false" outlineLevel="0" collapsed="false">
      <c r="A6" s="5" t="s">
        <v>115</v>
      </c>
      <c r="B6" s="9" t="n">
        <f aca="false">COUNTIF('Screening Tracker'!L3:L502,"Include")+COUNTIF('Screening Tracker'!L3:L502,"Maybe")</f>
        <v>0</v>
      </c>
    </row>
    <row r="7" customFormat="false" ht="15" hidden="false" customHeight="false" outlineLevel="0" collapsed="false">
      <c r="A7" s="5" t="s">
        <v>116</v>
      </c>
      <c r="B7" s="9" t="n">
        <f aca="false">COUNTIF('Screening Tracker'!L3:L502,"Exclude")</f>
        <v>0</v>
      </c>
    </row>
    <row r="8" customFormat="false" ht="15" hidden="false" customHeight="false" outlineLevel="0" collapsed="false">
      <c r="A8" s="5" t="s">
        <v>117</v>
      </c>
      <c r="B8" s="9" t="n">
        <f aca="false">COUNTA('Full-Text Eligibility'!B3:B302)</f>
        <v>0</v>
      </c>
    </row>
    <row r="9" customFormat="false" ht="15" hidden="false" customHeight="false" outlineLevel="0" collapsed="false">
      <c r="A9" s="5" t="s">
        <v>118</v>
      </c>
      <c r="B9" s="9" t="n">
        <f aca="false">COUNTIF('Full-Text Eligibility'!D3:D302,"Exclude")</f>
        <v>0</v>
      </c>
    </row>
    <row r="10" customFormat="false" ht="15" hidden="false" customHeight="false" outlineLevel="0" collapsed="false">
      <c r="A10" s="5" t="s">
        <v>119</v>
      </c>
      <c r="B10" s="9" t="n">
        <f aca="false">COUNTIF('Full-Text Eligibility'!D3:D302,"Include")</f>
        <v>0</v>
      </c>
    </row>
    <row r="11" customFormat="false" ht="15" hidden="false" customHeight="false" outlineLevel="0" collapsed="false">
      <c r="A11" s="2" t="s">
        <v>120</v>
      </c>
    </row>
    <row r="12" customFormat="false" ht="15" hidden="false" customHeight="false" outlineLevel="0" collapsed="false">
      <c r="A12" s="8" t="s">
        <v>40</v>
      </c>
      <c r="B12" s="8" t="s">
        <v>113</v>
      </c>
    </row>
    <row r="13" customFormat="false" ht="15" hidden="false" customHeight="false" outlineLevel="0" collapsed="false">
      <c r="A13" s="5" t="s">
        <v>25</v>
      </c>
      <c r="B13" s="10" t="n">
        <f aca="false">COUNTIF('Screening Tracker'!B3:B502,"IEEE Xplore")</f>
        <v>0</v>
      </c>
    </row>
    <row r="14" customFormat="false" ht="15" hidden="false" customHeight="false" outlineLevel="0" collapsed="false">
      <c r="A14" s="5" t="s">
        <v>28</v>
      </c>
      <c r="B14" s="10" t="n">
        <f aca="false">COUNTIF('Screening Tracker'!B3:B502,"ACM Digital Library")</f>
        <v>0</v>
      </c>
    </row>
    <row r="15" customFormat="false" ht="15" hidden="false" customHeight="false" outlineLevel="0" collapsed="false">
      <c r="A15" s="5" t="s">
        <v>30</v>
      </c>
      <c r="B15" s="10" t="n">
        <f aca="false">COUNTIF('Screening Tracker'!B3:B502,"ScienceDirect")</f>
        <v>0</v>
      </c>
    </row>
    <row r="16" customFormat="false" ht="15" hidden="false" customHeight="false" outlineLevel="0" collapsed="false">
      <c r="A16" s="5" t="s">
        <v>32</v>
      </c>
      <c r="B16" s="10" t="n">
        <f aca="false">COUNTIF('Screening Tracker'!B3:B502,"SpringerLink")</f>
        <v>0</v>
      </c>
    </row>
    <row r="17" customFormat="false" ht="15" hidden="false" customHeight="false" outlineLevel="0" collapsed="false">
      <c r="A17" s="5" t="s">
        <v>34</v>
      </c>
      <c r="B17" s="10" t="n">
        <f aca="false">COUNTIF('Screening Tracker'!B3:B502,"Scopus")</f>
        <v>0</v>
      </c>
    </row>
    <row r="18" customFormat="false" ht="15" hidden="false" customHeight="false" outlineLevel="0" collapsed="false">
      <c r="A18" s="5" t="s">
        <v>36</v>
      </c>
      <c r="B18" s="10" t="n">
        <f aca="false">COUNTIF('Screening Tracker'!B3:B502,"Web of Science")</f>
        <v>0</v>
      </c>
    </row>
    <row r="19" customFormat="false" ht="15" hidden="false" customHeight="false" outlineLevel="0" collapsed="false">
      <c r="A19" s="5" t="s">
        <v>121</v>
      </c>
      <c r="B19" s="10" t="n">
        <f aca="false">COUNTIF('Screening Tracker'!B3:B502,"Google Scholar (snowball)")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2026-08-03T20:13:35Z</dcterms:created>
  <dc:creator>openpyxl</dc:creator>
  <dc:description/>
  <dc:language>en-US</dc:language>
  <cp:lastModifiedBy/>
  <dcterms:modified xsi:type="dcterms:W3CDTF">2026-08-03T20:13:35Z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