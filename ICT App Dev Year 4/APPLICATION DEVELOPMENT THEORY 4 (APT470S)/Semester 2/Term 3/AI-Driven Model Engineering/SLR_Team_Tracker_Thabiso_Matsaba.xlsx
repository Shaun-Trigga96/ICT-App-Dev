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habi\Downloads\"/>
    </mc:Choice>
  </mc:AlternateContent>
  <xr:revisionPtr revIDLastSave="0" documentId="8_{01622B50-3B48-4E62-A08E-9C15AC97829C}" xr6:coauthVersionLast="47" xr6:coauthVersionMax="47" xr10:uidLastSave="{00000000-0000-0000-0000-000000000000}"/>
  <bookViews>
    <workbookView xWindow="-110" yWindow="-110" windowWidth="19420" windowHeight="10300" tabRatio="500" firstSheet="1" activeTab="1" xr2:uid="{00000000-000D-0000-FFFF-FFFF00000000}"/>
  </bookViews>
  <sheets>
    <sheet name="Instructions" sheetId="1" r:id="rId1"/>
    <sheet name="Screening Tracker" sheetId="2" r:id="rId2"/>
    <sheet name="Full-Text Eligibility" sheetId="3" r:id="rId3"/>
    <sheet name="Data Extraction" sheetId="4" r:id="rId4"/>
    <sheet name="Quality Assessment" sheetId="5" r:id="rId5"/>
    <sheet name="PRISMA Counts" sheetId="6" r:id="rId6"/>
  </sheet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6" l="1"/>
  <c r="B9" i="6"/>
  <c r="B10" i="6"/>
  <c r="B19" i="6"/>
  <c r="B18" i="6"/>
  <c r="B17" i="6"/>
  <c r="B16" i="6"/>
  <c r="B15" i="6"/>
  <c r="B14" i="6"/>
  <c r="B13" i="6"/>
  <c r="V101" i="5"/>
  <c r="V100" i="5"/>
  <c r="V99" i="5"/>
  <c r="V98" i="5"/>
  <c r="V97" i="5"/>
  <c r="V96" i="5"/>
  <c r="V95" i="5"/>
  <c r="V94" i="5"/>
  <c r="V93" i="5"/>
  <c r="V92" i="5"/>
  <c r="V91" i="5"/>
  <c r="V90" i="5"/>
  <c r="V89" i="5"/>
  <c r="V88" i="5"/>
  <c r="V87" i="5"/>
  <c r="V86" i="5"/>
  <c r="V85" i="5"/>
  <c r="V84" i="5"/>
  <c r="V83" i="5"/>
  <c r="V82" i="5"/>
  <c r="V81" i="5"/>
  <c r="V80" i="5"/>
  <c r="V79" i="5"/>
  <c r="V78" i="5"/>
  <c r="V77" i="5"/>
  <c r="V76" i="5"/>
  <c r="V75" i="5"/>
  <c r="V74" i="5"/>
  <c r="V73" i="5"/>
  <c r="V72" i="5"/>
  <c r="V71" i="5"/>
  <c r="V70" i="5"/>
  <c r="V69" i="5"/>
  <c r="V68" i="5"/>
  <c r="V67" i="5"/>
  <c r="V66" i="5"/>
  <c r="V65" i="5"/>
  <c r="V64" i="5"/>
  <c r="V63" i="5"/>
  <c r="V62" i="5"/>
  <c r="V61" i="5"/>
  <c r="V60" i="5"/>
  <c r="V59" i="5"/>
  <c r="V58" i="5"/>
  <c r="V57" i="5"/>
  <c r="V56" i="5"/>
  <c r="V55" i="5"/>
  <c r="V54" i="5"/>
  <c r="V53" i="5"/>
  <c r="V52" i="5"/>
  <c r="V51" i="5"/>
  <c r="V50" i="5"/>
  <c r="V49" i="5"/>
  <c r="V48" i="5"/>
  <c r="V47" i="5"/>
  <c r="V46" i="5"/>
  <c r="V45" i="5"/>
  <c r="V44" i="5"/>
  <c r="V43" i="5"/>
  <c r="V42" i="5"/>
  <c r="V41" i="5"/>
  <c r="V40" i="5"/>
  <c r="V39" i="5"/>
  <c r="V38" i="5"/>
  <c r="V37" i="5"/>
  <c r="V36" i="5"/>
  <c r="V35" i="5"/>
  <c r="V34" i="5"/>
  <c r="V33" i="5"/>
  <c r="V32" i="5"/>
  <c r="V31" i="5"/>
  <c r="V30" i="5"/>
  <c r="V29" i="5"/>
  <c r="V28" i="5"/>
  <c r="V27" i="5"/>
  <c r="V26" i="5"/>
  <c r="V25" i="5"/>
  <c r="V24" i="5"/>
  <c r="V23" i="5"/>
  <c r="V22" i="5"/>
  <c r="V21" i="5"/>
  <c r="V20" i="5"/>
  <c r="V19" i="5"/>
  <c r="V18" i="5"/>
  <c r="V17" i="5"/>
  <c r="V16" i="5"/>
  <c r="V15" i="5"/>
  <c r="V14" i="5"/>
  <c r="V13" i="5"/>
  <c r="V12" i="5"/>
  <c r="V11" i="5"/>
  <c r="V10" i="5"/>
  <c r="V9" i="5"/>
  <c r="V8" i="5"/>
  <c r="V7" i="5"/>
  <c r="V6" i="5"/>
  <c r="V5" i="5"/>
  <c r="V4" i="5"/>
  <c r="V3" i="5"/>
  <c r="V2" i="5"/>
</calcChain>
</file>

<file path=xl/sharedStrings.xml><?xml version="1.0" encoding="utf-8"?>
<sst xmlns="http://schemas.openxmlformats.org/spreadsheetml/2006/main" count="517" uniqueCount="323">
  <si>
    <t>AI-Driven Model Engineering SLR — Team Tracker</t>
  </si>
  <si>
    <t>APT470S | Term 3 Research Project | Submission: CoB 27 August 2026</t>
  </si>
  <si>
    <t>HOW TO USE THIS WORKBOOK (6-person team)</t>
  </si>
  <si>
    <t>1. Screening Tracker tab — everyone logs the papers from their assigned database here.</t>
  </si>
  <si>
    <t xml:space="preserve">   Each paper must be screened by 2 people (title/abstract only). Log both reviewers'</t>
  </si>
  <si>
    <t xml:space="preserve">   decisions in the Reviewer 1 / Reviewer 2 columns, then agree a Final Decision.</t>
  </si>
  <si>
    <t>2. Full-Text Eligibility tab — for anything marked Include (or Maybe) after screening,</t>
  </si>
  <si>
    <t xml:space="preserve">   do a full-text read and log Include/Exclude + a reason here. Reasons are required</t>
  </si>
  <si>
    <t xml:space="preserve">   for every exclusion (this feeds your PRISMA diagram and Criterion 4 on the rubric).</t>
  </si>
  <si>
    <t>3. Data Extraction tab — one row per FINAL included paper. Split these evenly across</t>
  </si>
  <si>
    <t xml:space="preserve">   the team once you know the total. Pilot-test on 2 shared papers first so everyone</t>
  </si>
  <si>
    <t xml:space="preserve">   codes fields the same way, before splitting the rest.</t>
  </si>
  <si>
    <t>4. Quality Assessment tab — score each included paper against the 18-item checklist</t>
  </si>
  <si>
    <t xml:space="preserve">   from the brief (0 = No, 0.5 = Partial, 1 = Yes). Pair up and cross-check each</t>
  </si>
  <si>
    <t xml:space="preserve">   other's scoring — this maps to Rubric Criterion 5 (10 marks).</t>
  </si>
  <si>
    <t>5. PRISMA Counts tab — auto-calculates from the Screening and Full-Text tabs. Use the</t>
  </si>
  <si>
    <t xml:space="preserve">   numbers here to draw your PRISMA flow diagram.</t>
  </si>
  <si>
    <t>SUGGESTED DATABASE ASSIGNMENTS (edit names below):</t>
  </si>
  <si>
    <t>Note: Person 7 has no database of their own for week 1 — have them help two other</t>
  </si>
  <si>
    <t>people clear their search results faster, then switch fully to snowballing once the</t>
  </si>
  <si>
    <t>team has a first draft Include list (usually partway through week 1-2).</t>
  </si>
  <si>
    <t>Person</t>
  </si>
  <si>
    <t>Database / Role</t>
  </si>
  <si>
    <t>Status</t>
  </si>
  <si>
    <t>Person 1</t>
  </si>
  <si>
    <t>IEEE Xplore</t>
  </si>
  <si>
    <t>Not started</t>
  </si>
  <si>
    <t>Person 2</t>
  </si>
  <si>
    <t>ACM Digital Library</t>
  </si>
  <si>
    <t>Person 3</t>
  </si>
  <si>
    <t>ScienceDirect</t>
  </si>
  <si>
    <t>Person 4</t>
  </si>
  <si>
    <t>SpringerLink</t>
  </si>
  <si>
    <t>Person 5</t>
  </si>
  <si>
    <t>Scopus</t>
  </si>
  <si>
    <t>Person 6</t>
  </si>
  <si>
    <t>Web of Science</t>
  </si>
  <si>
    <t>NOTE: Thabiso Matsaba has been assigned the 13 Top Included Primary Studies (pre-coded from ScienceDirect). These are entered in Screening Tracker (rows 3-15), Full-Text Eligibility (rows 3-15), and partially populated in Data Extraction (rows 2-14). Remaining Data Extraction fields and full Quality Assessment should be completed after full-text reading.</t>
  </si>
  <si>
    <t>Google Scholar snowballing (backward + forward citation search on included papers) + floating support for whichever database falls behind</t>
  </si>
  <si>
    <t>#</t>
  </si>
  <si>
    <t>Database</t>
  </si>
  <si>
    <t>Reviewer(s)</t>
  </si>
  <si>
    <t>Title</t>
  </si>
  <si>
    <t>Authors</t>
  </si>
  <si>
    <t>Year</t>
  </si>
  <si>
    <t>Venue</t>
  </si>
  <si>
    <t>DOI / Link</t>
  </si>
  <si>
    <t>Abstract (paste)</t>
  </si>
  <si>
    <t>Reviewer 1 Decision</t>
  </si>
  <si>
    <t>Reviewer 2 Decision</t>
  </si>
  <si>
    <t>Final Decision</t>
  </si>
  <si>
    <t>Exclusion Reason (if excluded)</t>
  </si>
  <si>
    <t>Example: LLM-based UML class diagram generation from requirements</t>
  </si>
  <si>
    <t>Include</t>
  </si>
  <si>
    <t>Thabiso Matsaba</t>
  </si>
  <si>
    <t>Change-aware round-trip benchmarking of LLMs for reliable and efficient artifact co-evolution</t>
  </si>
  <si>
    <t>Dao, Duy; Bucaioni, Alessio; Cicchetti, Antonio</t>
  </si>
  <si>
    <t>Journal of Systems and Software</t>
  </si>
  <si>
    <t>https://doi.org/10.1016/j.jss.2026.113014</t>
  </si>
  <si>
    <t>Evaluates LLMs (GPT-5, Gemini 2.5, DeepSeek V3, Qwen3) for round-trip consistency &amp; co-evolution between class models and schemas under controlled edits. Measures edit persistence, structural validity, and run-to-run consistency.</t>
  </si>
  <si>
    <t>Semanti-MOP: Bridging the semantic gap in automated architecture refactoring via instability-aware Large Language Models</t>
  </si>
  <si>
    <t>Salem, Ahmed</t>
  </si>
  <si>
    <t>Information and Software Technology</t>
  </si>
  <si>
    <t>https://doi.org/10.1016/j.infsof.2026.108280</t>
  </si>
  <si>
    <t>Combines LLMs (RAG) and search-based optimization for architectural refactoring and microservice decomposition on Apache Flink.</t>
  </si>
  <si>
    <t>A framework for assessing the capabilities of code generation of constraint domain-specific languages with large language models</t>
  </si>
  <si>
    <t>Delgado, David; Burgueño, Lola; Clarisó, Robert</t>
  </si>
  <si>
    <t>https://doi.org/10.1016/j.jss.2026.112871</t>
  </si>
  <si>
    <t>Evaluates LLM generation of formal constraint DSLs (OCL, Alloy) from textual specifications with code repair mechanisms.</t>
  </si>
  <si>
    <t>Automatic translation of natural language requirements into CTL specifications using Large Language Models: A multi-approach evaluation</t>
  </si>
  <si>
    <t>Zrelli, Rim; Misson, Henrique Amaral; Attia, Marwa Ben; de Magalhaes, Felipe Gohring; Shabah, Abdo; Nicolescu, Gabriela</t>
  </si>
  <si>
    <t>https://doi.org/10.1016/j.jss.2026.112941</t>
  </si>
  <si>
    <t>Fine-tuning &amp; prompting LLMs to translate natural language requirements into CTL formal verification models. Multi-approach evaluation.</t>
  </si>
  <si>
    <t>Detecting semantic alignments between textual specifications and domain models</t>
  </si>
  <si>
    <t>Shimangaud, Shwetali; Burgueño, Lola; Kienzle, Jörg; Saini, Rijul</t>
  </si>
  <si>
    <t>https://doi.org/10.1016/j.infsof.2026.108154</t>
  </si>
  <si>
    <t>Applies NLP and LLMs to detect alignments and misalignments between textual specifications and domain models with high precision.</t>
  </si>
  <si>
    <t>Assessing UML diagrams by GPT: Implications for education</t>
  </si>
  <si>
    <t>Wang, Chong; Wang, Beian; Liang, Peng; Liang, Jie</t>
  </si>
  <si>
    <t>https://doi.org/10.1016/j.jss.2025.112709</t>
  </si>
  <si>
    <t>Evaluates GPT’s capabilities in assessing and grading UML use case, class, and sequence diagrams against expert baselines. Educational implications.</t>
  </si>
  <si>
    <t>Automated spectrum-based model fault localization within a search framework</t>
  </si>
  <si>
    <t>Shu, Ting; Xue, Xinru; Yin, Xuesong; Xia, Jinsong</t>
  </si>
  <si>
    <t>https://doi.org/10.1016/j.jss.2025.112576</t>
  </si>
  <si>
    <t>Applies Whale Optimization Algorithm and Learning-to-Rank for spectrum-based fault localization on Extended Finite State Machines (EFSM).</t>
  </si>
  <si>
    <t>An architecture for model-based and intelligent automation in DevOps</t>
  </si>
  <si>
    <t>Eramo, Romina; Said, Bilal; Oriol, Marc; Bruneliere, Hugo; Morales, Sergio</t>
  </si>
  <si>
    <t>https://doi.org/10.1016/j.jss.2024.112180</t>
  </si>
  <si>
    <t>The AIDOaRt framework integrating AI/ML and Model-Driven Engineering for continuous system validation across multiple industrial case studies.</t>
  </si>
  <si>
    <t>Convolutional neural networks for enhanced classification mechanisms of metamodels</t>
  </si>
  <si>
    <t>Nguyen, Phuong T.; Di Ruscio, Davide; Pierantonio, Alfonso; Di Rocco, Juri; Iovino, Ludovico</t>
  </si>
  <si>
    <t>https://doi.org/10.1016/j.jss.2020.110860</t>
  </si>
  <si>
    <t>Uses deep Convolutional Neural Networks (memoCNN) to automatically categorize and manage Ecore metamodel repositories.</t>
  </si>
  <si>
    <t>An evolutionary approach for generating software models: The case of Kromaia in Game Software Engineering</t>
  </si>
  <si>
    <t>Blasco, Daniel; Font, Jaime; Zamorano, Mar; Cetina, Carlos</t>
  </si>
  <si>
    <t>https://doi.org/10.1016/j.jss.2020.110804</t>
  </si>
  <si>
    <t>Evolutionary model generation (EMoGen) producing industrial software models of &gt;1000 elements in 5 hours versus 10 months of manual effort (Kromaia game).</t>
  </si>
  <si>
    <t>Comparison of search strategies for feature location in software models</t>
  </si>
  <si>
    <t>Echeverría, Jorge; Font, Jaime; Pérez, Francisca; Cetina, Carlos</t>
  </si>
  <si>
    <t>https://doi.org/10.1016/j.jss.2021.111037</t>
  </si>
  <si>
    <t>Evaluates metaheuristic search algorithms (random search, ILS, hill climbing, evolutionary algorithm, hybrid) across 1,895 feature location problems from 40 industrial software product lines.</t>
  </si>
  <si>
    <t>MOMM: Multi-objective model merging</t>
  </si>
  <si>
    <t>Mansoor, Usman; Kessentini, Marouane; Langer, Philip; Wimmer, Manuel; Bechikh, Slim; Deb, Kalyanmoy</t>
  </si>
  <si>
    <t>https://doi.org/10.1016/j.jss.2014.11.043</t>
  </si>
  <si>
    <t>NSGA-II multi-objective optimization approach for resolving conflicts in collaborative model engineering (model merging).</t>
  </si>
  <si>
    <t>QExplore: An exploration strategy for dynamic web applications using guided search</t>
  </si>
  <si>
    <t>Sherin, Salman; Muqeet, Asmar; Khan, Muhammad Uzair; Iqbal, Muhammad Zohaib</t>
  </si>
  <si>
    <t>https://doi.org/10.1016/j.jss.2022.111512</t>
  </si>
  <si>
    <t>Reinforcement learning (Q-learning) based exploration strategy for dynamic web applications, synthesizing behavioral state models.</t>
  </si>
  <si>
    <t>Reviewer</t>
  </si>
  <si>
    <t>Full-Text Decision</t>
  </si>
  <si>
    <t>Exclusion Reason</t>
  </si>
  <si>
    <t>Notes (why relevant / key contribution)</t>
  </si>
  <si>
    <t>Uses GPT-4 + grammar constraints; evaluated on 20 industrial requirement docs.</t>
  </si>
  <si>
    <t>Pre-coded AI-DME relevant study (RQ2, RQ6, RQ8, RQ10). Evaluates LLMs (GPT-5, Gemini 2.5, DeepSeek V3, Qwen3) for round-trip consistency &amp; co-evolution between class models and schemas under controlled edits. Measures edit persistence, structural validity, and run-to-run consistency.</t>
  </si>
  <si>
    <t>Pre-coded AI-DME relevant study (RQ2, RQ3, RQ6, RQ7, RQ14). Combines LLMs (RAG) and search-based optimization for architectural refactoring and microservice decomposition on Apache Flink.</t>
  </si>
  <si>
    <t>Pre-coded AI-DME relevant study (RQ4, RQ8, RQ9, RQ10). Evaluates LLM generation of formal constraint DSLs (OCL, Alloy) from textual specifications with code repair mechanisms.</t>
  </si>
  <si>
    <t>Pre-coded AI-DME relevant study (RQ5, RQ8, RQ9, RQ12). Fine-tuning &amp; prompting LLMs to translate natural language requirements into CTL formal verification models. Multi-approach evaluation.</t>
  </si>
  <si>
    <t>Pre-coded AI-DME relevant study (RQ5, RQ6, RQ8). Applies NLP and LLMs to detect alignments and misalignments between textual specifications and domain models with high precision.</t>
  </si>
  <si>
    <t>Pre-coded AI-DME relevant study (RQ4, RQ6, RQ8, RQ9). Evaluates GPT’s capabilities in assessing and grading UML use case, class, and sequence diagrams against expert baselines. Educational implications.</t>
  </si>
  <si>
    <t>Pre-coded AI-DME relevant study (RQ4, RQ6, RQ8). Applies Whale Optimization Algorithm and Learning-to-Rank for spectrum-based fault localization on Extended Finite State Machines (EFSM).</t>
  </si>
  <si>
    <t>Pre-coded AI-DME relevant study (RQ1, RQ2, RQ3, RQ13). The AIDOaRt framework integrating AI/ML and Model-Driven Engineering for continuous system validation across multiple industrial case studies.</t>
  </si>
  <si>
    <t>Pre-coded AI-DME relevant study (RQ2, RQ4, RQ6). Uses deep Convolutional Neural Networks (memoCNN) to automatically categorize and manage Ecore metamodel repositories.</t>
  </si>
  <si>
    <t>Pre-coded AI-DME relevant study (RQ6, RQ7, RQ11). Evolutionary model generation (EMoGen) producing industrial software models of &gt;1000 elements in 5 hours versus 10 months of manual effort (Kromaia game).</t>
  </si>
  <si>
    <t>Pre-coded AI-DME relevant study (RQ4, RQ6, RQ11). Evaluates metaheuristic search algorithms (random search, ILS, hill climbing, evolutionary algorithm, hybrid) across 1,895 feature location problems from 40 industrial software product lines.</t>
  </si>
  <si>
    <t>Pre-coded AI-DME relevant study (RQ2, RQ3, RQ6, RQ7). NSGA-II multi-objective optimization approach for resolving conflicts in collaborative model engineering (model merging).</t>
  </si>
  <si>
    <t>Pre-coded AI-DME relevant study (RQ2, RQ3, RQ6). Reinforcement learning (Q-learning) based exploration strategy for dynamic web applications, synthesizing behavioral state models.</t>
  </si>
  <si>
    <t>Extracted By</t>
  </si>
  <si>
    <t>Country/Institution</t>
  </si>
  <si>
    <t>Study/Contribution Type</t>
  </si>
  <si>
    <t>Application Domain</t>
  </si>
  <si>
    <t>System Scale</t>
  </si>
  <si>
    <t>AI Technique/Model/Version</t>
  </si>
  <si>
    <t>Prompting/Training/Adaptation Method</t>
  </si>
  <si>
    <t>Single- or Multi-Agent</t>
  </si>
  <si>
    <t>Model-Engineering Stage/Task</t>
  </si>
  <si>
    <t>Modelling Language/Metamodel/Diagram Type</t>
  </si>
  <si>
    <t>Input Artefact(s)</t>
  </si>
  <si>
    <t>Output Artefact(s)</t>
  </si>
  <si>
    <t>Dataset/Benchmark</t>
  </si>
  <si>
    <t>Baseline/Comparison</t>
  </si>
  <si>
    <t>Validation Mechanism</t>
  </si>
  <si>
    <t>Human Involvement</t>
  </si>
  <si>
    <t>Quality Metrics &amp; Reported Performance</t>
  </si>
  <si>
    <t>Computational Cost/Scalability</t>
  </si>
  <si>
    <t>Explainability/Uncertainty Treatment</t>
  </si>
  <si>
    <t>Standards Conformance/Traceability</t>
  </si>
  <si>
    <t>Reproducibility Assets</t>
  </si>
  <si>
    <t>Reported Benefits</t>
  </si>
  <si>
    <t>Reported Limitations</t>
  </si>
  <si>
    <t>Industrial Evidence</t>
  </si>
  <si>
    <t>Assigned Maturity Level (1-6)</t>
  </si>
  <si>
    <t>Empirical evaluation / Benchmark</t>
  </si>
  <si>
    <t>LLMs (GPT-5, Qwen3-Next-80B-A3B, DeepSeek V3, Gemini 2.5)</t>
  </si>
  <si>
    <t>Controlled edit + translation prompts; reproducible protocol</t>
  </si>
  <si>
    <t>Single-agent</t>
  </si>
  <si>
    <t>Model evolution; Model-code synchronisation; Artifact co-evolution</t>
  </si>
  <si>
    <t>Class-oriented data models; Relational database schemas</t>
  </si>
  <si>
    <t>Paired models/schemas with controlled edit operations</t>
  </si>
  <si>
    <t>Co-evolved models and schemas (round-trip)</t>
  </si>
  <si>
    <t>Curated dataset of paired models and schemas</t>
  </si>
  <si>
    <t>Edit persistence; Structural validity (parsability/loadability); Run-to-run consistency</t>
  </si>
  <si>
    <t>Human oversight for structural reorganization cases</t>
  </si>
  <si>
    <t>No (controlled benchmark)</t>
  </si>
  <si>
    <t>Framework / Method + Industrial evaluation</t>
  </si>
  <si>
    <t>LLMs with RAG + search-based optimization</t>
  </si>
  <si>
    <t>RAG-augmented prompting; instability-aware</t>
  </si>
  <si>
    <t>Architectural modelling; Model transformation; Refactoring</t>
  </si>
  <si>
    <t>Architectural models; Microservice architectures</t>
  </si>
  <si>
    <t>Existing architecture / source code (Apache Flink)</t>
  </si>
  <si>
    <t>Refactored architecture; Microservice decomposition</t>
  </si>
  <si>
    <t>Apache Flink industrial case</t>
  </si>
  <si>
    <t>Industrial case study evaluation</t>
  </si>
  <si>
    <t>Human-in-the-loop for approval of refactorings</t>
  </si>
  <si>
    <t>Yes (Apache Flink)</t>
  </si>
  <si>
    <t>Framework / Empirical evaluation</t>
  </si>
  <si>
    <t>Large Language Models</t>
  </si>
  <si>
    <t>Prompting for constraint generation + repair loops</t>
  </si>
  <si>
    <t>N/A (search/RL)</t>
  </si>
  <si>
    <t>Model-to-code synthesis; Model validation; Constraint generation</t>
  </si>
  <si>
    <t>Constraint DSLs (OCL, Alloy)</t>
  </si>
  <si>
    <t>Textual specifications</t>
  </si>
  <si>
    <t>OCL / Alloy formal constraints; Repaired code</t>
  </si>
  <si>
    <t>Constraint specification benchmarks</t>
  </si>
  <si>
    <t>Code generation accuracy; Repair success; Syntactic + semantic checks</t>
  </si>
  <si>
    <t>Expert review of generated constraints</t>
  </si>
  <si>
    <t>No</t>
  </si>
  <si>
    <t>Empirical evaluation / Method</t>
  </si>
  <si>
    <t>LLMs (fine-tuning and prompting)</t>
  </si>
  <si>
    <t>Fine-tuning + multiple prompting strategies</t>
  </si>
  <si>
    <t>Requirements-to-model generation; Formal specification synthesis</t>
  </si>
  <si>
    <t>CTL (Computation Tree Logic) formal models</t>
  </si>
  <si>
    <t>Natural-language requirements</t>
  </si>
  <si>
    <t>CTL specifications for model checking</t>
  </si>
  <si>
    <t>NL requirements to CTL translation datasets</t>
  </si>
  <si>
    <t>Translation accuracy; Formal verification readiness; Semantic fidelity</t>
  </si>
  <si>
    <t>Human validation of CTL correctness</t>
  </si>
  <si>
    <t>Method / Empirical evaluation</t>
  </si>
  <si>
    <t>NLP techniques and Large Language Models</t>
  </si>
  <si>
    <t>LLM-based semantic similarity / alignment detection</t>
  </si>
  <si>
    <t>Model quality assurance; Requirements understanding; Traceability</t>
  </si>
  <si>
    <t>Domain models</t>
  </si>
  <si>
    <t>Textual specifications; Domain models</t>
  </si>
  <si>
    <t>Semantic alignment / misalignment detections</t>
  </si>
  <si>
    <t>Specification-to-model alignment benchmarks</t>
  </si>
  <si>
    <t>Precision/recall of alignment detection; Semantic fidelity</t>
  </si>
  <si>
    <t>Expert-labeled alignments as ground truth</t>
  </si>
  <si>
    <t>Empirical evaluation</t>
  </si>
  <si>
    <t>GPT (Large Language Model)</t>
  </si>
  <si>
    <t>Prompting for diagram assessment and grading</t>
  </si>
  <si>
    <t>Model quality assurance; Validation; Educational assessment</t>
  </si>
  <si>
    <t>UML (use-case, class, sequence diagrams)</t>
  </si>
  <si>
    <t>UML diagrams (student submissions)</t>
  </si>
  <si>
    <t>Assessment scores / feedback</t>
  </si>
  <si>
    <t>Student UML diagram corpus with expert grades</t>
  </si>
  <si>
    <t>Correlation with expert baselines; Inter-rater agreement</t>
  </si>
  <si>
    <t>Expert grader baselines</t>
  </si>
  <si>
    <t>No (educational setting)</t>
  </si>
  <si>
    <t>Method / Algorithm + Empirical evaluation</t>
  </si>
  <si>
    <t>Whale Optimization Algorithm; Learning-to-Rank (metaheuristics / ML)</t>
  </si>
  <si>
    <t>N/A (search-based / ranking)</t>
  </si>
  <si>
    <t>Model quality assurance; Model repair; Fault localization</t>
  </si>
  <si>
    <t>Extended Finite State Machines (EFSM)</t>
  </si>
  <si>
    <t>EFSM models with injected faults; Spectrum data</t>
  </si>
  <si>
    <t>Ranked fault locations</t>
  </si>
  <si>
    <t>EFSM fault localization benchmarks</t>
  </si>
  <si>
    <t>Localization accuracy metrics (EXAM score, etc.)</t>
  </si>
  <si>
    <t>Minimal (automated localization)</t>
  </si>
  <si>
    <t>Architecture / Framework + Industrial evaluation</t>
  </si>
  <si>
    <t>AI/ML techniques integrated with MDE</t>
  </si>
  <si>
    <t>Various AI/ML pipelines within the architecture</t>
  </si>
  <si>
    <t>Model validation; Runtime modelling; Continuous validation; DevOps automation</t>
  </si>
  <si>
    <t>Multiple MDE artefacts and metamodels</t>
  </si>
  <si>
    <t>System models; Runtime telemetry; Requirements</t>
  </si>
  <si>
    <t>Validated models; Automation artefacts; Feedback loops</t>
  </si>
  <si>
    <t>Multiple industrial case studies (AIDOaRt project)</t>
  </si>
  <si>
    <t>Industrial case studies; Continuous validation metrics</t>
  </si>
  <si>
    <t>Human-in-the-loop DevOps engineers</t>
  </si>
  <si>
    <t>Yes (multiple industrial partners)</t>
  </si>
  <si>
    <t>Method / Tool + Empirical evaluation</t>
  </si>
  <si>
    <t>Deep Convolutional Neural Networks (memoCNN)</t>
  </si>
  <si>
    <t>N/A (supervised CNN classification)</t>
  </si>
  <si>
    <t>Domain modelling; Model quality assurance; Repository management</t>
  </si>
  <si>
    <t>Ecore metamodels</t>
  </si>
  <si>
    <t>Ecore metamodel repositories (graph/image representations)</t>
  </si>
  <si>
    <t>Classified/categorized metamodels</t>
  </si>
  <si>
    <t>Ecore metamodel corpus</t>
  </si>
  <si>
    <t>Classification accuracy; Comparison with baselines</t>
  </si>
  <si>
    <t>Labeled training data from experts</t>
  </si>
  <si>
    <t>Method + Industrial case study</t>
  </si>
  <si>
    <t>Evolutionary algorithms (EMoGen)</t>
  </si>
  <si>
    <t>N/A (search-based generation)</t>
  </si>
  <si>
    <t>Requirements-to-model generation; Model generation</t>
  </si>
  <si>
    <t>Software models (game domain, large-scale)</t>
  </si>
  <si>
    <t>Search space / requirements encoding for Kromaia</t>
  </si>
  <si>
    <t>Software models with &gt;1000 elements</t>
  </si>
  <si>
    <t>Kromaia industrial game case</t>
  </si>
  <si>
    <t>Time comparison vs manual; Model quality/fitness</t>
  </si>
  <si>
    <t>Domain experts define fitness / search space</t>
  </si>
  <si>
    <t>Yes (Kromaia commercial game)</t>
  </si>
  <si>
    <t>Empirical evaluation / Comparative study</t>
  </si>
  <si>
    <t>Metaheuristic search (random, iterated local search, hill climbing, EA, hybrid EA+HC)</t>
  </si>
  <si>
    <t>N/A (search-based)</t>
  </si>
  <si>
    <t>Model completion; Feature location in models</t>
  </si>
  <si>
    <t>Software product line models</t>
  </si>
  <si>
    <t>1895 feature location problems from 40 industrial SPLs</t>
  </si>
  <si>
    <t>Located feature realizations in models</t>
  </si>
  <si>
    <t>40 industrial software product lines (1895 problems)</t>
  </si>
  <si>
    <t>Performance comparison across search strategies; Impact of model size/density measures</t>
  </si>
  <si>
    <t>Industrial models as ground truth</t>
  </si>
  <si>
    <t>Yes (40 industrial SPLs)</t>
  </si>
  <si>
    <t>NSGA-II multi-objective evolutionary optimization</t>
  </si>
  <si>
    <t>N/A (multi-objective search)</t>
  </si>
  <si>
    <t>Collaborative modelling; Model repair; Model merging</t>
  </si>
  <si>
    <t>UML / MOF-based software models</t>
  </si>
  <si>
    <t>Conflicting model versions from collaborative editing</t>
  </si>
  <si>
    <t>Merged models resolving conflicts under multiple objectives</t>
  </si>
  <si>
    <t>Collaborative modelling conflict scenarios</t>
  </si>
  <si>
    <t>Multi-objective quality metrics; Comparison with existing merge tools</t>
  </si>
  <si>
    <t>Developers select preferred solutions from Pareto front</t>
  </si>
  <si>
    <t>Limited</t>
  </si>
  <si>
    <t>Reinforcement Learning (Q-learning)</t>
  </si>
  <si>
    <t>N/A (RL exploration policy)</t>
  </si>
  <si>
    <t>Behavioural modelling; Runtime modelling; Model synthesis</t>
  </si>
  <si>
    <t>Behavioral state models of web applications</t>
  </si>
  <si>
    <t>Dynamic web applications (runtime exploration)</t>
  </si>
  <si>
    <t>Behavioral state models / exploration traces</t>
  </si>
  <si>
    <t>Dynamic web application benchmarks</t>
  </si>
  <si>
    <t>Exploration coverage; Model quality vs unguided baselines</t>
  </si>
  <si>
    <t>Minimal (automated exploration)</t>
  </si>
  <si>
    <t>Scored By</t>
  </si>
  <si>
    <t>Research clarity</t>
  </si>
  <si>
    <t>Context</t>
  </si>
  <si>
    <t>AI transparency</t>
  </si>
  <si>
    <t>Modelling transparency</t>
  </si>
  <si>
    <t>Dataset quality</t>
  </si>
  <si>
    <t>Baseline</t>
  </si>
  <si>
    <t>Syntactic validity</t>
  </si>
  <si>
    <t>Semantic fidelity</t>
  </si>
  <si>
    <t>Completeness</t>
  </si>
  <si>
    <t>Cross-view consistency</t>
  </si>
  <si>
    <t>Independent validation</t>
  </si>
  <si>
    <t>Human expertise</t>
  </si>
  <si>
    <t>Experimental rigour</t>
  </si>
  <si>
    <t>Statistical analysis</t>
  </si>
  <si>
    <t>Reproducibility</t>
  </si>
  <si>
    <t>Practical relevance</t>
  </si>
  <si>
    <t>Scalability</t>
  </si>
  <si>
    <t>Threats to validity</t>
  </si>
  <si>
    <t>Total (/18)</t>
  </si>
  <si>
    <t>Notes</t>
  </si>
  <si>
    <t>PRISMA Flow — Auto-Calculated Counts</t>
  </si>
  <si>
    <t>These update automatically as you fill in the Screening Tracker and Full-Text Eligibility tabs.</t>
  </si>
  <si>
    <t>Stage</t>
  </si>
  <si>
    <t>Count</t>
  </si>
  <si>
    <t>Records identified through database searching</t>
  </si>
  <si>
    <t>Records after title/abstract screening (Final Decision = Include or Maybe)</t>
  </si>
  <si>
    <t>Records excluded at title/abstract stage</t>
  </si>
  <si>
    <t>Full-text articles assessed for eligibility</t>
  </si>
  <si>
    <t>Full-text articles excluded (with reasons)</t>
  </si>
  <si>
    <t>Studies included in qualitative synthesis (final)</t>
  </si>
  <si>
    <t>Records by database:</t>
  </si>
  <si>
    <t>Google Scholar (snowball)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</si>
</sst>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6"/>
      <color rgb="FF1B2A4A"/>
      <name val="Calibri"/>
      <charset val="1"/>
    </font>
    <font>
      <b/>
      <sz val="12"/>
      <color rgb="FF3D85C6"/>
      <name val="Calibri"/>
      <charset val="1"/>
    </font>
    <font>
      <sz val="11"/>
      <name val="Calibri"/>
      <charset val="1"/>
    </font>
    <font>
      <b/>
      <sz val="11"/>
      <color rgb="FFFFFFFF"/>
      <name val="Calibri"/>
      <charset val="1"/>
    </font>
    <font>
      <i/>
      <sz val="10"/>
      <color rgb="FF808080"/>
      <name val="Calibri"/>
      <charset val="1"/>
    </font>
    <font>
      <i/>
      <sz val="10"/>
      <color rgb="FF666666"/>
      <name val="Calibri"/>
      <charset val="1"/>
    </font>
    <font>
      <b/>
      <sz val="12"/>
      <color rgb="FF1B2A4A"/>
      <name val="Calibri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5" fillId="0" borderId="1" xfId="0" applyFont="1" applyBorder="1"/>
    <xf numFmtId="0" fontId="6" fillId="0" borderId="0" xfId="0" applyFont="1"/>
    <xf numFmtId="0" fontId="4" fillId="2" borderId="0" xfId="0" applyFont="1" applyFill="1"/>
    <xf numFmtId="0" fontId="7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8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D85C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jss.2026.112871" TargetMode="External"/><Relationship Id="rId2" Type="http://schemas.openxmlformats.org/officeDocument/2006/relationships/hyperlink" Target="https://doi.org/10.1016/j.infsof.2026.108280" TargetMode="External"/><Relationship Id="rId1" Type="http://schemas.openxmlformats.org/officeDocument/2006/relationships/hyperlink" Target="https://doi.org/10.1016/j.jss.2026.113014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opLeftCell="A26" zoomScaleNormal="100" workbookViewId="0">
      <selection activeCell="A33" sqref="A33"/>
    </sheetView>
  </sheetViews>
  <sheetFormatPr defaultColWidth="8.6328125" defaultRowHeight="14.5" x14ac:dyDescent="0.35"/>
  <cols>
    <col min="1" max="1" width="95" customWidth="1"/>
  </cols>
  <sheetData>
    <row r="1" spans="1:1" ht="19.75" customHeight="1" x14ac:dyDescent="0.5">
      <c r="A1" s="1" t="s">
        <v>0</v>
      </c>
    </row>
    <row r="2" spans="1:1" ht="15" customHeight="1" x14ac:dyDescent="0.35">
      <c r="A2" s="2" t="s">
        <v>1</v>
      </c>
    </row>
    <row r="3" spans="1:1" ht="15" customHeight="1" x14ac:dyDescent="0.35">
      <c r="A3" s="3"/>
    </row>
    <row r="4" spans="1:1" ht="15" customHeight="1" x14ac:dyDescent="0.35">
      <c r="A4" s="3" t="s">
        <v>2</v>
      </c>
    </row>
    <row r="5" spans="1:1" ht="15" customHeight="1" x14ac:dyDescent="0.35">
      <c r="A5" s="3"/>
    </row>
    <row r="6" spans="1:1" ht="15" customHeight="1" x14ac:dyDescent="0.35">
      <c r="A6" s="3" t="s">
        <v>3</v>
      </c>
    </row>
    <row r="7" spans="1:1" ht="15" customHeight="1" x14ac:dyDescent="0.35">
      <c r="A7" s="3" t="s">
        <v>4</v>
      </c>
    </row>
    <row r="8" spans="1:1" ht="15" customHeight="1" x14ac:dyDescent="0.35">
      <c r="A8" s="3" t="s">
        <v>5</v>
      </c>
    </row>
    <row r="9" spans="1:1" ht="15" customHeight="1" x14ac:dyDescent="0.35">
      <c r="A9" s="3"/>
    </row>
    <row r="10" spans="1:1" ht="15" customHeight="1" x14ac:dyDescent="0.35">
      <c r="A10" s="3" t="s">
        <v>6</v>
      </c>
    </row>
    <row r="11" spans="1:1" ht="15" customHeight="1" x14ac:dyDescent="0.35">
      <c r="A11" s="3" t="s">
        <v>7</v>
      </c>
    </row>
    <row r="12" spans="1:1" ht="15" customHeight="1" x14ac:dyDescent="0.35">
      <c r="A12" s="3" t="s">
        <v>8</v>
      </c>
    </row>
    <row r="13" spans="1:1" ht="15" customHeight="1" x14ac:dyDescent="0.35">
      <c r="A13" s="3"/>
    </row>
    <row r="14" spans="1:1" ht="15" customHeight="1" x14ac:dyDescent="0.35">
      <c r="A14" s="3" t="s">
        <v>9</v>
      </c>
    </row>
    <row r="15" spans="1:1" ht="15" customHeight="1" x14ac:dyDescent="0.35">
      <c r="A15" s="3" t="s">
        <v>10</v>
      </c>
    </row>
    <row r="16" spans="1:1" ht="15" customHeight="1" x14ac:dyDescent="0.35">
      <c r="A16" s="3" t="s">
        <v>11</v>
      </c>
    </row>
    <row r="17" spans="1:3" ht="15" customHeight="1" x14ac:dyDescent="0.35">
      <c r="A17" s="3"/>
    </row>
    <row r="18" spans="1:3" ht="15" customHeight="1" x14ac:dyDescent="0.35">
      <c r="A18" s="3" t="s">
        <v>12</v>
      </c>
    </row>
    <row r="19" spans="1:3" ht="15" customHeight="1" x14ac:dyDescent="0.35">
      <c r="A19" s="3" t="s">
        <v>13</v>
      </c>
    </row>
    <row r="20" spans="1:3" ht="15" customHeight="1" x14ac:dyDescent="0.35">
      <c r="A20" s="3" t="s">
        <v>14</v>
      </c>
    </row>
    <row r="21" spans="1:3" ht="15" customHeight="1" x14ac:dyDescent="0.35">
      <c r="A21" s="3"/>
    </row>
    <row r="22" spans="1:3" ht="15" customHeight="1" x14ac:dyDescent="0.35">
      <c r="A22" s="3" t="s">
        <v>15</v>
      </c>
    </row>
    <row r="23" spans="1:3" ht="15" customHeight="1" x14ac:dyDescent="0.35">
      <c r="A23" s="3" t="s">
        <v>16</v>
      </c>
    </row>
    <row r="24" spans="1:3" ht="15" customHeight="1" x14ac:dyDescent="0.35">
      <c r="A24" s="3"/>
    </row>
    <row r="25" spans="1:3" ht="15" customHeight="1" x14ac:dyDescent="0.35">
      <c r="A25" s="3" t="s">
        <v>17</v>
      </c>
    </row>
    <row r="26" spans="1:3" ht="15" customHeight="1" x14ac:dyDescent="0.35">
      <c r="A26" s="3" t="s">
        <v>18</v>
      </c>
    </row>
    <row r="27" spans="1:3" ht="15" customHeight="1" x14ac:dyDescent="0.35">
      <c r="A27" s="3" t="s">
        <v>19</v>
      </c>
    </row>
    <row r="28" spans="1:3" ht="15" customHeight="1" x14ac:dyDescent="0.35">
      <c r="A28" s="3" t="s">
        <v>20</v>
      </c>
    </row>
    <row r="30" spans="1:3" ht="28.4" customHeight="1" x14ac:dyDescent="0.35">
      <c r="A30" s="4" t="s">
        <v>21</v>
      </c>
      <c r="B30" s="4" t="s">
        <v>22</v>
      </c>
      <c r="C30" s="4" t="s">
        <v>23</v>
      </c>
    </row>
    <row r="31" spans="1:3" ht="15" customHeight="1" x14ac:dyDescent="0.35">
      <c r="A31" s="5" t="s">
        <v>24</v>
      </c>
      <c r="B31" s="5" t="s">
        <v>25</v>
      </c>
      <c r="C31" s="5" t="s">
        <v>26</v>
      </c>
    </row>
    <row r="32" spans="1:3" ht="15" customHeight="1" x14ac:dyDescent="0.35">
      <c r="A32" s="5" t="s">
        <v>27</v>
      </c>
      <c r="B32" s="5" t="s">
        <v>28</v>
      </c>
      <c r="C32" s="5" t="s">
        <v>26</v>
      </c>
    </row>
    <row r="33" spans="1:3" ht="15" customHeight="1" x14ac:dyDescent="0.35">
      <c r="A33" s="5" t="s">
        <v>54</v>
      </c>
      <c r="B33" s="5" t="s">
        <v>30</v>
      </c>
      <c r="C33" s="5" t="s">
        <v>26</v>
      </c>
    </row>
    <row r="34" spans="1:3" ht="15" customHeight="1" x14ac:dyDescent="0.35">
      <c r="A34" s="5" t="s">
        <v>31</v>
      </c>
      <c r="B34" s="5" t="s">
        <v>32</v>
      </c>
      <c r="C34" s="5" t="s">
        <v>26</v>
      </c>
    </row>
    <row r="35" spans="1:3" ht="15" customHeight="1" x14ac:dyDescent="0.35">
      <c r="A35" s="5" t="s">
        <v>33</v>
      </c>
      <c r="B35" s="5" t="s">
        <v>34</v>
      </c>
      <c r="C35" s="5" t="s">
        <v>26</v>
      </c>
    </row>
    <row r="36" spans="1:3" ht="15" customHeight="1" x14ac:dyDescent="0.35">
      <c r="A36" s="5" t="s">
        <v>35</v>
      </c>
      <c r="B36" s="5" t="s">
        <v>36</v>
      </c>
      <c r="C36" s="5" t="s">
        <v>26</v>
      </c>
    </row>
    <row r="37" spans="1:3" ht="15" customHeight="1" x14ac:dyDescent="0.35">
      <c r="A37" s="5" t="s">
        <v>37</v>
      </c>
      <c r="B37" s="5" t="s">
        <v>38</v>
      </c>
      <c r="C37" s="5" t="s">
        <v>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01"/>
  <sheetViews>
    <sheetView tabSelected="1" topLeftCell="D1" zoomScaleNormal="100" workbookViewId="0">
      <pane ySplit="1" topLeftCell="A2" activePane="bottomLeft" state="frozen"/>
      <selection pane="bottomLeft" activeCell="H4" sqref="H4"/>
    </sheetView>
  </sheetViews>
  <sheetFormatPr defaultColWidth="8.6328125" defaultRowHeight="14.5" x14ac:dyDescent="0.35"/>
  <cols>
    <col min="1" max="1" width="5" customWidth="1"/>
    <col min="2" max="2" width="16" customWidth="1"/>
    <col min="3" max="3" width="14" customWidth="1"/>
    <col min="4" max="4" width="32" customWidth="1"/>
    <col min="5" max="5" width="22" customWidth="1"/>
    <col min="6" max="6" width="8" customWidth="1"/>
    <col min="7" max="7" width="20" customWidth="1"/>
    <col min="8" max="8" width="24" customWidth="1"/>
    <col min="9" max="9" width="40" customWidth="1"/>
    <col min="10" max="11" width="16" customWidth="1"/>
    <col min="12" max="12" width="14" customWidth="1"/>
    <col min="13" max="13" width="30" customWidth="1"/>
  </cols>
  <sheetData>
    <row r="1" spans="1:13" ht="28.4" customHeight="1" x14ac:dyDescent="0.35">
      <c r="A1" s="4" t="s">
        <v>39</v>
      </c>
      <c r="B1" s="4" t="s">
        <v>40</v>
      </c>
      <c r="C1" s="4" t="s">
        <v>41</v>
      </c>
      <c r="D1" s="4" t="s">
        <v>42</v>
      </c>
      <c r="E1" s="4" t="s">
        <v>43</v>
      </c>
      <c r="F1" s="4" t="s">
        <v>44</v>
      </c>
      <c r="G1" s="4" t="s">
        <v>45</v>
      </c>
      <c r="H1" s="4" t="s">
        <v>46</v>
      </c>
      <c r="I1" s="4" t="s">
        <v>47</v>
      </c>
      <c r="J1" s="4" t="s">
        <v>48</v>
      </c>
      <c r="K1" s="4" t="s">
        <v>49</v>
      </c>
      <c r="L1" s="4" t="s">
        <v>50</v>
      </c>
      <c r="M1" s="4" t="s">
        <v>51</v>
      </c>
    </row>
    <row r="2" spans="1:13" ht="15" customHeight="1" x14ac:dyDescent="0.35">
      <c r="A2" s="5">
        <v>1</v>
      </c>
      <c r="B2" s="5" t="s">
        <v>30</v>
      </c>
      <c r="C2" s="5" t="s">
        <v>54</v>
      </c>
      <c r="D2" s="5" t="s">
        <v>55</v>
      </c>
      <c r="E2" s="5" t="s">
        <v>56</v>
      </c>
      <c r="F2" s="5">
        <v>2026</v>
      </c>
      <c r="G2" s="5" t="s">
        <v>57</v>
      </c>
      <c r="H2" s="11" t="s">
        <v>58</v>
      </c>
      <c r="I2" s="5" t="s">
        <v>59</v>
      </c>
      <c r="J2" s="5" t="s">
        <v>53</v>
      </c>
      <c r="K2" s="5" t="s">
        <v>53</v>
      </c>
      <c r="L2" s="5" t="s">
        <v>53</v>
      </c>
      <c r="M2" s="5"/>
    </row>
    <row r="3" spans="1:13" ht="15" customHeight="1" x14ac:dyDescent="0.35">
      <c r="A3" s="5">
        <v>2</v>
      </c>
      <c r="B3" s="5" t="s">
        <v>30</v>
      </c>
      <c r="C3" s="5" t="s">
        <v>54</v>
      </c>
      <c r="D3" s="5" t="s">
        <v>60</v>
      </c>
      <c r="E3" s="5" t="s">
        <v>61</v>
      </c>
      <c r="F3" s="5">
        <v>2026</v>
      </c>
      <c r="G3" s="5" t="s">
        <v>62</v>
      </c>
      <c r="H3" s="11" t="s">
        <v>63</v>
      </c>
      <c r="I3" s="5" t="s">
        <v>64</v>
      </c>
      <c r="J3" s="5" t="s">
        <v>53</v>
      </c>
      <c r="K3" s="5" t="s">
        <v>53</v>
      </c>
      <c r="L3" s="5" t="s">
        <v>53</v>
      </c>
      <c r="M3" s="5"/>
    </row>
    <row r="4" spans="1:13" ht="15" customHeight="1" x14ac:dyDescent="0.35">
      <c r="A4" s="5">
        <v>3</v>
      </c>
      <c r="B4" s="5" t="s">
        <v>30</v>
      </c>
      <c r="C4" s="5" t="s">
        <v>54</v>
      </c>
      <c r="D4" s="5" t="s">
        <v>65</v>
      </c>
      <c r="E4" s="5" t="s">
        <v>66</v>
      </c>
      <c r="F4" s="5">
        <v>2026</v>
      </c>
      <c r="G4" s="5" t="s">
        <v>57</v>
      </c>
      <c r="H4" s="11" t="s">
        <v>67</v>
      </c>
      <c r="I4" s="5" t="s">
        <v>68</v>
      </c>
      <c r="J4" s="5" t="s">
        <v>53</v>
      </c>
      <c r="K4" s="5" t="s">
        <v>53</v>
      </c>
      <c r="L4" s="5" t="s">
        <v>53</v>
      </c>
      <c r="M4" s="5"/>
    </row>
    <row r="5" spans="1:13" ht="15" customHeight="1" x14ac:dyDescent="0.35">
      <c r="A5" s="5">
        <v>4</v>
      </c>
      <c r="B5" s="5" t="s">
        <v>30</v>
      </c>
      <c r="C5" s="5" t="s">
        <v>54</v>
      </c>
      <c r="D5" s="5" t="s">
        <v>69</v>
      </c>
      <c r="E5" s="5" t="s">
        <v>70</v>
      </c>
      <c r="F5" s="5">
        <v>2026</v>
      </c>
      <c r="G5" s="5" t="s">
        <v>57</v>
      </c>
      <c r="H5" s="5" t="s">
        <v>71</v>
      </c>
      <c r="I5" s="5" t="s">
        <v>72</v>
      </c>
      <c r="J5" s="5" t="s">
        <v>53</v>
      </c>
      <c r="K5" s="5" t="s">
        <v>53</v>
      </c>
      <c r="L5" s="5" t="s">
        <v>53</v>
      </c>
      <c r="M5" s="5"/>
    </row>
    <row r="6" spans="1:13" ht="15" customHeight="1" x14ac:dyDescent="0.35">
      <c r="A6" s="5">
        <v>5</v>
      </c>
      <c r="B6" s="5" t="s">
        <v>30</v>
      </c>
      <c r="C6" s="5" t="s">
        <v>54</v>
      </c>
      <c r="D6" s="5" t="s">
        <v>73</v>
      </c>
      <c r="E6" s="5" t="s">
        <v>74</v>
      </c>
      <c r="F6" s="5">
        <v>2026</v>
      </c>
      <c r="G6" s="5" t="s">
        <v>62</v>
      </c>
      <c r="H6" s="5" t="s">
        <v>75</v>
      </c>
      <c r="I6" s="5" t="s">
        <v>76</v>
      </c>
      <c r="J6" s="5" t="s">
        <v>53</v>
      </c>
      <c r="K6" s="5" t="s">
        <v>53</v>
      </c>
      <c r="L6" s="5" t="s">
        <v>53</v>
      </c>
      <c r="M6" s="5"/>
    </row>
    <row r="7" spans="1:13" ht="15" customHeight="1" x14ac:dyDescent="0.35">
      <c r="A7" s="5">
        <v>6</v>
      </c>
      <c r="B7" s="5" t="s">
        <v>30</v>
      </c>
      <c r="C7" s="5" t="s">
        <v>54</v>
      </c>
      <c r="D7" s="5" t="s">
        <v>77</v>
      </c>
      <c r="E7" s="5" t="s">
        <v>78</v>
      </c>
      <c r="F7" s="5">
        <v>2026</v>
      </c>
      <c r="G7" s="5" t="s">
        <v>57</v>
      </c>
      <c r="H7" s="5" t="s">
        <v>79</v>
      </c>
      <c r="I7" s="5" t="s">
        <v>80</v>
      </c>
      <c r="J7" s="5" t="s">
        <v>53</v>
      </c>
      <c r="K7" s="5" t="s">
        <v>53</v>
      </c>
      <c r="L7" s="5" t="s">
        <v>53</v>
      </c>
      <c r="M7" s="5"/>
    </row>
    <row r="8" spans="1:13" ht="15" customHeight="1" x14ac:dyDescent="0.35">
      <c r="A8" s="5">
        <v>7</v>
      </c>
      <c r="B8" s="5" t="s">
        <v>30</v>
      </c>
      <c r="C8" s="5" t="s">
        <v>54</v>
      </c>
      <c r="D8" s="5" t="s">
        <v>81</v>
      </c>
      <c r="E8" s="5" t="s">
        <v>82</v>
      </c>
      <c r="F8" s="5">
        <v>2025</v>
      </c>
      <c r="G8" s="5" t="s">
        <v>57</v>
      </c>
      <c r="H8" s="5" t="s">
        <v>83</v>
      </c>
      <c r="I8" s="5" t="s">
        <v>84</v>
      </c>
      <c r="J8" s="5" t="s">
        <v>53</v>
      </c>
      <c r="K8" s="5" t="s">
        <v>53</v>
      </c>
      <c r="L8" s="5" t="s">
        <v>53</v>
      </c>
      <c r="M8" s="5"/>
    </row>
    <row r="9" spans="1:13" ht="15" customHeight="1" x14ac:dyDescent="0.35">
      <c r="A9" s="5">
        <v>8</v>
      </c>
      <c r="B9" s="5" t="s">
        <v>30</v>
      </c>
      <c r="C9" s="5" t="s">
        <v>54</v>
      </c>
      <c r="D9" s="5" t="s">
        <v>85</v>
      </c>
      <c r="E9" s="5" t="s">
        <v>86</v>
      </c>
      <c r="F9" s="5">
        <v>2024</v>
      </c>
      <c r="G9" s="5" t="s">
        <v>57</v>
      </c>
      <c r="H9" s="5" t="s">
        <v>87</v>
      </c>
      <c r="I9" s="5" t="s">
        <v>88</v>
      </c>
      <c r="J9" s="5" t="s">
        <v>53</v>
      </c>
      <c r="K9" s="5" t="s">
        <v>53</v>
      </c>
      <c r="L9" s="5" t="s">
        <v>53</v>
      </c>
      <c r="M9" s="5"/>
    </row>
    <row r="10" spans="1:13" ht="15" customHeight="1" x14ac:dyDescent="0.35">
      <c r="A10" s="5">
        <v>9</v>
      </c>
      <c r="B10" s="5" t="s">
        <v>30</v>
      </c>
      <c r="C10" s="5" t="s">
        <v>54</v>
      </c>
      <c r="D10" s="5" t="s">
        <v>89</v>
      </c>
      <c r="E10" s="5" t="s">
        <v>90</v>
      </c>
      <c r="F10" s="5">
        <v>2021</v>
      </c>
      <c r="G10" s="5" t="s">
        <v>57</v>
      </c>
      <c r="H10" s="5" t="s">
        <v>91</v>
      </c>
      <c r="I10" s="5" t="s">
        <v>92</v>
      </c>
      <c r="J10" s="5" t="s">
        <v>53</v>
      </c>
      <c r="K10" s="5" t="s">
        <v>53</v>
      </c>
      <c r="L10" s="5" t="s">
        <v>53</v>
      </c>
      <c r="M10" s="5"/>
    </row>
    <row r="11" spans="1:13" ht="15" customHeight="1" x14ac:dyDescent="0.35">
      <c r="A11" s="5">
        <v>10</v>
      </c>
      <c r="B11" s="5" t="s">
        <v>30</v>
      </c>
      <c r="C11" s="5" t="s">
        <v>54</v>
      </c>
      <c r="D11" s="5" t="s">
        <v>93</v>
      </c>
      <c r="E11" s="5" t="s">
        <v>94</v>
      </c>
      <c r="F11" s="5">
        <v>2021</v>
      </c>
      <c r="G11" s="5" t="s">
        <v>57</v>
      </c>
      <c r="H11" s="5" t="s">
        <v>95</v>
      </c>
      <c r="I11" s="5" t="s">
        <v>96</v>
      </c>
      <c r="J11" s="5" t="s">
        <v>53</v>
      </c>
      <c r="K11" s="5" t="s">
        <v>53</v>
      </c>
      <c r="L11" s="5" t="s">
        <v>53</v>
      </c>
      <c r="M11" s="5"/>
    </row>
    <row r="12" spans="1:13" ht="15" customHeight="1" x14ac:dyDescent="0.35">
      <c r="A12" s="5">
        <v>11</v>
      </c>
      <c r="B12" s="5" t="s">
        <v>30</v>
      </c>
      <c r="C12" s="5" t="s">
        <v>54</v>
      </c>
      <c r="D12" s="5" t="s">
        <v>97</v>
      </c>
      <c r="E12" s="5" t="s">
        <v>98</v>
      </c>
      <c r="F12" s="5">
        <v>2021</v>
      </c>
      <c r="G12" s="5" t="s">
        <v>57</v>
      </c>
      <c r="H12" s="5" t="s">
        <v>99</v>
      </c>
      <c r="I12" s="5" t="s">
        <v>100</v>
      </c>
      <c r="J12" s="5" t="s">
        <v>53</v>
      </c>
      <c r="K12" s="5" t="s">
        <v>53</v>
      </c>
      <c r="L12" s="5" t="s">
        <v>53</v>
      </c>
      <c r="M12" s="5"/>
    </row>
    <row r="13" spans="1:13" ht="15" customHeight="1" x14ac:dyDescent="0.35">
      <c r="A13" s="5">
        <v>12</v>
      </c>
      <c r="B13" s="5" t="s">
        <v>30</v>
      </c>
      <c r="C13" s="5" t="s">
        <v>54</v>
      </c>
      <c r="D13" s="5" t="s">
        <v>101</v>
      </c>
      <c r="E13" s="5" t="s">
        <v>102</v>
      </c>
      <c r="F13" s="5">
        <v>2015</v>
      </c>
      <c r="G13" s="5" t="s">
        <v>57</v>
      </c>
      <c r="H13" s="5" t="s">
        <v>103</v>
      </c>
      <c r="I13" s="5" t="s">
        <v>104</v>
      </c>
      <c r="J13" s="5" t="s">
        <v>53</v>
      </c>
      <c r="K13" s="5" t="s">
        <v>53</v>
      </c>
      <c r="L13" s="5" t="s">
        <v>53</v>
      </c>
      <c r="M13" s="5"/>
    </row>
    <row r="14" spans="1:13" ht="15" customHeight="1" x14ac:dyDescent="0.35">
      <c r="A14" s="5">
        <v>13</v>
      </c>
      <c r="B14" s="5" t="s">
        <v>30</v>
      </c>
      <c r="C14" s="5" t="s">
        <v>54</v>
      </c>
      <c r="D14" s="5" t="s">
        <v>105</v>
      </c>
      <c r="E14" s="5" t="s">
        <v>106</v>
      </c>
      <c r="F14" s="5">
        <v>2023</v>
      </c>
      <c r="G14" s="5" t="s">
        <v>57</v>
      </c>
      <c r="H14" s="5" t="s">
        <v>107</v>
      </c>
      <c r="I14" s="5" t="s">
        <v>108</v>
      </c>
      <c r="J14" s="5" t="s">
        <v>53</v>
      </c>
      <c r="K14" s="5" t="s">
        <v>53</v>
      </c>
      <c r="L14" s="5" t="s">
        <v>53</v>
      </c>
      <c r="M14" s="5"/>
    </row>
    <row r="15" spans="1:13" ht="15" customHeight="1" x14ac:dyDescent="0.3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 ht="15" customHeight="1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1:13" ht="15" customHeight="1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 ht="15" customHeight="1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 ht="15" customHeight="1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spans="1:13" ht="15" customHeight="1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spans="1:13" ht="15" customHeight="1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3" ht="15" customHeight="1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spans="1:13" ht="15" customHeight="1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spans="1:13" ht="15" customHeight="1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spans="1:13" ht="15" customHeight="1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spans="1:13" ht="15" customHeight="1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spans="1:13" ht="15" customHeight="1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spans="1:13" ht="15" customHeight="1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spans="1:13" ht="15" customHeight="1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spans="1:13" ht="15" customHeight="1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spans="1:13" ht="15" customHeight="1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spans="1:13" ht="15" customHeight="1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spans="1:13" ht="15" customHeight="1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spans="1:13" ht="15" customHeight="1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spans="1:13" ht="15" customHeight="1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spans="1:13" ht="15" customHeight="1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spans="1:13" ht="15" customHeight="1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spans="1:13" ht="15" customHeight="1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spans="1:13" ht="15" customHeight="1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spans="1:13" ht="15" customHeight="1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spans="1:13" ht="15" customHeight="1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 ht="15" customHeight="1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spans="1:13" ht="15" customHeight="1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 ht="15" customHeight="1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spans="1:13" ht="15" customHeight="1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 spans="1:13" ht="15" customHeight="1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 spans="1:13" ht="15" customHeight="1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spans="1:13" ht="15" customHeight="1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 spans="1:13" ht="15" customHeight="1" x14ac:dyDescent="0.3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spans="1:13" ht="15" customHeight="1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spans="1:13" ht="15" customHeight="1" x14ac:dyDescent="0.3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 spans="1:13" ht="15" customHeight="1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 spans="1:13" ht="15" customHeight="1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spans="1:13" ht="15" customHeight="1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 spans="1:13" ht="15" customHeight="1" x14ac:dyDescent="0.3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 spans="1:13" ht="15" customHeight="1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 spans="1:13" ht="15" customHeight="1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 spans="1:13" ht="15" customHeight="1" x14ac:dyDescent="0.3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 spans="1:13" ht="15" customHeight="1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 spans="1:13" ht="15" customHeight="1" x14ac:dyDescent="0.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 spans="1:13" ht="15" customHeight="1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spans="1:13" ht="15" customHeight="1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 spans="1:13" ht="15" customHeight="1" x14ac:dyDescent="0.3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 spans="1:13" ht="15" customHeight="1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 spans="1:13" ht="15" customHeight="1" x14ac:dyDescent="0.3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 spans="1:13" ht="15" customHeight="1" x14ac:dyDescent="0.3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 spans="1:13" ht="15" customHeight="1" x14ac:dyDescent="0.3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 spans="1:13" ht="15" customHeight="1" x14ac:dyDescent="0.3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 spans="1:13" ht="15" customHeight="1" x14ac:dyDescent="0.3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 spans="1:13" ht="15" customHeight="1" x14ac:dyDescent="0.3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 spans="1:13" ht="15" customHeight="1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 spans="1:13" ht="15" customHeight="1" x14ac:dyDescent="0.3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 spans="1:13" ht="15" customHeight="1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 spans="1:13" ht="15" customHeight="1" x14ac:dyDescent="0.3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 spans="1:13" ht="15" customHeight="1" x14ac:dyDescent="0.3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 spans="1:13" ht="15" customHeight="1" x14ac:dyDescent="0.3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 spans="1:13" ht="15" customHeight="1" x14ac:dyDescent="0.3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 spans="1:13" ht="15" customHeight="1" x14ac:dyDescent="0.3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 spans="1:13" ht="15" customHeight="1" x14ac:dyDescent="0.3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 spans="1:13" ht="15" customHeight="1" x14ac:dyDescent="0.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 spans="1:13" ht="15" customHeight="1" x14ac:dyDescent="0.3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</row>
    <row r="82" spans="1:13" ht="15" customHeight="1" x14ac:dyDescent="0.3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</row>
    <row r="83" spans="1:13" ht="15" customHeight="1" x14ac:dyDescent="0.3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 spans="1:13" ht="15" customHeight="1" x14ac:dyDescent="0.3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 spans="1:13" ht="15" customHeight="1" x14ac:dyDescent="0.3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</row>
    <row r="86" spans="1:13" ht="15" customHeight="1" x14ac:dyDescent="0.3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 spans="1:13" ht="15" customHeight="1" x14ac:dyDescent="0.3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</row>
    <row r="88" spans="1:13" ht="15" customHeight="1" x14ac:dyDescent="0.3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 spans="1:13" ht="15" customHeight="1" x14ac:dyDescent="0.3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</row>
    <row r="90" spans="1:13" ht="15" customHeight="1" x14ac:dyDescent="0.3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 spans="1:13" ht="15" customHeight="1" x14ac:dyDescent="0.3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</row>
    <row r="92" spans="1:13" ht="15" customHeight="1" x14ac:dyDescent="0.3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 spans="1:13" ht="15" customHeight="1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 spans="1:13" ht="15" customHeight="1" x14ac:dyDescent="0.3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 spans="1:13" ht="15" customHeight="1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 spans="1:13" ht="15" customHeight="1" x14ac:dyDescent="0.3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 spans="1:13" ht="15" customHeight="1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 spans="1:13" ht="15" customHeight="1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 spans="1:13" ht="15" customHeight="1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 spans="1:13" ht="15" customHeight="1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 spans="1:13" ht="15" customHeight="1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 spans="1:13" ht="15" customHeight="1" x14ac:dyDescent="0.3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 spans="1:13" ht="15" customHeight="1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</row>
    <row r="104" spans="1:13" ht="15" customHeight="1" x14ac:dyDescent="0.3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</row>
    <row r="105" spans="1:13" ht="15" customHeight="1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</row>
    <row r="106" spans="1:13" ht="15" customHeight="1" x14ac:dyDescent="0.3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</row>
    <row r="107" spans="1:13" ht="15" customHeight="1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 spans="1:13" ht="15" customHeight="1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 spans="1:13" ht="15" customHeight="1" x14ac:dyDescent="0.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</row>
    <row r="110" spans="1:13" ht="15" customHeight="1" x14ac:dyDescent="0.3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 spans="1:13" ht="15" customHeight="1" x14ac:dyDescent="0.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 spans="1:13" ht="15" customHeight="1" x14ac:dyDescent="0.3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 spans="1:13" ht="15" customHeight="1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 spans="1:13" ht="15" customHeight="1" x14ac:dyDescent="0.3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 spans="1:13" ht="15" customHeight="1" x14ac:dyDescent="0.3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 spans="1:13" ht="15" customHeight="1" x14ac:dyDescent="0.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 spans="1:13" ht="15" customHeight="1" x14ac:dyDescent="0.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 spans="1:13" ht="15" customHeight="1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 spans="1:13" ht="15" customHeight="1" x14ac:dyDescent="0.3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 spans="1:13" ht="15" customHeight="1" x14ac:dyDescent="0.3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</row>
    <row r="121" spans="1:13" ht="15" customHeight="1" x14ac:dyDescent="0.3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 spans="1:13" ht="15" customHeight="1" x14ac:dyDescent="0.3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 spans="1:13" ht="15" customHeight="1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 spans="1:13" ht="15" customHeight="1" x14ac:dyDescent="0.3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 spans="1:13" ht="15" customHeight="1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 spans="1:13" ht="15" customHeight="1" x14ac:dyDescent="0.3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</row>
    <row r="127" spans="1:13" ht="15" customHeight="1" x14ac:dyDescent="0.3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 spans="1:13" ht="15" customHeight="1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 spans="1:13" ht="15" customHeight="1" x14ac:dyDescent="0.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</row>
    <row r="130" spans="1:13" ht="15" customHeight="1" x14ac:dyDescent="0.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 spans="1:13" ht="15" customHeight="1" x14ac:dyDescent="0.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 spans="1:13" ht="15" customHeight="1" x14ac:dyDescent="0.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 spans="1:13" ht="15" customHeight="1" x14ac:dyDescent="0.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 spans="1:13" ht="15" customHeight="1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 spans="1:13" ht="15" customHeight="1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 spans="1:13" ht="15" customHeight="1" x14ac:dyDescent="0.3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 spans="1:13" ht="15" customHeight="1" x14ac:dyDescent="0.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 spans="1:13" ht="15" customHeight="1" x14ac:dyDescent="0.3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 spans="1:13" ht="15" customHeight="1" x14ac:dyDescent="0.3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 spans="1:13" ht="15" customHeight="1" x14ac:dyDescent="0.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 spans="1:13" ht="15" customHeight="1" x14ac:dyDescent="0.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 spans="1:13" ht="15" customHeight="1" x14ac:dyDescent="0.3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 spans="1:13" ht="15" customHeight="1" x14ac:dyDescent="0.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 spans="1:13" ht="15" customHeight="1" x14ac:dyDescent="0.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</row>
    <row r="145" spans="1:13" ht="15" customHeight="1" x14ac:dyDescent="0.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 spans="1:13" ht="15" customHeight="1" x14ac:dyDescent="0.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 spans="1:13" ht="15" customHeight="1" x14ac:dyDescent="0.3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 spans="1:13" ht="15" customHeight="1" x14ac:dyDescent="0.3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 spans="1:13" ht="15" customHeight="1" x14ac:dyDescent="0.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 spans="1:13" ht="15" customHeight="1" x14ac:dyDescent="0.3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spans="1:13" ht="15" customHeight="1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3" ht="15" customHeight="1" x14ac:dyDescent="0.3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3" ht="15" customHeight="1" x14ac:dyDescent="0.3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3" ht="15" customHeight="1" x14ac:dyDescent="0.3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3" ht="15" customHeight="1" x14ac:dyDescent="0.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3" ht="15" customHeight="1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3" ht="15" customHeight="1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3" ht="15" customHeight="1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3" ht="15" customHeight="1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3" ht="15" customHeight="1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ht="15" customHeight="1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ht="15" customHeight="1" x14ac:dyDescent="0.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ht="15" customHeight="1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ht="15" customHeight="1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ht="15" customHeight="1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ht="15" customHeight="1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ht="15" customHeight="1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ht="15" customHeight="1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ht="15" customHeight="1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ht="15" customHeight="1" x14ac:dyDescent="0.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ht="15" customHeight="1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ht="15" customHeight="1" x14ac:dyDescent="0.3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ht="15" customHeight="1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ht="15" customHeight="1" x14ac:dyDescent="0.3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ht="15" customHeight="1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ht="15" customHeight="1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ht="15" customHeight="1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ht="15" customHeight="1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ht="15" customHeight="1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ht="15" customHeight="1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ht="15" customHeight="1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ht="15" customHeight="1" x14ac:dyDescent="0.3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ht="15" customHeight="1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ht="15" customHeight="1" x14ac:dyDescent="0.3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ht="15" customHeight="1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ht="15" customHeight="1" x14ac:dyDescent="0.3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ht="15" customHeight="1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ht="15" customHeight="1" x14ac:dyDescent="0.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ht="15" customHeight="1" x14ac:dyDescent="0.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ht="15" customHeight="1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ht="15" customHeight="1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ht="15" customHeight="1" x14ac:dyDescent="0.3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ht="15" customHeight="1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ht="15" customHeight="1" x14ac:dyDescent="0.3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ht="15" customHeight="1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ht="15" customHeight="1" x14ac:dyDescent="0.3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ht="15" customHeight="1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ht="15" customHeight="1" x14ac:dyDescent="0.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ht="15" customHeight="1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ht="15" customHeight="1" x14ac:dyDescent="0.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ht="15" customHeight="1" x14ac:dyDescent="0.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ht="15" customHeight="1" x14ac:dyDescent="0.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ht="15" customHeight="1" x14ac:dyDescent="0.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ht="15" customHeight="1" x14ac:dyDescent="0.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ht="15" customHeight="1" x14ac:dyDescent="0.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ht="15" customHeight="1" x14ac:dyDescent="0.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ht="15" customHeight="1" x14ac:dyDescent="0.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ht="15" customHeight="1" x14ac:dyDescent="0.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ht="15" customHeight="1" x14ac:dyDescent="0.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ht="15" customHeight="1" x14ac:dyDescent="0.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ht="15" customHeight="1" x14ac:dyDescent="0.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ht="15" customHeight="1" x14ac:dyDescent="0.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ht="15" customHeight="1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ht="15" customHeight="1" x14ac:dyDescent="0.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ht="15" customHeight="1" x14ac:dyDescent="0.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ht="15" customHeight="1" x14ac:dyDescent="0.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ht="15" customHeight="1" x14ac:dyDescent="0.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ht="15" customHeight="1" x14ac:dyDescent="0.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ht="15" customHeight="1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ht="15" customHeight="1" x14ac:dyDescent="0.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ht="15" customHeight="1" x14ac:dyDescent="0.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ht="15" customHeight="1" x14ac:dyDescent="0.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ht="15" customHeight="1" x14ac:dyDescent="0.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ht="15" customHeight="1" x14ac:dyDescent="0.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ht="15" customHeight="1" x14ac:dyDescent="0.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ht="15" customHeight="1" x14ac:dyDescent="0.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ht="15" customHeight="1" x14ac:dyDescent="0.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ht="15" customHeight="1" x14ac:dyDescent="0.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ht="15" customHeight="1" x14ac:dyDescent="0.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ht="15" customHeight="1" x14ac:dyDescent="0.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ht="15" customHeight="1" x14ac:dyDescent="0.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ht="15" customHeight="1" x14ac:dyDescent="0.3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ht="15" customHeight="1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ht="15" customHeight="1" x14ac:dyDescent="0.3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ht="15" customHeight="1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ht="15" customHeight="1" x14ac:dyDescent="0.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ht="15" customHeight="1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ht="15" customHeight="1" x14ac:dyDescent="0.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ht="15" customHeight="1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ht="15" customHeight="1" x14ac:dyDescent="0.3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ht="15" customHeight="1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ht="15" customHeight="1" x14ac:dyDescent="0.3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ht="15" customHeight="1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ht="15" customHeight="1" x14ac:dyDescent="0.3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ht="15" customHeight="1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ht="15" customHeight="1" x14ac:dyDescent="0.3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ht="15" customHeight="1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ht="15" customHeight="1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ht="15" customHeight="1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ht="15" customHeight="1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ht="15" customHeight="1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ht="15" customHeight="1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ht="15" customHeight="1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ht="15" customHeight="1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ht="15" customHeight="1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ht="15" customHeight="1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ht="15" customHeight="1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ht="15" customHeight="1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ht="15" customHeight="1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ht="15" customHeight="1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ht="15" customHeight="1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ht="15" customHeight="1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ht="15" customHeight="1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ht="15" customHeight="1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ht="15" customHeight="1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ht="15" customHeight="1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ht="15" customHeight="1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ht="15" customHeight="1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ht="15" customHeight="1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ht="15" customHeight="1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ht="15" customHeight="1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ht="15" customHeight="1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ht="15" customHeight="1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ht="15" customHeight="1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ht="15" customHeight="1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</row>
    <row r="276" spans="1:13" ht="15" customHeight="1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</row>
    <row r="277" spans="1:13" ht="15" customHeight="1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</row>
    <row r="278" spans="1:13" ht="15" customHeight="1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</row>
    <row r="279" spans="1:13" ht="15" customHeight="1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</row>
    <row r="280" spans="1:13" ht="15" customHeight="1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</row>
    <row r="281" spans="1:13" ht="15" customHeight="1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</row>
    <row r="282" spans="1:13" ht="15" customHeight="1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</row>
    <row r="283" spans="1:13" ht="15" customHeight="1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</row>
    <row r="284" spans="1:13" ht="15" customHeight="1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</row>
    <row r="285" spans="1:13" ht="15" customHeight="1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</row>
    <row r="286" spans="1:13" ht="15" customHeight="1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</row>
    <row r="287" spans="1:13" ht="15" customHeight="1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</row>
    <row r="288" spans="1:13" ht="15" customHeight="1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</row>
    <row r="289" spans="1:13" ht="15" customHeight="1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</row>
    <row r="290" spans="1:13" ht="15" customHeight="1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</row>
    <row r="291" spans="1:13" ht="15" customHeight="1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</row>
    <row r="292" spans="1:13" ht="15" customHeight="1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</row>
    <row r="293" spans="1:13" ht="15" customHeight="1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</row>
    <row r="294" spans="1:13" ht="15" customHeight="1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</row>
    <row r="295" spans="1:13" ht="15" customHeight="1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</row>
    <row r="296" spans="1:13" ht="15" customHeight="1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</row>
    <row r="297" spans="1:13" ht="15" customHeight="1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</row>
    <row r="298" spans="1:13" ht="15" customHeight="1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</row>
    <row r="299" spans="1:13" ht="15" customHeight="1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</row>
    <row r="300" spans="1:13" ht="15" customHeight="1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</row>
    <row r="301" spans="1:13" ht="15" customHeight="1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</row>
    <row r="302" spans="1:13" ht="15" customHeight="1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</row>
    <row r="303" spans="1:13" ht="15" customHeight="1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</row>
    <row r="304" spans="1:13" ht="15" customHeight="1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</row>
    <row r="305" spans="1:13" ht="15" customHeight="1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</row>
    <row r="306" spans="1:13" ht="15" customHeight="1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</row>
    <row r="307" spans="1:13" ht="15" customHeight="1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</row>
    <row r="308" spans="1:13" ht="15" customHeight="1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</row>
    <row r="309" spans="1:13" ht="15" customHeight="1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</row>
    <row r="310" spans="1:13" ht="15" customHeight="1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</row>
    <row r="311" spans="1:13" ht="15" customHeight="1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</row>
    <row r="312" spans="1:13" ht="15" customHeight="1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</row>
    <row r="313" spans="1:13" ht="15" customHeight="1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</row>
    <row r="314" spans="1:13" ht="15" customHeight="1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</row>
    <row r="315" spans="1:13" ht="15" customHeight="1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</row>
    <row r="316" spans="1:13" ht="15" customHeight="1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</row>
    <row r="317" spans="1:13" ht="15" customHeight="1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</row>
    <row r="318" spans="1:13" ht="15" customHeight="1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</row>
    <row r="319" spans="1:13" ht="15" customHeight="1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</row>
    <row r="320" spans="1:13" ht="15" customHeight="1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</row>
    <row r="321" spans="1:13" ht="15" customHeight="1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</row>
    <row r="322" spans="1:13" ht="15" customHeight="1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</row>
    <row r="323" spans="1:13" ht="15" customHeight="1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</row>
    <row r="324" spans="1:13" ht="15" customHeight="1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</row>
    <row r="325" spans="1:13" ht="15" customHeight="1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</row>
    <row r="326" spans="1:13" ht="15" customHeight="1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</row>
    <row r="327" spans="1:13" ht="15" customHeight="1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</row>
    <row r="328" spans="1:13" ht="15" customHeight="1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</row>
    <row r="329" spans="1:13" ht="15" customHeight="1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</row>
    <row r="330" spans="1:13" ht="15" customHeight="1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</row>
    <row r="331" spans="1:13" ht="15" customHeight="1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</row>
    <row r="332" spans="1:13" ht="15" customHeight="1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</row>
    <row r="333" spans="1:13" ht="15" customHeight="1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</row>
    <row r="334" spans="1:13" ht="15" customHeight="1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</row>
    <row r="335" spans="1:13" ht="15" customHeight="1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</row>
    <row r="336" spans="1:13" ht="15" customHeight="1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</row>
    <row r="337" spans="1:13" ht="15" customHeight="1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</row>
    <row r="338" spans="1:13" ht="15" customHeight="1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</row>
    <row r="339" spans="1:13" ht="15" customHeight="1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</row>
    <row r="340" spans="1:13" ht="15" customHeight="1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</row>
    <row r="341" spans="1:13" ht="15" customHeight="1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</row>
    <row r="342" spans="1:13" ht="15" customHeight="1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</row>
    <row r="343" spans="1:13" ht="15" customHeight="1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</row>
    <row r="344" spans="1:13" ht="15" customHeight="1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</row>
    <row r="345" spans="1:13" ht="15" customHeight="1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</row>
    <row r="346" spans="1:13" ht="15" customHeight="1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</row>
    <row r="347" spans="1:13" ht="15" customHeight="1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</row>
    <row r="348" spans="1:13" ht="15" customHeight="1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</row>
    <row r="349" spans="1:13" ht="15" customHeight="1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</row>
    <row r="350" spans="1:13" ht="15" customHeight="1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</row>
    <row r="351" spans="1:13" ht="15" customHeight="1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</row>
    <row r="352" spans="1:13" ht="15" customHeight="1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</row>
    <row r="353" spans="1:13" ht="15" customHeight="1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</row>
    <row r="354" spans="1:13" ht="15" customHeight="1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</row>
    <row r="355" spans="1:13" ht="15" customHeight="1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</row>
    <row r="356" spans="1:13" ht="15" customHeight="1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</row>
    <row r="357" spans="1:13" ht="15" customHeight="1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</row>
    <row r="358" spans="1:13" ht="15" customHeight="1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</row>
    <row r="359" spans="1:13" ht="15" customHeight="1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</row>
    <row r="360" spans="1:13" ht="15" customHeight="1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</row>
    <row r="361" spans="1:13" ht="15" customHeight="1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</row>
    <row r="362" spans="1:13" ht="15" customHeight="1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</row>
    <row r="363" spans="1:13" ht="15" customHeight="1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</row>
    <row r="364" spans="1:13" ht="15" customHeight="1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</row>
    <row r="365" spans="1:13" ht="15" customHeight="1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</row>
    <row r="366" spans="1:13" ht="15" customHeight="1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</row>
    <row r="367" spans="1:13" ht="15" customHeight="1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</row>
    <row r="368" spans="1:13" ht="15" customHeight="1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</row>
    <row r="369" spans="1:13" ht="15" customHeight="1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</row>
    <row r="370" spans="1:13" ht="15" customHeight="1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</row>
    <row r="371" spans="1:13" ht="15" customHeight="1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</row>
    <row r="372" spans="1:13" ht="15" customHeight="1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</row>
    <row r="373" spans="1:13" ht="15" customHeight="1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</row>
    <row r="374" spans="1:13" ht="15" customHeight="1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</row>
    <row r="375" spans="1:13" ht="15" customHeight="1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</row>
    <row r="376" spans="1:13" ht="15" customHeight="1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</row>
    <row r="377" spans="1:13" ht="15" customHeight="1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</row>
    <row r="378" spans="1:13" ht="15" customHeight="1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</row>
    <row r="379" spans="1:13" ht="15" customHeight="1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</row>
    <row r="380" spans="1:13" ht="15" customHeight="1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</row>
    <row r="381" spans="1:13" ht="15" customHeight="1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</row>
    <row r="382" spans="1:13" ht="15" customHeight="1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</row>
    <row r="383" spans="1:13" ht="15" customHeight="1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</row>
    <row r="384" spans="1:13" ht="15" customHeight="1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</row>
    <row r="385" spans="1:13" ht="15" customHeight="1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</row>
    <row r="386" spans="1:13" ht="15" customHeight="1" x14ac:dyDescent="0.3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</row>
    <row r="387" spans="1:13" ht="15" customHeight="1" x14ac:dyDescent="0.3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</row>
    <row r="388" spans="1:13" ht="15" customHeight="1" x14ac:dyDescent="0.3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</row>
    <row r="389" spans="1:13" ht="15" customHeight="1" x14ac:dyDescent="0.3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</row>
    <row r="390" spans="1:13" ht="15" customHeight="1" x14ac:dyDescent="0.3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</row>
    <row r="391" spans="1:13" ht="15" customHeight="1" x14ac:dyDescent="0.3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</row>
    <row r="392" spans="1:13" ht="15" customHeight="1" x14ac:dyDescent="0.3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</row>
    <row r="393" spans="1:13" ht="15" customHeight="1" x14ac:dyDescent="0.3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</row>
    <row r="394" spans="1:13" ht="15" customHeight="1" x14ac:dyDescent="0.3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</row>
    <row r="395" spans="1:13" ht="15" customHeight="1" x14ac:dyDescent="0.3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</row>
    <row r="396" spans="1:13" ht="15" customHeight="1" x14ac:dyDescent="0.3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</row>
    <row r="397" spans="1:13" ht="15" customHeight="1" x14ac:dyDescent="0.3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</row>
    <row r="398" spans="1:13" ht="15" customHeight="1" x14ac:dyDescent="0.3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</row>
    <row r="399" spans="1:13" ht="15" customHeight="1" x14ac:dyDescent="0.3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</row>
    <row r="400" spans="1:13" ht="15" customHeight="1" x14ac:dyDescent="0.3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</row>
    <row r="401" spans="1:13" ht="15" customHeight="1" x14ac:dyDescent="0.3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</row>
    <row r="402" spans="1:13" ht="15" customHeight="1" x14ac:dyDescent="0.3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</row>
    <row r="403" spans="1:13" ht="15" customHeight="1" x14ac:dyDescent="0.3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</row>
    <row r="404" spans="1:13" ht="15" customHeight="1" x14ac:dyDescent="0.3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</row>
    <row r="405" spans="1:13" ht="15" customHeight="1" x14ac:dyDescent="0.3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</row>
    <row r="406" spans="1:13" ht="15" customHeight="1" x14ac:dyDescent="0.3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</row>
    <row r="407" spans="1:13" ht="15" customHeight="1" x14ac:dyDescent="0.3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</row>
    <row r="408" spans="1:13" ht="15" customHeight="1" x14ac:dyDescent="0.3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</row>
    <row r="409" spans="1:13" ht="15" customHeight="1" x14ac:dyDescent="0.3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</row>
    <row r="410" spans="1:13" ht="15" customHeight="1" x14ac:dyDescent="0.3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</row>
    <row r="411" spans="1:13" ht="15" customHeight="1" x14ac:dyDescent="0.3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</row>
    <row r="412" spans="1:13" ht="15" customHeight="1" x14ac:dyDescent="0.3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</row>
    <row r="413" spans="1:13" ht="15" customHeight="1" x14ac:dyDescent="0.3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</row>
    <row r="414" spans="1:13" ht="15" customHeight="1" x14ac:dyDescent="0.3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</row>
    <row r="415" spans="1:13" ht="15" customHeight="1" x14ac:dyDescent="0.3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</row>
    <row r="416" spans="1:13" ht="15" customHeight="1" x14ac:dyDescent="0.3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</row>
    <row r="417" spans="1:13" ht="15" customHeight="1" x14ac:dyDescent="0.3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</row>
    <row r="418" spans="1:13" ht="15" customHeight="1" x14ac:dyDescent="0.3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</row>
    <row r="419" spans="1:13" ht="15" customHeight="1" x14ac:dyDescent="0.3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</row>
    <row r="420" spans="1:13" ht="15" customHeight="1" x14ac:dyDescent="0.3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</row>
    <row r="421" spans="1:13" ht="15" customHeight="1" x14ac:dyDescent="0.3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</row>
    <row r="422" spans="1:13" ht="15" customHeight="1" x14ac:dyDescent="0.3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</row>
    <row r="423" spans="1:13" ht="15" customHeight="1" x14ac:dyDescent="0.3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</row>
    <row r="424" spans="1:13" ht="15" customHeight="1" x14ac:dyDescent="0.3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</row>
    <row r="425" spans="1:13" ht="15" customHeight="1" x14ac:dyDescent="0.3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</row>
    <row r="426" spans="1:13" ht="15" customHeight="1" x14ac:dyDescent="0.3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</row>
    <row r="427" spans="1:13" ht="15" customHeight="1" x14ac:dyDescent="0.3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</row>
    <row r="428" spans="1:13" ht="15" customHeight="1" x14ac:dyDescent="0.3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</row>
    <row r="429" spans="1:13" ht="15" customHeight="1" x14ac:dyDescent="0.3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</row>
    <row r="430" spans="1:13" ht="15" customHeight="1" x14ac:dyDescent="0.3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</row>
    <row r="431" spans="1:13" ht="15" customHeight="1" x14ac:dyDescent="0.3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</row>
    <row r="432" spans="1:13" ht="15" customHeight="1" x14ac:dyDescent="0.3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</row>
    <row r="433" spans="1:13" ht="15" customHeight="1" x14ac:dyDescent="0.3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</row>
    <row r="434" spans="1:13" ht="15" customHeight="1" x14ac:dyDescent="0.3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</row>
    <row r="435" spans="1:13" ht="15" customHeight="1" x14ac:dyDescent="0.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</row>
    <row r="436" spans="1:13" ht="15" customHeight="1" x14ac:dyDescent="0.3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</row>
    <row r="437" spans="1:13" ht="15" customHeight="1" x14ac:dyDescent="0.3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</row>
    <row r="438" spans="1:13" ht="15" customHeight="1" x14ac:dyDescent="0.3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</row>
    <row r="439" spans="1:13" ht="15" customHeight="1" x14ac:dyDescent="0.3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</row>
    <row r="440" spans="1:13" ht="15" customHeight="1" x14ac:dyDescent="0.3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</row>
    <row r="441" spans="1:13" ht="15" customHeight="1" x14ac:dyDescent="0.3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</row>
    <row r="442" spans="1:13" ht="15" customHeight="1" x14ac:dyDescent="0.3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</row>
    <row r="443" spans="1:13" ht="15" customHeight="1" x14ac:dyDescent="0.3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</row>
    <row r="444" spans="1:13" ht="15" customHeight="1" x14ac:dyDescent="0.3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</row>
    <row r="445" spans="1:13" ht="15" customHeight="1" x14ac:dyDescent="0.3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</row>
    <row r="446" spans="1:13" ht="15" customHeight="1" x14ac:dyDescent="0.3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</row>
    <row r="447" spans="1:13" ht="15" customHeight="1" x14ac:dyDescent="0.3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</row>
    <row r="448" spans="1:13" ht="15" customHeight="1" x14ac:dyDescent="0.3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</row>
    <row r="449" spans="1:13" ht="15" customHeight="1" x14ac:dyDescent="0.3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</row>
    <row r="450" spans="1:13" ht="15" customHeight="1" x14ac:dyDescent="0.3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</row>
    <row r="451" spans="1:13" ht="15" customHeight="1" x14ac:dyDescent="0.3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</row>
    <row r="452" spans="1:13" ht="15" customHeight="1" x14ac:dyDescent="0.3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</row>
    <row r="453" spans="1:13" ht="15" customHeight="1" x14ac:dyDescent="0.3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</row>
    <row r="454" spans="1:13" ht="15" customHeight="1" x14ac:dyDescent="0.3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</row>
    <row r="455" spans="1:13" ht="15" customHeight="1" x14ac:dyDescent="0.3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</row>
    <row r="456" spans="1:13" ht="15" customHeight="1" x14ac:dyDescent="0.3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</row>
    <row r="457" spans="1:13" ht="15" customHeight="1" x14ac:dyDescent="0.3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</row>
    <row r="458" spans="1:13" ht="15" customHeight="1" x14ac:dyDescent="0.3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</row>
    <row r="459" spans="1:13" ht="15" customHeight="1" x14ac:dyDescent="0.3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</row>
    <row r="460" spans="1:13" ht="15" customHeight="1" x14ac:dyDescent="0.3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</row>
    <row r="461" spans="1:13" ht="15" customHeight="1" x14ac:dyDescent="0.3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</row>
    <row r="462" spans="1:13" ht="15" customHeight="1" x14ac:dyDescent="0.3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</row>
    <row r="463" spans="1:13" ht="15" customHeight="1" x14ac:dyDescent="0.3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</row>
    <row r="464" spans="1:13" ht="15" customHeight="1" x14ac:dyDescent="0.3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</row>
    <row r="465" spans="1:13" ht="15" customHeight="1" x14ac:dyDescent="0.3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</row>
    <row r="466" spans="1:13" ht="15" customHeight="1" x14ac:dyDescent="0.3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</row>
    <row r="467" spans="1:13" ht="15" customHeight="1" x14ac:dyDescent="0.3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</row>
    <row r="468" spans="1:13" ht="15" customHeight="1" x14ac:dyDescent="0.3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</row>
    <row r="469" spans="1:13" ht="15" customHeight="1" x14ac:dyDescent="0.3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</row>
    <row r="470" spans="1:13" ht="15" customHeight="1" x14ac:dyDescent="0.3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</row>
    <row r="471" spans="1:13" ht="15" customHeight="1" x14ac:dyDescent="0.3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</row>
    <row r="472" spans="1:13" ht="15" customHeight="1" x14ac:dyDescent="0.3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</row>
    <row r="473" spans="1:13" ht="15" customHeight="1" x14ac:dyDescent="0.3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</row>
    <row r="474" spans="1:13" ht="15" customHeight="1" x14ac:dyDescent="0.3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</row>
    <row r="475" spans="1:13" ht="15" customHeight="1" x14ac:dyDescent="0.3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</row>
    <row r="476" spans="1:13" ht="15" customHeight="1" x14ac:dyDescent="0.3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</row>
    <row r="477" spans="1:13" ht="15" customHeight="1" x14ac:dyDescent="0.3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</row>
    <row r="478" spans="1:13" ht="15" customHeight="1" x14ac:dyDescent="0.3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</row>
    <row r="479" spans="1:13" ht="15" customHeight="1" x14ac:dyDescent="0.3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</row>
    <row r="480" spans="1:13" ht="15" customHeight="1" x14ac:dyDescent="0.3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</row>
    <row r="481" spans="1:13" ht="15" customHeight="1" x14ac:dyDescent="0.3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</row>
    <row r="482" spans="1:13" ht="15" customHeight="1" x14ac:dyDescent="0.3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</row>
    <row r="483" spans="1:13" ht="15" customHeight="1" x14ac:dyDescent="0.3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</row>
    <row r="484" spans="1:13" ht="15" customHeight="1" x14ac:dyDescent="0.3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</row>
    <row r="485" spans="1:13" ht="15" customHeight="1" x14ac:dyDescent="0.3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</row>
    <row r="486" spans="1:13" ht="15" customHeight="1" x14ac:dyDescent="0.3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</row>
    <row r="487" spans="1:13" ht="15" customHeight="1" x14ac:dyDescent="0.3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</row>
    <row r="488" spans="1:13" ht="15" customHeight="1" x14ac:dyDescent="0.3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</row>
    <row r="489" spans="1:13" ht="15" customHeight="1" x14ac:dyDescent="0.3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</row>
    <row r="490" spans="1:13" ht="15" customHeight="1" x14ac:dyDescent="0.3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</row>
    <row r="491" spans="1:13" ht="15" customHeight="1" x14ac:dyDescent="0.3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</row>
    <row r="492" spans="1:13" ht="15" customHeight="1" x14ac:dyDescent="0.3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</row>
    <row r="493" spans="1:13" ht="15" customHeight="1" x14ac:dyDescent="0.3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</row>
    <row r="494" spans="1:13" ht="15" customHeight="1" x14ac:dyDescent="0.3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</row>
    <row r="495" spans="1:13" ht="15" customHeight="1" x14ac:dyDescent="0.3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</row>
    <row r="496" spans="1:13" ht="15" customHeight="1" x14ac:dyDescent="0.3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</row>
    <row r="497" spans="1:13" ht="15" customHeight="1" x14ac:dyDescent="0.3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</row>
    <row r="498" spans="1:13" ht="15" customHeight="1" x14ac:dyDescent="0.3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</row>
    <row r="499" spans="1:13" ht="15" customHeight="1" x14ac:dyDescent="0.3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</row>
    <row r="500" spans="1:13" ht="15" customHeight="1" x14ac:dyDescent="0.3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</row>
    <row r="501" spans="1:13" ht="15" customHeight="1" x14ac:dyDescent="0.3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</row>
  </sheetData>
  <dataValidations count="2">
    <dataValidation type="list" allowBlank="1" sqref="J2:L501" xr:uid="{00000000-0002-0000-0100-000000000000}">
      <formula1>"Include,Exclude,Maybe"</formula1>
      <formula2>0</formula2>
    </dataValidation>
    <dataValidation type="list" allowBlank="1" sqref="B2:B501" xr:uid="{00000000-0002-0000-0100-000001000000}">
      <formula1>"IEEE Xplore,ACM Digital Library,ScienceDirect,SpringerLink,Scopus,Web of Science,Google Scholar (snowball)"</formula1>
      <formula2>0</formula2>
    </dataValidation>
  </dataValidations>
  <hyperlinks>
    <hyperlink ref="H2" r:id="rId1" xr:uid="{EBEFC748-0E94-4945-80C0-AAE83BEEF182}"/>
    <hyperlink ref="H3" r:id="rId2" xr:uid="{65C39E95-1948-4770-BB78-8B26A502508B}"/>
    <hyperlink ref="H4" r:id="rId3" xr:uid="{6B1D1B40-1719-4E77-B4AA-89C050B3BF5E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02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5" customWidth="1"/>
    <col min="2" max="2" width="34" customWidth="1"/>
    <col min="3" max="3" width="14" customWidth="1"/>
    <col min="4" max="4" width="16" customWidth="1"/>
    <col min="5" max="5" width="30" customWidth="1"/>
    <col min="6" max="6" width="45" customWidth="1"/>
  </cols>
  <sheetData>
    <row r="1" spans="1:6" ht="15" customHeight="1" x14ac:dyDescent="0.35">
      <c r="A1" s="4" t="s">
        <v>39</v>
      </c>
      <c r="B1" s="4" t="s">
        <v>42</v>
      </c>
      <c r="C1" s="4" t="s">
        <v>109</v>
      </c>
      <c r="D1" s="4" t="s">
        <v>110</v>
      </c>
      <c r="E1" s="4" t="s">
        <v>111</v>
      </c>
      <c r="F1" s="4" t="s">
        <v>112</v>
      </c>
    </row>
    <row r="2" spans="1:6" ht="15" customHeight="1" x14ac:dyDescent="0.35">
      <c r="A2" s="6">
        <v>1</v>
      </c>
      <c r="B2" s="6" t="s">
        <v>52</v>
      </c>
      <c r="C2" s="6" t="s">
        <v>29</v>
      </c>
      <c r="D2" s="6" t="s">
        <v>53</v>
      </c>
      <c r="E2" s="6"/>
      <c r="F2" s="6" t="s">
        <v>113</v>
      </c>
    </row>
    <row r="3" spans="1:6" ht="15" customHeight="1" x14ac:dyDescent="0.35">
      <c r="A3" s="5">
        <v>1</v>
      </c>
      <c r="B3" s="5" t="s">
        <v>55</v>
      </c>
      <c r="C3" s="5" t="s">
        <v>54</v>
      </c>
      <c r="D3" s="5" t="s">
        <v>53</v>
      </c>
      <c r="E3" s="5"/>
      <c r="F3" s="5" t="s">
        <v>114</v>
      </c>
    </row>
    <row r="4" spans="1:6" ht="15" customHeight="1" x14ac:dyDescent="0.35">
      <c r="A4" s="5">
        <v>2</v>
      </c>
      <c r="B4" s="5" t="s">
        <v>60</v>
      </c>
      <c r="C4" s="5" t="s">
        <v>54</v>
      </c>
      <c r="D4" s="5" t="s">
        <v>53</v>
      </c>
      <c r="E4" s="5"/>
      <c r="F4" s="5" t="s">
        <v>115</v>
      </c>
    </row>
    <row r="5" spans="1:6" ht="15" customHeight="1" x14ac:dyDescent="0.35">
      <c r="A5" s="5">
        <v>3</v>
      </c>
      <c r="B5" s="5" t="s">
        <v>65</v>
      </c>
      <c r="C5" s="5" t="s">
        <v>54</v>
      </c>
      <c r="D5" s="5" t="s">
        <v>53</v>
      </c>
      <c r="E5" s="5"/>
      <c r="F5" s="5" t="s">
        <v>116</v>
      </c>
    </row>
    <row r="6" spans="1:6" ht="15" customHeight="1" x14ac:dyDescent="0.35">
      <c r="A6" s="5">
        <v>4</v>
      </c>
      <c r="B6" s="5" t="s">
        <v>69</v>
      </c>
      <c r="C6" s="5" t="s">
        <v>54</v>
      </c>
      <c r="D6" s="5" t="s">
        <v>53</v>
      </c>
      <c r="E6" s="5"/>
      <c r="F6" s="5" t="s">
        <v>117</v>
      </c>
    </row>
    <row r="7" spans="1:6" ht="15" customHeight="1" x14ac:dyDescent="0.35">
      <c r="A7" s="5">
        <v>5</v>
      </c>
      <c r="B7" s="5" t="s">
        <v>73</v>
      </c>
      <c r="C7" s="5" t="s">
        <v>54</v>
      </c>
      <c r="D7" s="5" t="s">
        <v>53</v>
      </c>
      <c r="E7" s="5"/>
      <c r="F7" s="5" t="s">
        <v>118</v>
      </c>
    </row>
    <row r="8" spans="1:6" ht="15" customHeight="1" x14ac:dyDescent="0.35">
      <c r="A8" s="5">
        <v>6</v>
      </c>
      <c r="B8" s="5" t="s">
        <v>77</v>
      </c>
      <c r="C8" s="5" t="s">
        <v>54</v>
      </c>
      <c r="D8" s="5" t="s">
        <v>53</v>
      </c>
      <c r="E8" s="5"/>
      <c r="F8" s="5" t="s">
        <v>119</v>
      </c>
    </row>
    <row r="9" spans="1:6" ht="15" customHeight="1" x14ac:dyDescent="0.35">
      <c r="A9" s="5">
        <v>7</v>
      </c>
      <c r="B9" s="5" t="s">
        <v>81</v>
      </c>
      <c r="C9" s="5" t="s">
        <v>54</v>
      </c>
      <c r="D9" s="5" t="s">
        <v>53</v>
      </c>
      <c r="E9" s="5"/>
      <c r="F9" s="5" t="s">
        <v>120</v>
      </c>
    </row>
    <row r="10" spans="1:6" ht="15" customHeight="1" x14ac:dyDescent="0.35">
      <c r="A10" s="5">
        <v>8</v>
      </c>
      <c r="B10" s="5" t="s">
        <v>85</v>
      </c>
      <c r="C10" s="5" t="s">
        <v>54</v>
      </c>
      <c r="D10" s="5" t="s">
        <v>53</v>
      </c>
      <c r="E10" s="5"/>
      <c r="F10" s="5" t="s">
        <v>121</v>
      </c>
    </row>
    <row r="11" spans="1:6" ht="15" customHeight="1" x14ac:dyDescent="0.35">
      <c r="A11" s="5">
        <v>9</v>
      </c>
      <c r="B11" s="5" t="s">
        <v>89</v>
      </c>
      <c r="C11" s="5" t="s">
        <v>54</v>
      </c>
      <c r="D11" s="5" t="s">
        <v>53</v>
      </c>
      <c r="E11" s="5"/>
      <c r="F11" s="5" t="s">
        <v>122</v>
      </c>
    </row>
    <row r="12" spans="1:6" ht="15" customHeight="1" x14ac:dyDescent="0.35">
      <c r="A12" s="5">
        <v>10</v>
      </c>
      <c r="B12" s="5" t="s">
        <v>93</v>
      </c>
      <c r="C12" s="5" t="s">
        <v>54</v>
      </c>
      <c r="D12" s="5" t="s">
        <v>53</v>
      </c>
      <c r="E12" s="5"/>
      <c r="F12" s="5" t="s">
        <v>123</v>
      </c>
    </row>
    <row r="13" spans="1:6" ht="15" customHeight="1" x14ac:dyDescent="0.35">
      <c r="A13" s="5">
        <v>11</v>
      </c>
      <c r="B13" s="5" t="s">
        <v>97</v>
      </c>
      <c r="C13" s="5" t="s">
        <v>54</v>
      </c>
      <c r="D13" s="5" t="s">
        <v>53</v>
      </c>
      <c r="E13" s="5"/>
      <c r="F13" s="5" t="s">
        <v>124</v>
      </c>
    </row>
    <row r="14" spans="1:6" ht="15" customHeight="1" x14ac:dyDescent="0.35">
      <c r="A14" s="5">
        <v>12</v>
      </c>
      <c r="B14" s="5" t="s">
        <v>101</v>
      </c>
      <c r="C14" s="5" t="s">
        <v>54</v>
      </c>
      <c r="D14" s="5" t="s">
        <v>53</v>
      </c>
      <c r="E14" s="5"/>
      <c r="F14" s="5" t="s">
        <v>125</v>
      </c>
    </row>
    <row r="15" spans="1:6" ht="15" customHeight="1" x14ac:dyDescent="0.35">
      <c r="A15" s="5">
        <v>13</v>
      </c>
      <c r="B15" s="5" t="s">
        <v>105</v>
      </c>
      <c r="C15" s="5" t="s">
        <v>54</v>
      </c>
      <c r="D15" s="5" t="s">
        <v>53</v>
      </c>
      <c r="E15" s="5"/>
      <c r="F15" s="5" t="s">
        <v>126</v>
      </c>
    </row>
    <row r="16" spans="1:6" ht="15" customHeight="1" x14ac:dyDescent="0.35">
      <c r="A16" s="5"/>
      <c r="B16" s="5"/>
      <c r="C16" s="5"/>
      <c r="D16" s="5"/>
      <c r="E16" s="5"/>
      <c r="F16" s="5"/>
    </row>
    <row r="17" spans="1:6" ht="15" customHeight="1" x14ac:dyDescent="0.35">
      <c r="A17" s="5"/>
      <c r="B17" s="5"/>
      <c r="C17" s="5"/>
      <c r="D17" s="5"/>
      <c r="E17" s="5"/>
      <c r="F17" s="5"/>
    </row>
    <row r="18" spans="1:6" ht="15" customHeight="1" x14ac:dyDescent="0.35">
      <c r="A18" s="5"/>
      <c r="B18" s="5"/>
      <c r="C18" s="5"/>
      <c r="D18" s="5"/>
      <c r="E18" s="5"/>
      <c r="F18" s="5"/>
    </row>
    <row r="19" spans="1:6" ht="15" customHeight="1" x14ac:dyDescent="0.35">
      <c r="A19" s="5"/>
      <c r="B19" s="5"/>
      <c r="C19" s="5"/>
      <c r="D19" s="5"/>
      <c r="E19" s="5"/>
      <c r="F19" s="5"/>
    </row>
    <row r="20" spans="1:6" ht="15" customHeight="1" x14ac:dyDescent="0.35">
      <c r="A20" s="5"/>
      <c r="B20" s="5"/>
      <c r="C20" s="5"/>
      <c r="D20" s="5"/>
      <c r="E20" s="5"/>
      <c r="F20" s="5"/>
    </row>
    <row r="21" spans="1:6" ht="15" customHeight="1" x14ac:dyDescent="0.35">
      <c r="A21" s="5"/>
      <c r="B21" s="5"/>
      <c r="C21" s="5"/>
      <c r="D21" s="5"/>
      <c r="E21" s="5"/>
      <c r="F21" s="5"/>
    </row>
    <row r="22" spans="1:6" ht="15" customHeight="1" x14ac:dyDescent="0.35">
      <c r="A22" s="5"/>
      <c r="B22" s="5"/>
      <c r="C22" s="5"/>
      <c r="D22" s="5"/>
      <c r="E22" s="5"/>
      <c r="F22" s="5"/>
    </row>
    <row r="23" spans="1:6" ht="15" customHeight="1" x14ac:dyDescent="0.35">
      <c r="A23" s="5"/>
      <c r="B23" s="5"/>
      <c r="C23" s="5"/>
      <c r="D23" s="5"/>
      <c r="E23" s="5"/>
      <c r="F23" s="5"/>
    </row>
    <row r="24" spans="1:6" ht="15" customHeight="1" x14ac:dyDescent="0.35">
      <c r="A24" s="5"/>
      <c r="B24" s="5"/>
      <c r="C24" s="5"/>
      <c r="D24" s="5"/>
      <c r="E24" s="5"/>
      <c r="F24" s="5"/>
    </row>
    <row r="25" spans="1:6" ht="15" customHeight="1" x14ac:dyDescent="0.35">
      <c r="A25" s="5"/>
      <c r="B25" s="5"/>
      <c r="C25" s="5"/>
      <c r="D25" s="5"/>
      <c r="E25" s="5"/>
      <c r="F25" s="5"/>
    </row>
    <row r="26" spans="1:6" ht="15" customHeight="1" x14ac:dyDescent="0.35">
      <c r="A26" s="5"/>
      <c r="B26" s="5"/>
      <c r="C26" s="5"/>
      <c r="D26" s="5"/>
      <c r="E26" s="5"/>
      <c r="F26" s="5"/>
    </row>
    <row r="27" spans="1:6" ht="15" customHeight="1" x14ac:dyDescent="0.35">
      <c r="A27" s="5"/>
      <c r="B27" s="5"/>
      <c r="C27" s="5"/>
      <c r="D27" s="5"/>
      <c r="E27" s="5"/>
      <c r="F27" s="5"/>
    </row>
    <row r="28" spans="1:6" ht="15" customHeight="1" x14ac:dyDescent="0.35">
      <c r="A28" s="5"/>
      <c r="B28" s="5"/>
      <c r="C28" s="5"/>
      <c r="D28" s="5"/>
      <c r="E28" s="5"/>
      <c r="F28" s="5"/>
    </row>
    <row r="29" spans="1:6" ht="15" customHeight="1" x14ac:dyDescent="0.35">
      <c r="A29" s="5"/>
      <c r="B29" s="5"/>
      <c r="C29" s="5"/>
      <c r="D29" s="5"/>
      <c r="E29" s="5"/>
      <c r="F29" s="5"/>
    </row>
    <row r="30" spans="1:6" ht="15" customHeight="1" x14ac:dyDescent="0.35">
      <c r="A30" s="5"/>
      <c r="B30" s="5"/>
      <c r="C30" s="5"/>
      <c r="D30" s="5"/>
      <c r="E30" s="5"/>
      <c r="F30" s="5"/>
    </row>
    <row r="31" spans="1:6" ht="15" customHeight="1" x14ac:dyDescent="0.35">
      <c r="A31" s="5"/>
      <c r="B31" s="5"/>
      <c r="C31" s="5"/>
      <c r="D31" s="5"/>
      <c r="E31" s="5"/>
      <c r="F31" s="5"/>
    </row>
    <row r="32" spans="1:6" ht="15" customHeight="1" x14ac:dyDescent="0.35">
      <c r="A32" s="5"/>
      <c r="B32" s="5"/>
      <c r="C32" s="5"/>
      <c r="D32" s="5"/>
      <c r="E32" s="5"/>
      <c r="F32" s="5"/>
    </row>
    <row r="33" spans="1:6" ht="15" customHeight="1" x14ac:dyDescent="0.35">
      <c r="A33" s="5"/>
      <c r="B33" s="5"/>
      <c r="C33" s="5"/>
      <c r="D33" s="5"/>
      <c r="E33" s="5"/>
      <c r="F33" s="5"/>
    </row>
    <row r="34" spans="1:6" ht="15" customHeight="1" x14ac:dyDescent="0.35">
      <c r="A34" s="5"/>
      <c r="B34" s="5"/>
      <c r="C34" s="5"/>
      <c r="D34" s="5"/>
      <c r="E34" s="5"/>
      <c r="F34" s="5"/>
    </row>
    <row r="35" spans="1:6" ht="15" customHeight="1" x14ac:dyDescent="0.35">
      <c r="A35" s="5"/>
      <c r="B35" s="5"/>
      <c r="C35" s="5"/>
      <c r="D35" s="5"/>
      <c r="E35" s="5"/>
      <c r="F35" s="5"/>
    </row>
    <row r="36" spans="1:6" ht="15" customHeight="1" x14ac:dyDescent="0.35">
      <c r="A36" s="5"/>
      <c r="B36" s="5"/>
      <c r="C36" s="5"/>
      <c r="D36" s="5"/>
      <c r="E36" s="5"/>
      <c r="F36" s="5"/>
    </row>
    <row r="37" spans="1:6" ht="15" customHeight="1" x14ac:dyDescent="0.35">
      <c r="A37" s="5"/>
      <c r="B37" s="5"/>
      <c r="C37" s="5"/>
      <c r="D37" s="5"/>
      <c r="E37" s="5"/>
      <c r="F37" s="5"/>
    </row>
    <row r="38" spans="1:6" ht="15" customHeight="1" x14ac:dyDescent="0.35">
      <c r="A38" s="5"/>
      <c r="B38" s="5"/>
      <c r="C38" s="5"/>
      <c r="D38" s="5"/>
      <c r="E38" s="5"/>
      <c r="F38" s="5"/>
    </row>
    <row r="39" spans="1:6" ht="15" customHeight="1" x14ac:dyDescent="0.35">
      <c r="A39" s="5"/>
      <c r="B39" s="5"/>
      <c r="C39" s="5"/>
      <c r="D39" s="5"/>
      <c r="E39" s="5"/>
      <c r="F39" s="5"/>
    </row>
    <row r="40" spans="1:6" ht="15" customHeight="1" x14ac:dyDescent="0.35">
      <c r="A40" s="5"/>
      <c r="B40" s="5"/>
      <c r="C40" s="5"/>
      <c r="D40" s="5"/>
      <c r="E40" s="5"/>
      <c r="F40" s="5"/>
    </row>
    <row r="41" spans="1:6" ht="15" customHeight="1" x14ac:dyDescent="0.35">
      <c r="A41" s="5"/>
      <c r="B41" s="5"/>
      <c r="C41" s="5"/>
      <c r="D41" s="5"/>
      <c r="E41" s="5"/>
      <c r="F41" s="5"/>
    </row>
    <row r="42" spans="1:6" ht="15" customHeight="1" x14ac:dyDescent="0.35">
      <c r="A42" s="5"/>
      <c r="B42" s="5"/>
      <c r="C42" s="5"/>
      <c r="D42" s="5"/>
      <c r="E42" s="5"/>
      <c r="F42" s="5"/>
    </row>
    <row r="43" spans="1:6" ht="15" customHeight="1" x14ac:dyDescent="0.35">
      <c r="A43" s="5"/>
      <c r="B43" s="5"/>
      <c r="C43" s="5"/>
      <c r="D43" s="5"/>
      <c r="E43" s="5"/>
      <c r="F43" s="5"/>
    </row>
    <row r="44" spans="1:6" ht="15" customHeight="1" x14ac:dyDescent="0.35">
      <c r="A44" s="5"/>
      <c r="B44" s="5"/>
      <c r="C44" s="5"/>
      <c r="D44" s="5"/>
      <c r="E44" s="5"/>
      <c r="F44" s="5"/>
    </row>
    <row r="45" spans="1:6" ht="15" customHeight="1" x14ac:dyDescent="0.35">
      <c r="A45" s="5"/>
      <c r="B45" s="5"/>
      <c r="C45" s="5"/>
      <c r="D45" s="5"/>
      <c r="E45" s="5"/>
      <c r="F45" s="5"/>
    </row>
    <row r="46" spans="1:6" ht="15" customHeight="1" x14ac:dyDescent="0.35">
      <c r="A46" s="5"/>
      <c r="B46" s="5"/>
      <c r="C46" s="5"/>
      <c r="D46" s="5"/>
      <c r="E46" s="5"/>
      <c r="F46" s="5"/>
    </row>
    <row r="47" spans="1:6" ht="15" customHeight="1" x14ac:dyDescent="0.35">
      <c r="A47" s="5"/>
      <c r="B47" s="5"/>
      <c r="C47" s="5"/>
      <c r="D47" s="5"/>
      <c r="E47" s="5"/>
      <c r="F47" s="5"/>
    </row>
    <row r="48" spans="1:6" ht="15" customHeight="1" x14ac:dyDescent="0.35">
      <c r="A48" s="5"/>
      <c r="B48" s="5"/>
      <c r="C48" s="5"/>
      <c r="D48" s="5"/>
      <c r="E48" s="5"/>
      <c r="F48" s="5"/>
    </row>
    <row r="49" spans="1:6" ht="15" customHeight="1" x14ac:dyDescent="0.35">
      <c r="A49" s="5"/>
      <c r="B49" s="5"/>
      <c r="C49" s="5"/>
      <c r="D49" s="5"/>
      <c r="E49" s="5"/>
      <c r="F49" s="5"/>
    </row>
    <row r="50" spans="1:6" ht="15" customHeight="1" x14ac:dyDescent="0.35">
      <c r="A50" s="5"/>
      <c r="B50" s="5"/>
      <c r="C50" s="5"/>
      <c r="D50" s="5"/>
      <c r="E50" s="5"/>
      <c r="F50" s="5"/>
    </row>
    <row r="51" spans="1:6" ht="15" customHeight="1" x14ac:dyDescent="0.35">
      <c r="A51" s="5"/>
      <c r="B51" s="5"/>
      <c r="C51" s="5"/>
      <c r="D51" s="5"/>
      <c r="E51" s="5"/>
      <c r="F51" s="5"/>
    </row>
    <row r="52" spans="1:6" ht="15" customHeight="1" x14ac:dyDescent="0.35">
      <c r="A52" s="5"/>
      <c r="B52" s="5"/>
      <c r="C52" s="5"/>
      <c r="D52" s="5"/>
      <c r="E52" s="5"/>
      <c r="F52" s="5"/>
    </row>
    <row r="53" spans="1:6" ht="15" customHeight="1" x14ac:dyDescent="0.35">
      <c r="A53" s="5"/>
      <c r="B53" s="5"/>
      <c r="C53" s="5"/>
      <c r="D53" s="5"/>
      <c r="E53" s="5"/>
      <c r="F53" s="5"/>
    </row>
    <row r="54" spans="1:6" ht="15" customHeight="1" x14ac:dyDescent="0.35">
      <c r="A54" s="5"/>
      <c r="B54" s="5"/>
      <c r="C54" s="5"/>
      <c r="D54" s="5"/>
      <c r="E54" s="5"/>
      <c r="F54" s="5"/>
    </row>
    <row r="55" spans="1:6" ht="15" customHeight="1" x14ac:dyDescent="0.35">
      <c r="A55" s="5"/>
      <c r="B55" s="5"/>
      <c r="C55" s="5"/>
      <c r="D55" s="5"/>
      <c r="E55" s="5"/>
      <c r="F55" s="5"/>
    </row>
    <row r="56" spans="1:6" ht="15" customHeight="1" x14ac:dyDescent="0.35">
      <c r="A56" s="5"/>
      <c r="B56" s="5"/>
      <c r="C56" s="5"/>
      <c r="D56" s="5"/>
      <c r="E56" s="5"/>
      <c r="F56" s="5"/>
    </row>
    <row r="57" spans="1:6" ht="15" customHeight="1" x14ac:dyDescent="0.35">
      <c r="A57" s="5"/>
      <c r="B57" s="5"/>
      <c r="C57" s="5"/>
      <c r="D57" s="5"/>
      <c r="E57" s="5"/>
      <c r="F57" s="5"/>
    </row>
    <row r="58" spans="1:6" ht="15" customHeight="1" x14ac:dyDescent="0.35">
      <c r="A58" s="5"/>
      <c r="B58" s="5"/>
      <c r="C58" s="5"/>
      <c r="D58" s="5"/>
      <c r="E58" s="5"/>
      <c r="F58" s="5"/>
    </row>
    <row r="59" spans="1:6" ht="15" customHeight="1" x14ac:dyDescent="0.35">
      <c r="A59" s="5"/>
      <c r="B59" s="5"/>
      <c r="C59" s="5"/>
      <c r="D59" s="5"/>
      <c r="E59" s="5"/>
      <c r="F59" s="5"/>
    </row>
    <row r="60" spans="1:6" ht="15" customHeight="1" x14ac:dyDescent="0.35">
      <c r="A60" s="5"/>
      <c r="B60" s="5"/>
      <c r="C60" s="5"/>
      <c r="D60" s="5"/>
      <c r="E60" s="5"/>
      <c r="F60" s="5"/>
    </row>
    <row r="61" spans="1:6" ht="15" customHeight="1" x14ac:dyDescent="0.35">
      <c r="A61" s="5"/>
      <c r="B61" s="5"/>
      <c r="C61" s="5"/>
      <c r="D61" s="5"/>
      <c r="E61" s="5"/>
      <c r="F61" s="5"/>
    </row>
    <row r="62" spans="1:6" ht="15" customHeight="1" x14ac:dyDescent="0.35">
      <c r="A62" s="5"/>
      <c r="B62" s="5"/>
      <c r="C62" s="5"/>
      <c r="D62" s="5"/>
      <c r="E62" s="5"/>
      <c r="F62" s="5"/>
    </row>
    <row r="63" spans="1:6" ht="15" customHeight="1" x14ac:dyDescent="0.35">
      <c r="A63" s="5"/>
      <c r="B63" s="5"/>
      <c r="C63" s="5"/>
      <c r="D63" s="5"/>
      <c r="E63" s="5"/>
      <c r="F63" s="5"/>
    </row>
    <row r="64" spans="1:6" ht="15" customHeight="1" x14ac:dyDescent="0.35">
      <c r="A64" s="5"/>
      <c r="B64" s="5"/>
      <c r="C64" s="5"/>
      <c r="D64" s="5"/>
      <c r="E64" s="5"/>
      <c r="F64" s="5"/>
    </row>
    <row r="65" spans="1:6" ht="15" customHeight="1" x14ac:dyDescent="0.35">
      <c r="A65" s="5"/>
      <c r="B65" s="5"/>
      <c r="C65" s="5"/>
      <c r="D65" s="5"/>
      <c r="E65" s="5"/>
      <c r="F65" s="5"/>
    </row>
    <row r="66" spans="1:6" ht="15" customHeight="1" x14ac:dyDescent="0.35">
      <c r="A66" s="5"/>
      <c r="B66" s="5"/>
      <c r="C66" s="5"/>
      <c r="D66" s="5"/>
      <c r="E66" s="5"/>
      <c r="F66" s="5"/>
    </row>
    <row r="67" spans="1:6" ht="15" customHeight="1" x14ac:dyDescent="0.35">
      <c r="A67" s="5"/>
      <c r="B67" s="5"/>
      <c r="C67" s="5"/>
      <c r="D67" s="5"/>
      <c r="E67" s="5"/>
      <c r="F67" s="5"/>
    </row>
    <row r="68" spans="1:6" ht="15" customHeight="1" x14ac:dyDescent="0.35">
      <c r="A68" s="5"/>
      <c r="B68" s="5"/>
      <c r="C68" s="5"/>
      <c r="D68" s="5"/>
      <c r="E68" s="5"/>
      <c r="F68" s="5"/>
    </row>
    <row r="69" spans="1:6" ht="15" customHeight="1" x14ac:dyDescent="0.35">
      <c r="A69" s="5"/>
      <c r="B69" s="5"/>
      <c r="C69" s="5"/>
      <c r="D69" s="5"/>
      <c r="E69" s="5"/>
      <c r="F69" s="5"/>
    </row>
    <row r="70" spans="1:6" ht="15" customHeight="1" x14ac:dyDescent="0.35">
      <c r="A70" s="5"/>
      <c r="B70" s="5"/>
      <c r="C70" s="5"/>
      <c r="D70" s="5"/>
      <c r="E70" s="5"/>
      <c r="F70" s="5"/>
    </row>
    <row r="71" spans="1:6" ht="15" customHeight="1" x14ac:dyDescent="0.35">
      <c r="A71" s="5"/>
      <c r="B71" s="5"/>
      <c r="C71" s="5"/>
      <c r="D71" s="5"/>
      <c r="E71" s="5"/>
      <c r="F71" s="5"/>
    </row>
    <row r="72" spans="1:6" ht="15" customHeight="1" x14ac:dyDescent="0.35">
      <c r="A72" s="5"/>
      <c r="B72" s="5"/>
      <c r="C72" s="5"/>
      <c r="D72" s="5"/>
      <c r="E72" s="5"/>
      <c r="F72" s="5"/>
    </row>
    <row r="73" spans="1:6" ht="15" customHeight="1" x14ac:dyDescent="0.35">
      <c r="A73" s="5"/>
      <c r="B73" s="5"/>
      <c r="C73" s="5"/>
      <c r="D73" s="5"/>
      <c r="E73" s="5"/>
      <c r="F73" s="5"/>
    </row>
    <row r="74" spans="1:6" ht="15" customHeight="1" x14ac:dyDescent="0.35">
      <c r="A74" s="5"/>
      <c r="B74" s="5"/>
      <c r="C74" s="5"/>
      <c r="D74" s="5"/>
      <c r="E74" s="5"/>
      <c r="F74" s="5"/>
    </row>
    <row r="75" spans="1:6" ht="15" customHeight="1" x14ac:dyDescent="0.35">
      <c r="A75" s="5"/>
      <c r="B75" s="5"/>
      <c r="C75" s="5"/>
      <c r="D75" s="5"/>
      <c r="E75" s="5"/>
      <c r="F75" s="5"/>
    </row>
    <row r="76" spans="1:6" ht="15" customHeight="1" x14ac:dyDescent="0.35">
      <c r="A76" s="5"/>
      <c r="B76" s="5"/>
      <c r="C76" s="5"/>
      <c r="D76" s="5"/>
      <c r="E76" s="5"/>
      <c r="F76" s="5"/>
    </row>
    <row r="77" spans="1:6" ht="15" customHeight="1" x14ac:dyDescent="0.35">
      <c r="A77" s="5"/>
      <c r="B77" s="5"/>
      <c r="C77" s="5"/>
      <c r="D77" s="5"/>
      <c r="E77" s="5"/>
      <c r="F77" s="5"/>
    </row>
    <row r="78" spans="1:6" ht="15" customHeight="1" x14ac:dyDescent="0.35">
      <c r="A78" s="5"/>
      <c r="B78" s="5"/>
      <c r="C78" s="5"/>
      <c r="D78" s="5"/>
      <c r="E78" s="5"/>
      <c r="F78" s="5"/>
    </row>
    <row r="79" spans="1:6" ht="15" customHeight="1" x14ac:dyDescent="0.35">
      <c r="A79" s="5"/>
      <c r="B79" s="5"/>
      <c r="C79" s="5"/>
      <c r="D79" s="5"/>
      <c r="E79" s="5"/>
      <c r="F79" s="5"/>
    </row>
    <row r="80" spans="1:6" ht="15" customHeight="1" x14ac:dyDescent="0.35">
      <c r="A80" s="5"/>
      <c r="B80" s="5"/>
      <c r="C80" s="5"/>
      <c r="D80" s="5"/>
      <c r="E80" s="5"/>
      <c r="F80" s="5"/>
    </row>
    <row r="81" spans="1:6" ht="15" customHeight="1" x14ac:dyDescent="0.35">
      <c r="A81" s="5"/>
      <c r="B81" s="5"/>
      <c r="C81" s="5"/>
      <c r="D81" s="5"/>
      <c r="E81" s="5"/>
      <c r="F81" s="5"/>
    </row>
    <row r="82" spans="1:6" ht="15" customHeight="1" x14ac:dyDescent="0.35">
      <c r="A82" s="5"/>
      <c r="B82" s="5"/>
      <c r="C82" s="5"/>
      <c r="D82" s="5"/>
      <c r="E82" s="5"/>
      <c r="F82" s="5"/>
    </row>
    <row r="83" spans="1:6" ht="15" customHeight="1" x14ac:dyDescent="0.35">
      <c r="A83" s="5"/>
      <c r="B83" s="5"/>
      <c r="C83" s="5"/>
      <c r="D83" s="5"/>
      <c r="E83" s="5"/>
      <c r="F83" s="5"/>
    </row>
    <row r="84" spans="1:6" ht="15" customHeight="1" x14ac:dyDescent="0.35">
      <c r="A84" s="5"/>
      <c r="B84" s="5"/>
      <c r="C84" s="5"/>
      <c r="D84" s="5"/>
      <c r="E84" s="5"/>
      <c r="F84" s="5"/>
    </row>
    <row r="85" spans="1:6" ht="15" customHeight="1" x14ac:dyDescent="0.35">
      <c r="A85" s="5"/>
      <c r="B85" s="5"/>
      <c r="C85" s="5"/>
      <c r="D85" s="5"/>
      <c r="E85" s="5"/>
      <c r="F85" s="5"/>
    </row>
    <row r="86" spans="1:6" ht="15" customHeight="1" x14ac:dyDescent="0.35">
      <c r="A86" s="5"/>
      <c r="B86" s="5"/>
      <c r="C86" s="5"/>
      <c r="D86" s="5"/>
      <c r="E86" s="5"/>
      <c r="F86" s="5"/>
    </row>
    <row r="87" spans="1:6" ht="15" customHeight="1" x14ac:dyDescent="0.35">
      <c r="A87" s="5"/>
      <c r="B87" s="5"/>
      <c r="C87" s="5"/>
      <c r="D87" s="5"/>
      <c r="E87" s="5"/>
      <c r="F87" s="5"/>
    </row>
    <row r="88" spans="1:6" ht="15" customHeight="1" x14ac:dyDescent="0.35">
      <c r="A88" s="5"/>
      <c r="B88" s="5"/>
      <c r="C88" s="5"/>
      <c r="D88" s="5"/>
      <c r="E88" s="5"/>
      <c r="F88" s="5"/>
    </row>
    <row r="89" spans="1:6" ht="15" customHeight="1" x14ac:dyDescent="0.35">
      <c r="A89" s="5"/>
      <c r="B89" s="5"/>
      <c r="C89" s="5"/>
      <c r="D89" s="5"/>
      <c r="E89" s="5"/>
      <c r="F89" s="5"/>
    </row>
    <row r="90" spans="1:6" ht="15" customHeight="1" x14ac:dyDescent="0.35">
      <c r="A90" s="5"/>
      <c r="B90" s="5"/>
      <c r="C90" s="5"/>
      <c r="D90" s="5"/>
      <c r="E90" s="5"/>
      <c r="F90" s="5"/>
    </row>
    <row r="91" spans="1:6" ht="15" customHeight="1" x14ac:dyDescent="0.35">
      <c r="A91" s="5"/>
      <c r="B91" s="5"/>
      <c r="C91" s="5"/>
      <c r="D91" s="5"/>
      <c r="E91" s="5"/>
      <c r="F91" s="5"/>
    </row>
    <row r="92" spans="1:6" ht="15" customHeight="1" x14ac:dyDescent="0.35">
      <c r="A92" s="5"/>
      <c r="B92" s="5"/>
      <c r="C92" s="5"/>
      <c r="D92" s="5"/>
      <c r="E92" s="5"/>
      <c r="F92" s="5"/>
    </row>
    <row r="93" spans="1:6" ht="15" customHeight="1" x14ac:dyDescent="0.35">
      <c r="A93" s="5"/>
      <c r="B93" s="5"/>
      <c r="C93" s="5"/>
      <c r="D93" s="5"/>
      <c r="E93" s="5"/>
      <c r="F93" s="5"/>
    </row>
    <row r="94" spans="1:6" ht="15" customHeight="1" x14ac:dyDescent="0.35">
      <c r="A94" s="5"/>
      <c r="B94" s="5"/>
      <c r="C94" s="5"/>
      <c r="D94" s="5"/>
      <c r="E94" s="5"/>
      <c r="F94" s="5"/>
    </row>
    <row r="95" spans="1:6" ht="15" customHeight="1" x14ac:dyDescent="0.35">
      <c r="A95" s="5"/>
      <c r="B95" s="5"/>
      <c r="C95" s="5"/>
      <c r="D95" s="5"/>
      <c r="E95" s="5"/>
      <c r="F95" s="5"/>
    </row>
    <row r="96" spans="1:6" ht="15" customHeight="1" x14ac:dyDescent="0.35">
      <c r="A96" s="5"/>
      <c r="B96" s="5"/>
      <c r="C96" s="5"/>
      <c r="D96" s="5"/>
      <c r="E96" s="5"/>
      <c r="F96" s="5"/>
    </row>
    <row r="97" spans="1:6" ht="15" customHeight="1" x14ac:dyDescent="0.35">
      <c r="A97" s="5"/>
      <c r="B97" s="5"/>
      <c r="C97" s="5"/>
      <c r="D97" s="5"/>
      <c r="E97" s="5"/>
      <c r="F97" s="5"/>
    </row>
    <row r="98" spans="1:6" ht="15" customHeight="1" x14ac:dyDescent="0.35">
      <c r="A98" s="5"/>
      <c r="B98" s="5"/>
      <c r="C98" s="5"/>
      <c r="D98" s="5"/>
      <c r="E98" s="5"/>
      <c r="F98" s="5"/>
    </row>
    <row r="99" spans="1:6" ht="15" customHeight="1" x14ac:dyDescent="0.35">
      <c r="A99" s="5"/>
      <c r="B99" s="5"/>
      <c r="C99" s="5"/>
      <c r="D99" s="5"/>
      <c r="E99" s="5"/>
      <c r="F99" s="5"/>
    </row>
    <row r="100" spans="1:6" ht="15" customHeight="1" x14ac:dyDescent="0.35">
      <c r="A100" s="5"/>
      <c r="B100" s="5"/>
      <c r="C100" s="5"/>
      <c r="D100" s="5"/>
      <c r="E100" s="5"/>
      <c r="F100" s="5"/>
    </row>
    <row r="101" spans="1:6" ht="15" customHeight="1" x14ac:dyDescent="0.35">
      <c r="A101" s="5"/>
      <c r="B101" s="5"/>
      <c r="C101" s="5"/>
      <c r="D101" s="5"/>
      <c r="E101" s="5"/>
      <c r="F101" s="5"/>
    </row>
    <row r="102" spans="1:6" ht="15" customHeight="1" x14ac:dyDescent="0.35">
      <c r="A102" s="5"/>
      <c r="B102" s="5"/>
      <c r="C102" s="5"/>
      <c r="D102" s="5"/>
      <c r="E102" s="5"/>
      <c r="F102" s="5"/>
    </row>
    <row r="103" spans="1:6" ht="15" customHeight="1" x14ac:dyDescent="0.35">
      <c r="A103" s="5"/>
      <c r="B103" s="5"/>
      <c r="C103" s="5"/>
      <c r="D103" s="5"/>
      <c r="E103" s="5"/>
      <c r="F103" s="5"/>
    </row>
    <row r="104" spans="1:6" ht="15" customHeight="1" x14ac:dyDescent="0.35">
      <c r="A104" s="5"/>
      <c r="B104" s="5"/>
      <c r="C104" s="5"/>
      <c r="D104" s="5"/>
      <c r="E104" s="5"/>
      <c r="F104" s="5"/>
    </row>
    <row r="105" spans="1:6" ht="15" customHeight="1" x14ac:dyDescent="0.35">
      <c r="A105" s="5"/>
      <c r="B105" s="5"/>
      <c r="C105" s="5"/>
      <c r="D105" s="5"/>
      <c r="E105" s="5"/>
      <c r="F105" s="5"/>
    </row>
    <row r="106" spans="1:6" ht="15" customHeight="1" x14ac:dyDescent="0.35">
      <c r="A106" s="5"/>
      <c r="B106" s="5"/>
      <c r="C106" s="5"/>
      <c r="D106" s="5"/>
      <c r="E106" s="5"/>
      <c r="F106" s="5"/>
    </row>
    <row r="107" spans="1:6" ht="15" customHeight="1" x14ac:dyDescent="0.35">
      <c r="A107" s="5"/>
      <c r="B107" s="5"/>
      <c r="C107" s="5"/>
      <c r="D107" s="5"/>
      <c r="E107" s="5"/>
      <c r="F107" s="5"/>
    </row>
    <row r="108" spans="1:6" ht="15" customHeight="1" x14ac:dyDescent="0.35">
      <c r="A108" s="5"/>
      <c r="B108" s="5"/>
      <c r="C108" s="5"/>
      <c r="D108" s="5"/>
      <c r="E108" s="5"/>
      <c r="F108" s="5"/>
    </row>
    <row r="109" spans="1:6" ht="15" customHeight="1" x14ac:dyDescent="0.35">
      <c r="A109" s="5"/>
      <c r="B109" s="5"/>
      <c r="C109" s="5"/>
      <c r="D109" s="5"/>
      <c r="E109" s="5"/>
      <c r="F109" s="5"/>
    </row>
    <row r="110" spans="1:6" ht="15" customHeight="1" x14ac:dyDescent="0.35">
      <c r="A110" s="5"/>
      <c r="B110" s="5"/>
      <c r="C110" s="5"/>
      <c r="D110" s="5"/>
      <c r="E110" s="5"/>
      <c r="F110" s="5"/>
    </row>
    <row r="111" spans="1:6" ht="15" customHeight="1" x14ac:dyDescent="0.35">
      <c r="A111" s="5"/>
      <c r="B111" s="5"/>
      <c r="C111" s="5"/>
      <c r="D111" s="5"/>
      <c r="E111" s="5"/>
      <c r="F111" s="5"/>
    </row>
    <row r="112" spans="1:6" ht="15" customHeight="1" x14ac:dyDescent="0.35">
      <c r="A112" s="5"/>
      <c r="B112" s="5"/>
      <c r="C112" s="5"/>
      <c r="D112" s="5"/>
      <c r="E112" s="5"/>
      <c r="F112" s="5"/>
    </row>
    <row r="113" spans="1:6" ht="15" customHeight="1" x14ac:dyDescent="0.35">
      <c r="A113" s="5"/>
      <c r="B113" s="5"/>
      <c r="C113" s="5"/>
      <c r="D113" s="5"/>
      <c r="E113" s="5"/>
      <c r="F113" s="5"/>
    </row>
    <row r="114" spans="1:6" ht="15" customHeight="1" x14ac:dyDescent="0.35">
      <c r="A114" s="5"/>
      <c r="B114" s="5"/>
      <c r="C114" s="5"/>
      <c r="D114" s="5"/>
      <c r="E114" s="5"/>
      <c r="F114" s="5"/>
    </row>
    <row r="115" spans="1:6" ht="15" customHeight="1" x14ac:dyDescent="0.35">
      <c r="A115" s="5"/>
      <c r="B115" s="5"/>
      <c r="C115" s="5"/>
      <c r="D115" s="5"/>
      <c r="E115" s="5"/>
      <c r="F115" s="5"/>
    </row>
    <row r="116" spans="1:6" ht="15" customHeight="1" x14ac:dyDescent="0.35">
      <c r="A116" s="5"/>
      <c r="B116" s="5"/>
      <c r="C116" s="5"/>
      <c r="D116" s="5"/>
      <c r="E116" s="5"/>
      <c r="F116" s="5"/>
    </row>
    <row r="117" spans="1:6" ht="15" customHeight="1" x14ac:dyDescent="0.35">
      <c r="A117" s="5"/>
      <c r="B117" s="5"/>
      <c r="C117" s="5"/>
      <c r="D117" s="5"/>
      <c r="E117" s="5"/>
      <c r="F117" s="5"/>
    </row>
    <row r="118" spans="1:6" ht="15" customHeight="1" x14ac:dyDescent="0.35">
      <c r="A118" s="5"/>
      <c r="B118" s="5"/>
      <c r="C118" s="5"/>
      <c r="D118" s="5"/>
      <c r="E118" s="5"/>
      <c r="F118" s="5"/>
    </row>
    <row r="119" spans="1:6" ht="15" customHeight="1" x14ac:dyDescent="0.35">
      <c r="A119" s="5"/>
      <c r="B119" s="5"/>
      <c r="C119" s="5"/>
      <c r="D119" s="5"/>
      <c r="E119" s="5"/>
      <c r="F119" s="5"/>
    </row>
    <row r="120" spans="1:6" ht="15" customHeight="1" x14ac:dyDescent="0.35">
      <c r="A120" s="5"/>
      <c r="B120" s="5"/>
      <c r="C120" s="5"/>
      <c r="D120" s="5"/>
      <c r="E120" s="5"/>
      <c r="F120" s="5"/>
    </row>
    <row r="121" spans="1:6" ht="15" customHeight="1" x14ac:dyDescent="0.35">
      <c r="A121" s="5"/>
      <c r="B121" s="5"/>
      <c r="C121" s="5"/>
      <c r="D121" s="5"/>
      <c r="E121" s="5"/>
      <c r="F121" s="5"/>
    </row>
    <row r="122" spans="1:6" ht="15" customHeight="1" x14ac:dyDescent="0.35">
      <c r="A122" s="5"/>
      <c r="B122" s="5"/>
      <c r="C122" s="5"/>
      <c r="D122" s="5"/>
      <c r="E122" s="5"/>
      <c r="F122" s="5"/>
    </row>
    <row r="123" spans="1:6" ht="15" customHeight="1" x14ac:dyDescent="0.35">
      <c r="A123" s="5"/>
      <c r="B123" s="5"/>
      <c r="C123" s="5"/>
      <c r="D123" s="5"/>
      <c r="E123" s="5"/>
      <c r="F123" s="5"/>
    </row>
    <row r="124" spans="1:6" ht="15" customHeight="1" x14ac:dyDescent="0.35">
      <c r="A124" s="5"/>
      <c r="B124" s="5"/>
      <c r="C124" s="5"/>
      <c r="D124" s="5"/>
      <c r="E124" s="5"/>
      <c r="F124" s="5"/>
    </row>
    <row r="125" spans="1:6" ht="15" customHeight="1" x14ac:dyDescent="0.35">
      <c r="A125" s="5"/>
      <c r="B125" s="5"/>
      <c r="C125" s="5"/>
      <c r="D125" s="5"/>
      <c r="E125" s="5"/>
      <c r="F125" s="5"/>
    </row>
    <row r="126" spans="1:6" ht="15" customHeight="1" x14ac:dyDescent="0.35">
      <c r="A126" s="5"/>
      <c r="B126" s="5"/>
      <c r="C126" s="5"/>
      <c r="D126" s="5"/>
      <c r="E126" s="5"/>
      <c r="F126" s="5"/>
    </row>
    <row r="127" spans="1:6" ht="15" customHeight="1" x14ac:dyDescent="0.35">
      <c r="A127" s="5"/>
      <c r="B127" s="5"/>
      <c r="C127" s="5"/>
      <c r="D127" s="5"/>
      <c r="E127" s="5"/>
      <c r="F127" s="5"/>
    </row>
    <row r="128" spans="1:6" ht="15" customHeight="1" x14ac:dyDescent="0.35">
      <c r="A128" s="5"/>
      <c r="B128" s="5"/>
      <c r="C128" s="5"/>
      <c r="D128" s="5"/>
      <c r="E128" s="5"/>
      <c r="F128" s="5"/>
    </row>
    <row r="129" spans="1:6" ht="15" customHeight="1" x14ac:dyDescent="0.35">
      <c r="A129" s="5"/>
      <c r="B129" s="5"/>
      <c r="C129" s="5"/>
      <c r="D129" s="5"/>
      <c r="E129" s="5"/>
      <c r="F129" s="5"/>
    </row>
    <row r="130" spans="1:6" ht="15" customHeight="1" x14ac:dyDescent="0.35">
      <c r="A130" s="5"/>
      <c r="B130" s="5"/>
      <c r="C130" s="5"/>
      <c r="D130" s="5"/>
      <c r="E130" s="5"/>
      <c r="F130" s="5"/>
    </row>
    <row r="131" spans="1:6" ht="15" customHeight="1" x14ac:dyDescent="0.35">
      <c r="A131" s="5"/>
      <c r="B131" s="5"/>
      <c r="C131" s="5"/>
      <c r="D131" s="5"/>
      <c r="E131" s="5"/>
      <c r="F131" s="5"/>
    </row>
    <row r="132" spans="1:6" ht="15" customHeight="1" x14ac:dyDescent="0.35">
      <c r="A132" s="5"/>
      <c r="B132" s="5"/>
      <c r="C132" s="5"/>
      <c r="D132" s="5"/>
      <c r="E132" s="5"/>
      <c r="F132" s="5"/>
    </row>
    <row r="133" spans="1:6" ht="15" customHeight="1" x14ac:dyDescent="0.35">
      <c r="A133" s="5"/>
      <c r="B133" s="5"/>
      <c r="C133" s="5"/>
      <c r="D133" s="5"/>
      <c r="E133" s="5"/>
      <c r="F133" s="5"/>
    </row>
    <row r="134" spans="1:6" ht="15" customHeight="1" x14ac:dyDescent="0.35">
      <c r="A134" s="5"/>
      <c r="B134" s="5"/>
      <c r="C134" s="5"/>
      <c r="D134" s="5"/>
      <c r="E134" s="5"/>
      <c r="F134" s="5"/>
    </row>
    <row r="135" spans="1:6" ht="15" customHeight="1" x14ac:dyDescent="0.35">
      <c r="A135" s="5"/>
      <c r="B135" s="5"/>
      <c r="C135" s="5"/>
      <c r="D135" s="5"/>
      <c r="E135" s="5"/>
      <c r="F135" s="5"/>
    </row>
    <row r="136" spans="1:6" ht="15" customHeight="1" x14ac:dyDescent="0.35">
      <c r="A136" s="5"/>
      <c r="B136" s="5"/>
      <c r="C136" s="5"/>
      <c r="D136" s="5"/>
      <c r="E136" s="5"/>
      <c r="F136" s="5"/>
    </row>
    <row r="137" spans="1:6" ht="15" customHeight="1" x14ac:dyDescent="0.35">
      <c r="A137" s="5"/>
      <c r="B137" s="5"/>
      <c r="C137" s="5"/>
      <c r="D137" s="5"/>
      <c r="E137" s="5"/>
      <c r="F137" s="5"/>
    </row>
    <row r="138" spans="1:6" ht="15" customHeight="1" x14ac:dyDescent="0.35">
      <c r="A138" s="5"/>
      <c r="B138" s="5"/>
      <c r="C138" s="5"/>
      <c r="D138" s="5"/>
      <c r="E138" s="5"/>
      <c r="F138" s="5"/>
    </row>
    <row r="139" spans="1:6" ht="15" customHeight="1" x14ac:dyDescent="0.35">
      <c r="A139" s="5"/>
      <c r="B139" s="5"/>
      <c r="C139" s="5"/>
      <c r="D139" s="5"/>
      <c r="E139" s="5"/>
      <c r="F139" s="5"/>
    </row>
    <row r="140" spans="1:6" ht="15" customHeight="1" x14ac:dyDescent="0.35">
      <c r="A140" s="5"/>
      <c r="B140" s="5"/>
      <c r="C140" s="5"/>
      <c r="D140" s="5"/>
      <c r="E140" s="5"/>
      <c r="F140" s="5"/>
    </row>
    <row r="141" spans="1:6" ht="15" customHeight="1" x14ac:dyDescent="0.35">
      <c r="A141" s="5"/>
      <c r="B141" s="5"/>
      <c r="C141" s="5"/>
      <c r="D141" s="5"/>
      <c r="E141" s="5"/>
      <c r="F141" s="5"/>
    </row>
    <row r="142" spans="1:6" ht="15" customHeight="1" x14ac:dyDescent="0.35">
      <c r="A142" s="5"/>
      <c r="B142" s="5"/>
      <c r="C142" s="5"/>
      <c r="D142" s="5"/>
      <c r="E142" s="5"/>
      <c r="F142" s="5"/>
    </row>
    <row r="143" spans="1:6" ht="15" customHeight="1" x14ac:dyDescent="0.35">
      <c r="A143" s="5"/>
      <c r="B143" s="5"/>
      <c r="C143" s="5"/>
      <c r="D143" s="5"/>
      <c r="E143" s="5"/>
      <c r="F143" s="5"/>
    </row>
    <row r="144" spans="1:6" ht="15" customHeight="1" x14ac:dyDescent="0.35">
      <c r="A144" s="5"/>
      <c r="B144" s="5"/>
      <c r="C144" s="5"/>
      <c r="D144" s="5"/>
      <c r="E144" s="5"/>
      <c r="F144" s="5"/>
    </row>
    <row r="145" spans="1:6" ht="15" customHeight="1" x14ac:dyDescent="0.35">
      <c r="A145" s="5"/>
      <c r="B145" s="5"/>
      <c r="C145" s="5"/>
      <c r="D145" s="5"/>
      <c r="E145" s="5"/>
      <c r="F145" s="5"/>
    </row>
    <row r="146" spans="1:6" ht="15" customHeight="1" x14ac:dyDescent="0.35">
      <c r="A146" s="5"/>
      <c r="B146" s="5"/>
      <c r="C146" s="5"/>
      <c r="D146" s="5"/>
      <c r="E146" s="5"/>
      <c r="F146" s="5"/>
    </row>
    <row r="147" spans="1:6" ht="15" customHeight="1" x14ac:dyDescent="0.35">
      <c r="A147" s="5"/>
      <c r="B147" s="5"/>
      <c r="C147" s="5"/>
      <c r="D147" s="5"/>
      <c r="E147" s="5"/>
      <c r="F147" s="5"/>
    </row>
    <row r="148" spans="1:6" ht="15" customHeight="1" x14ac:dyDescent="0.35">
      <c r="A148" s="5"/>
      <c r="B148" s="5"/>
      <c r="C148" s="5"/>
      <c r="D148" s="5"/>
      <c r="E148" s="5"/>
      <c r="F148" s="5"/>
    </row>
    <row r="149" spans="1:6" ht="15" customHeight="1" x14ac:dyDescent="0.35">
      <c r="A149" s="5"/>
      <c r="B149" s="5"/>
      <c r="C149" s="5"/>
      <c r="D149" s="5"/>
      <c r="E149" s="5"/>
      <c r="F149" s="5"/>
    </row>
    <row r="150" spans="1:6" ht="15" customHeight="1" x14ac:dyDescent="0.35">
      <c r="A150" s="5"/>
      <c r="B150" s="5"/>
      <c r="C150" s="5"/>
      <c r="D150" s="5"/>
      <c r="E150" s="5"/>
      <c r="F150" s="5"/>
    </row>
    <row r="151" spans="1:6" ht="15" customHeight="1" x14ac:dyDescent="0.35">
      <c r="A151" s="5"/>
      <c r="B151" s="5"/>
      <c r="C151" s="5"/>
      <c r="D151" s="5"/>
      <c r="E151" s="5"/>
      <c r="F151" s="5"/>
    </row>
    <row r="152" spans="1:6" ht="15" customHeight="1" x14ac:dyDescent="0.35">
      <c r="A152" s="5"/>
      <c r="B152" s="5"/>
      <c r="C152" s="5"/>
      <c r="D152" s="5"/>
      <c r="E152" s="5"/>
      <c r="F152" s="5"/>
    </row>
    <row r="153" spans="1:6" ht="15" customHeight="1" x14ac:dyDescent="0.35">
      <c r="A153" s="5"/>
      <c r="B153" s="5"/>
      <c r="C153" s="5"/>
      <c r="D153" s="5"/>
      <c r="E153" s="5"/>
      <c r="F153" s="5"/>
    </row>
    <row r="154" spans="1:6" ht="15" customHeight="1" x14ac:dyDescent="0.35">
      <c r="A154" s="5"/>
      <c r="B154" s="5"/>
      <c r="C154" s="5"/>
      <c r="D154" s="5"/>
      <c r="E154" s="5"/>
      <c r="F154" s="5"/>
    </row>
    <row r="155" spans="1:6" ht="15" customHeight="1" x14ac:dyDescent="0.35">
      <c r="A155" s="5"/>
      <c r="B155" s="5"/>
      <c r="C155" s="5"/>
      <c r="D155" s="5"/>
      <c r="E155" s="5"/>
      <c r="F155" s="5"/>
    </row>
    <row r="156" spans="1:6" ht="15" customHeight="1" x14ac:dyDescent="0.35">
      <c r="A156" s="5"/>
      <c r="B156" s="5"/>
      <c r="C156" s="5"/>
      <c r="D156" s="5"/>
      <c r="E156" s="5"/>
      <c r="F156" s="5"/>
    </row>
    <row r="157" spans="1:6" ht="15" customHeight="1" x14ac:dyDescent="0.35">
      <c r="A157" s="5"/>
      <c r="B157" s="5"/>
      <c r="C157" s="5"/>
      <c r="D157" s="5"/>
      <c r="E157" s="5"/>
      <c r="F157" s="5"/>
    </row>
    <row r="158" spans="1:6" ht="15" customHeight="1" x14ac:dyDescent="0.35">
      <c r="A158" s="5"/>
      <c r="B158" s="5"/>
      <c r="C158" s="5"/>
      <c r="D158" s="5"/>
      <c r="E158" s="5"/>
      <c r="F158" s="5"/>
    </row>
    <row r="159" spans="1:6" ht="15" customHeight="1" x14ac:dyDescent="0.35">
      <c r="A159" s="5"/>
      <c r="B159" s="5"/>
      <c r="C159" s="5"/>
      <c r="D159" s="5"/>
      <c r="E159" s="5"/>
      <c r="F159" s="5"/>
    </row>
    <row r="160" spans="1:6" ht="15" customHeight="1" x14ac:dyDescent="0.35">
      <c r="A160" s="5"/>
      <c r="B160" s="5"/>
      <c r="C160" s="5"/>
      <c r="D160" s="5"/>
      <c r="E160" s="5"/>
      <c r="F160" s="5"/>
    </row>
    <row r="161" spans="1:6" ht="15" customHeight="1" x14ac:dyDescent="0.35">
      <c r="A161" s="5"/>
      <c r="B161" s="5"/>
      <c r="C161" s="5"/>
      <c r="D161" s="5"/>
      <c r="E161" s="5"/>
      <c r="F161" s="5"/>
    </row>
    <row r="162" spans="1:6" ht="15" customHeight="1" x14ac:dyDescent="0.35">
      <c r="A162" s="5"/>
      <c r="B162" s="5"/>
      <c r="C162" s="5"/>
      <c r="D162" s="5"/>
      <c r="E162" s="5"/>
      <c r="F162" s="5"/>
    </row>
    <row r="163" spans="1:6" ht="15" customHeight="1" x14ac:dyDescent="0.35">
      <c r="A163" s="5"/>
      <c r="B163" s="5"/>
      <c r="C163" s="5"/>
      <c r="D163" s="5"/>
      <c r="E163" s="5"/>
      <c r="F163" s="5"/>
    </row>
    <row r="164" spans="1:6" ht="15" customHeight="1" x14ac:dyDescent="0.35">
      <c r="A164" s="5"/>
      <c r="B164" s="5"/>
      <c r="C164" s="5"/>
      <c r="D164" s="5"/>
      <c r="E164" s="5"/>
      <c r="F164" s="5"/>
    </row>
    <row r="165" spans="1:6" ht="15" customHeight="1" x14ac:dyDescent="0.35">
      <c r="A165" s="5"/>
      <c r="B165" s="5"/>
      <c r="C165" s="5"/>
      <c r="D165" s="5"/>
      <c r="E165" s="5"/>
      <c r="F165" s="5"/>
    </row>
    <row r="166" spans="1:6" ht="15" customHeight="1" x14ac:dyDescent="0.35">
      <c r="A166" s="5"/>
      <c r="B166" s="5"/>
      <c r="C166" s="5"/>
      <c r="D166" s="5"/>
      <c r="E166" s="5"/>
      <c r="F166" s="5"/>
    </row>
    <row r="167" spans="1:6" ht="15" customHeight="1" x14ac:dyDescent="0.35">
      <c r="A167" s="5"/>
      <c r="B167" s="5"/>
      <c r="C167" s="5"/>
      <c r="D167" s="5"/>
      <c r="E167" s="5"/>
      <c r="F167" s="5"/>
    </row>
    <row r="168" spans="1:6" ht="15" customHeight="1" x14ac:dyDescent="0.35">
      <c r="A168" s="5"/>
      <c r="B168" s="5"/>
      <c r="C168" s="5"/>
      <c r="D168" s="5"/>
      <c r="E168" s="5"/>
      <c r="F168" s="5"/>
    </row>
    <row r="169" spans="1:6" ht="15" customHeight="1" x14ac:dyDescent="0.35">
      <c r="A169" s="5"/>
      <c r="B169" s="5"/>
      <c r="C169" s="5"/>
      <c r="D169" s="5"/>
      <c r="E169" s="5"/>
      <c r="F169" s="5"/>
    </row>
    <row r="170" spans="1:6" ht="15" customHeight="1" x14ac:dyDescent="0.35">
      <c r="A170" s="5"/>
      <c r="B170" s="5"/>
      <c r="C170" s="5"/>
      <c r="D170" s="5"/>
      <c r="E170" s="5"/>
      <c r="F170" s="5"/>
    </row>
    <row r="171" spans="1:6" ht="15" customHeight="1" x14ac:dyDescent="0.35">
      <c r="A171" s="5"/>
      <c r="B171" s="5"/>
      <c r="C171" s="5"/>
      <c r="D171" s="5"/>
      <c r="E171" s="5"/>
      <c r="F171" s="5"/>
    </row>
    <row r="172" spans="1:6" ht="15" customHeight="1" x14ac:dyDescent="0.35">
      <c r="A172" s="5"/>
      <c r="B172" s="5"/>
      <c r="C172" s="5"/>
      <c r="D172" s="5"/>
      <c r="E172" s="5"/>
      <c r="F172" s="5"/>
    </row>
    <row r="173" spans="1:6" ht="15" customHeight="1" x14ac:dyDescent="0.35">
      <c r="A173" s="5"/>
      <c r="B173" s="5"/>
      <c r="C173" s="5"/>
      <c r="D173" s="5"/>
      <c r="E173" s="5"/>
      <c r="F173" s="5"/>
    </row>
    <row r="174" spans="1:6" ht="15" customHeight="1" x14ac:dyDescent="0.35">
      <c r="A174" s="5"/>
      <c r="B174" s="5"/>
      <c r="C174" s="5"/>
      <c r="D174" s="5"/>
      <c r="E174" s="5"/>
      <c r="F174" s="5"/>
    </row>
    <row r="175" spans="1:6" ht="15" customHeight="1" x14ac:dyDescent="0.35">
      <c r="A175" s="5"/>
      <c r="B175" s="5"/>
      <c r="C175" s="5"/>
      <c r="D175" s="5"/>
      <c r="E175" s="5"/>
      <c r="F175" s="5"/>
    </row>
    <row r="176" spans="1:6" ht="15" customHeight="1" x14ac:dyDescent="0.35">
      <c r="A176" s="5"/>
      <c r="B176" s="5"/>
      <c r="C176" s="5"/>
      <c r="D176" s="5"/>
      <c r="E176" s="5"/>
      <c r="F176" s="5"/>
    </row>
    <row r="177" spans="1:6" ht="15" customHeight="1" x14ac:dyDescent="0.35">
      <c r="A177" s="5"/>
      <c r="B177" s="5"/>
      <c r="C177" s="5"/>
      <c r="D177" s="5"/>
      <c r="E177" s="5"/>
      <c r="F177" s="5"/>
    </row>
    <row r="178" spans="1:6" ht="15" customHeight="1" x14ac:dyDescent="0.35">
      <c r="A178" s="5"/>
      <c r="B178" s="5"/>
      <c r="C178" s="5"/>
      <c r="D178" s="5"/>
      <c r="E178" s="5"/>
      <c r="F178" s="5"/>
    </row>
    <row r="179" spans="1:6" ht="15" customHeight="1" x14ac:dyDescent="0.35">
      <c r="A179" s="5"/>
      <c r="B179" s="5"/>
      <c r="C179" s="5"/>
      <c r="D179" s="5"/>
      <c r="E179" s="5"/>
      <c r="F179" s="5"/>
    </row>
    <row r="180" spans="1:6" ht="15" customHeight="1" x14ac:dyDescent="0.35">
      <c r="A180" s="5"/>
      <c r="B180" s="5"/>
      <c r="C180" s="5"/>
      <c r="D180" s="5"/>
      <c r="E180" s="5"/>
      <c r="F180" s="5"/>
    </row>
    <row r="181" spans="1:6" ht="15" customHeight="1" x14ac:dyDescent="0.35">
      <c r="A181" s="5"/>
      <c r="B181" s="5"/>
      <c r="C181" s="5"/>
      <c r="D181" s="5"/>
      <c r="E181" s="5"/>
      <c r="F181" s="5"/>
    </row>
    <row r="182" spans="1:6" ht="15" customHeight="1" x14ac:dyDescent="0.35">
      <c r="A182" s="5"/>
      <c r="B182" s="5"/>
      <c r="C182" s="5"/>
      <c r="D182" s="5"/>
      <c r="E182" s="5"/>
      <c r="F182" s="5"/>
    </row>
    <row r="183" spans="1:6" ht="15" customHeight="1" x14ac:dyDescent="0.35">
      <c r="A183" s="5"/>
      <c r="B183" s="5"/>
      <c r="C183" s="5"/>
      <c r="D183" s="5"/>
      <c r="E183" s="5"/>
      <c r="F183" s="5"/>
    </row>
    <row r="184" spans="1:6" ht="15" customHeight="1" x14ac:dyDescent="0.35">
      <c r="A184" s="5"/>
      <c r="B184" s="5"/>
      <c r="C184" s="5"/>
      <c r="D184" s="5"/>
      <c r="E184" s="5"/>
      <c r="F184" s="5"/>
    </row>
    <row r="185" spans="1:6" ht="15" customHeight="1" x14ac:dyDescent="0.35">
      <c r="A185" s="5"/>
      <c r="B185" s="5"/>
      <c r="C185" s="5"/>
      <c r="D185" s="5"/>
      <c r="E185" s="5"/>
      <c r="F185" s="5"/>
    </row>
    <row r="186" spans="1:6" ht="15" customHeight="1" x14ac:dyDescent="0.35">
      <c r="A186" s="5"/>
      <c r="B186" s="5"/>
      <c r="C186" s="5"/>
      <c r="D186" s="5"/>
      <c r="E186" s="5"/>
      <c r="F186" s="5"/>
    </row>
    <row r="187" spans="1:6" ht="15" customHeight="1" x14ac:dyDescent="0.35">
      <c r="A187" s="5"/>
      <c r="B187" s="5"/>
      <c r="C187" s="5"/>
      <c r="D187" s="5"/>
      <c r="E187" s="5"/>
      <c r="F187" s="5"/>
    </row>
    <row r="188" spans="1:6" ht="15" customHeight="1" x14ac:dyDescent="0.35">
      <c r="A188" s="5"/>
      <c r="B188" s="5"/>
      <c r="C188" s="5"/>
      <c r="D188" s="5"/>
      <c r="E188" s="5"/>
      <c r="F188" s="5"/>
    </row>
    <row r="189" spans="1:6" ht="15" customHeight="1" x14ac:dyDescent="0.35">
      <c r="A189" s="5"/>
      <c r="B189" s="5"/>
      <c r="C189" s="5"/>
      <c r="D189" s="5"/>
      <c r="E189" s="5"/>
      <c r="F189" s="5"/>
    </row>
    <row r="190" spans="1:6" ht="15" customHeight="1" x14ac:dyDescent="0.35">
      <c r="A190" s="5"/>
      <c r="B190" s="5"/>
      <c r="C190" s="5"/>
      <c r="D190" s="5"/>
      <c r="E190" s="5"/>
      <c r="F190" s="5"/>
    </row>
    <row r="191" spans="1:6" ht="15" customHeight="1" x14ac:dyDescent="0.35">
      <c r="A191" s="5"/>
      <c r="B191" s="5"/>
      <c r="C191" s="5"/>
      <c r="D191" s="5"/>
      <c r="E191" s="5"/>
      <c r="F191" s="5"/>
    </row>
    <row r="192" spans="1:6" ht="15" customHeight="1" x14ac:dyDescent="0.35">
      <c r="A192" s="5"/>
      <c r="B192" s="5"/>
      <c r="C192" s="5"/>
      <c r="D192" s="5"/>
      <c r="E192" s="5"/>
      <c r="F192" s="5"/>
    </row>
    <row r="193" spans="1:6" ht="15" customHeight="1" x14ac:dyDescent="0.35">
      <c r="A193" s="5"/>
      <c r="B193" s="5"/>
      <c r="C193" s="5"/>
      <c r="D193" s="5"/>
      <c r="E193" s="5"/>
      <c r="F193" s="5"/>
    </row>
    <row r="194" spans="1:6" ht="15" customHeight="1" x14ac:dyDescent="0.35">
      <c r="A194" s="5"/>
      <c r="B194" s="5"/>
      <c r="C194" s="5"/>
      <c r="D194" s="5"/>
      <c r="E194" s="5"/>
      <c r="F194" s="5"/>
    </row>
    <row r="195" spans="1:6" ht="15" customHeight="1" x14ac:dyDescent="0.35">
      <c r="A195" s="5"/>
      <c r="B195" s="5"/>
      <c r="C195" s="5"/>
      <c r="D195" s="5"/>
      <c r="E195" s="5"/>
      <c r="F195" s="5"/>
    </row>
    <row r="196" spans="1:6" ht="15" customHeight="1" x14ac:dyDescent="0.35">
      <c r="A196" s="5"/>
      <c r="B196" s="5"/>
      <c r="C196" s="5"/>
      <c r="D196" s="5"/>
      <c r="E196" s="5"/>
      <c r="F196" s="5"/>
    </row>
    <row r="197" spans="1:6" ht="15" customHeight="1" x14ac:dyDescent="0.35">
      <c r="A197" s="5"/>
      <c r="B197" s="5"/>
      <c r="C197" s="5"/>
      <c r="D197" s="5"/>
      <c r="E197" s="5"/>
      <c r="F197" s="5"/>
    </row>
    <row r="198" spans="1:6" ht="15" customHeight="1" x14ac:dyDescent="0.35">
      <c r="A198" s="5"/>
      <c r="B198" s="5"/>
      <c r="C198" s="5"/>
      <c r="D198" s="5"/>
      <c r="E198" s="5"/>
      <c r="F198" s="5"/>
    </row>
    <row r="199" spans="1:6" ht="15" customHeight="1" x14ac:dyDescent="0.35">
      <c r="A199" s="5"/>
      <c r="B199" s="5"/>
      <c r="C199" s="5"/>
      <c r="D199" s="5"/>
      <c r="E199" s="5"/>
      <c r="F199" s="5"/>
    </row>
    <row r="200" spans="1:6" ht="15" customHeight="1" x14ac:dyDescent="0.35">
      <c r="A200" s="5"/>
      <c r="B200" s="5"/>
      <c r="C200" s="5"/>
      <c r="D200" s="5"/>
      <c r="E200" s="5"/>
      <c r="F200" s="5"/>
    </row>
    <row r="201" spans="1:6" ht="15" customHeight="1" x14ac:dyDescent="0.35">
      <c r="A201" s="5"/>
      <c r="B201" s="5"/>
      <c r="C201" s="5"/>
      <c r="D201" s="5"/>
      <c r="E201" s="5"/>
      <c r="F201" s="5"/>
    </row>
    <row r="202" spans="1:6" ht="15" customHeight="1" x14ac:dyDescent="0.35">
      <c r="A202" s="5"/>
      <c r="B202" s="5"/>
      <c r="C202" s="5"/>
      <c r="D202" s="5"/>
      <c r="E202" s="5"/>
      <c r="F202" s="5"/>
    </row>
    <row r="203" spans="1:6" ht="15" customHeight="1" x14ac:dyDescent="0.35">
      <c r="A203" s="5"/>
      <c r="B203" s="5"/>
      <c r="C203" s="5"/>
      <c r="D203" s="5"/>
      <c r="E203" s="5"/>
      <c r="F203" s="5"/>
    </row>
    <row r="204" spans="1:6" ht="15" customHeight="1" x14ac:dyDescent="0.35">
      <c r="A204" s="5"/>
      <c r="B204" s="5"/>
      <c r="C204" s="5"/>
      <c r="D204" s="5"/>
      <c r="E204" s="5"/>
      <c r="F204" s="5"/>
    </row>
    <row r="205" spans="1:6" ht="15" customHeight="1" x14ac:dyDescent="0.35">
      <c r="A205" s="5"/>
      <c r="B205" s="5"/>
      <c r="C205" s="5"/>
      <c r="D205" s="5"/>
      <c r="E205" s="5"/>
      <c r="F205" s="5"/>
    </row>
    <row r="206" spans="1:6" ht="15" customHeight="1" x14ac:dyDescent="0.35">
      <c r="A206" s="5"/>
      <c r="B206" s="5"/>
      <c r="C206" s="5"/>
      <c r="D206" s="5"/>
      <c r="E206" s="5"/>
      <c r="F206" s="5"/>
    </row>
    <row r="207" spans="1:6" ht="15" customHeight="1" x14ac:dyDescent="0.35">
      <c r="A207" s="5"/>
      <c r="B207" s="5"/>
      <c r="C207" s="5"/>
      <c r="D207" s="5"/>
      <c r="E207" s="5"/>
      <c r="F207" s="5"/>
    </row>
    <row r="208" spans="1:6" ht="15" customHeight="1" x14ac:dyDescent="0.35">
      <c r="A208" s="5"/>
      <c r="B208" s="5"/>
      <c r="C208" s="5"/>
      <c r="D208" s="5"/>
      <c r="E208" s="5"/>
      <c r="F208" s="5"/>
    </row>
    <row r="209" spans="1:6" ht="15" customHeight="1" x14ac:dyDescent="0.35">
      <c r="A209" s="5"/>
      <c r="B209" s="5"/>
      <c r="C209" s="5"/>
      <c r="D209" s="5"/>
      <c r="E209" s="5"/>
      <c r="F209" s="5"/>
    </row>
    <row r="210" spans="1:6" ht="15" customHeight="1" x14ac:dyDescent="0.35">
      <c r="A210" s="5"/>
      <c r="B210" s="5"/>
      <c r="C210" s="5"/>
      <c r="D210" s="5"/>
      <c r="E210" s="5"/>
      <c r="F210" s="5"/>
    </row>
    <row r="211" spans="1:6" ht="15" customHeight="1" x14ac:dyDescent="0.35">
      <c r="A211" s="5"/>
      <c r="B211" s="5"/>
      <c r="C211" s="5"/>
      <c r="D211" s="5"/>
      <c r="E211" s="5"/>
      <c r="F211" s="5"/>
    </row>
    <row r="212" spans="1:6" ht="15" customHeight="1" x14ac:dyDescent="0.35">
      <c r="A212" s="5"/>
      <c r="B212" s="5"/>
      <c r="C212" s="5"/>
      <c r="D212" s="5"/>
      <c r="E212" s="5"/>
      <c r="F212" s="5"/>
    </row>
    <row r="213" spans="1:6" ht="15" customHeight="1" x14ac:dyDescent="0.35">
      <c r="A213" s="5"/>
      <c r="B213" s="5"/>
      <c r="C213" s="5"/>
      <c r="D213" s="5"/>
      <c r="E213" s="5"/>
      <c r="F213" s="5"/>
    </row>
    <row r="214" spans="1:6" ht="15" customHeight="1" x14ac:dyDescent="0.35">
      <c r="A214" s="5"/>
      <c r="B214" s="5"/>
      <c r="C214" s="5"/>
      <c r="D214" s="5"/>
      <c r="E214" s="5"/>
      <c r="F214" s="5"/>
    </row>
    <row r="215" spans="1:6" ht="15" customHeight="1" x14ac:dyDescent="0.35">
      <c r="A215" s="5"/>
      <c r="B215" s="5"/>
      <c r="C215" s="5"/>
      <c r="D215" s="5"/>
      <c r="E215" s="5"/>
      <c r="F215" s="5"/>
    </row>
    <row r="216" spans="1:6" ht="15" customHeight="1" x14ac:dyDescent="0.35">
      <c r="A216" s="5"/>
      <c r="B216" s="5"/>
      <c r="C216" s="5"/>
      <c r="D216" s="5"/>
      <c r="E216" s="5"/>
      <c r="F216" s="5"/>
    </row>
    <row r="217" spans="1:6" ht="15" customHeight="1" x14ac:dyDescent="0.35">
      <c r="A217" s="5"/>
      <c r="B217" s="5"/>
      <c r="C217" s="5"/>
      <c r="D217" s="5"/>
      <c r="E217" s="5"/>
      <c r="F217" s="5"/>
    </row>
    <row r="218" spans="1:6" ht="15" customHeight="1" x14ac:dyDescent="0.35">
      <c r="A218" s="5"/>
      <c r="B218" s="5"/>
      <c r="C218" s="5"/>
      <c r="D218" s="5"/>
      <c r="E218" s="5"/>
      <c r="F218" s="5"/>
    </row>
    <row r="219" spans="1:6" ht="15" customHeight="1" x14ac:dyDescent="0.35">
      <c r="A219" s="5"/>
      <c r="B219" s="5"/>
      <c r="C219" s="5"/>
      <c r="D219" s="5"/>
      <c r="E219" s="5"/>
      <c r="F219" s="5"/>
    </row>
    <row r="220" spans="1:6" ht="15" customHeight="1" x14ac:dyDescent="0.35">
      <c r="A220" s="5"/>
      <c r="B220" s="5"/>
      <c r="C220" s="5"/>
      <c r="D220" s="5"/>
      <c r="E220" s="5"/>
      <c r="F220" s="5"/>
    </row>
    <row r="221" spans="1:6" ht="15" customHeight="1" x14ac:dyDescent="0.35">
      <c r="A221" s="5"/>
      <c r="B221" s="5"/>
      <c r="C221" s="5"/>
      <c r="D221" s="5"/>
      <c r="E221" s="5"/>
      <c r="F221" s="5"/>
    </row>
    <row r="222" spans="1:6" ht="15" customHeight="1" x14ac:dyDescent="0.35">
      <c r="A222" s="5"/>
      <c r="B222" s="5"/>
      <c r="C222" s="5"/>
      <c r="D222" s="5"/>
      <c r="E222" s="5"/>
      <c r="F222" s="5"/>
    </row>
    <row r="223" spans="1:6" ht="15" customHeight="1" x14ac:dyDescent="0.35">
      <c r="A223" s="5"/>
      <c r="B223" s="5"/>
      <c r="C223" s="5"/>
      <c r="D223" s="5"/>
      <c r="E223" s="5"/>
      <c r="F223" s="5"/>
    </row>
    <row r="224" spans="1:6" ht="15" customHeight="1" x14ac:dyDescent="0.35">
      <c r="A224" s="5"/>
      <c r="B224" s="5"/>
      <c r="C224" s="5"/>
      <c r="D224" s="5"/>
      <c r="E224" s="5"/>
      <c r="F224" s="5"/>
    </row>
    <row r="225" spans="1:6" ht="15" customHeight="1" x14ac:dyDescent="0.35">
      <c r="A225" s="5"/>
      <c r="B225" s="5"/>
      <c r="C225" s="5"/>
      <c r="D225" s="5"/>
      <c r="E225" s="5"/>
      <c r="F225" s="5"/>
    </row>
    <row r="226" spans="1:6" ht="15" customHeight="1" x14ac:dyDescent="0.35">
      <c r="A226" s="5"/>
      <c r="B226" s="5"/>
      <c r="C226" s="5"/>
      <c r="D226" s="5"/>
      <c r="E226" s="5"/>
      <c r="F226" s="5"/>
    </row>
    <row r="227" spans="1:6" ht="15" customHeight="1" x14ac:dyDescent="0.35">
      <c r="A227" s="5"/>
      <c r="B227" s="5"/>
      <c r="C227" s="5"/>
      <c r="D227" s="5"/>
      <c r="E227" s="5"/>
      <c r="F227" s="5"/>
    </row>
    <row r="228" spans="1:6" ht="15" customHeight="1" x14ac:dyDescent="0.35">
      <c r="A228" s="5"/>
      <c r="B228" s="5"/>
      <c r="C228" s="5"/>
      <c r="D228" s="5"/>
      <c r="E228" s="5"/>
      <c r="F228" s="5"/>
    </row>
    <row r="229" spans="1:6" ht="15" customHeight="1" x14ac:dyDescent="0.35">
      <c r="A229" s="5"/>
      <c r="B229" s="5"/>
      <c r="C229" s="5"/>
      <c r="D229" s="5"/>
      <c r="E229" s="5"/>
      <c r="F229" s="5"/>
    </row>
    <row r="230" spans="1:6" ht="15" customHeight="1" x14ac:dyDescent="0.35">
      <c r="A230" s="5"/>
      <c r="B230" s="5"/>
      <c r="C230" s="5"/>
      <c r="D230" s="5"/>
      <c r="E230" s="5"/>
      <c r="F230" s="5"/>
    </row>
    <row r="231" spans="1:6" ht="15" customHeight="1" x14ac:dyDescent="0.35">
      <c r="A231" s="5"/>
      <c r="B231" s="5"/>
      <c r="C231" s="5"/>
      <c r="D231" s="5"/>
      <c r="E231" s="5"/>
      <c r="F231" s="5"/>
    </row>
    <row r="232" spans="1:6" ht="15" customHeight="1" x14ac:dyDescent="0.35">
      <c r="A232" s="5"/>
      <c r="B232" s="5"/>
      <c r="C232" s="5"/>
      <c r="D232" s="5"/>
      <c r="E232" s="5"/>
      <c r="F232" s="5"/>
    </row>
    <row r="233" spans="1:6" ht="15" customHeight="1" x14ac:dyDescent="0.35">
      <c r="A233" s="5"/>
      <c r="B233" s="5"/>
      <c r="C233" s="5"/>
      <c r="D233" s="5"/>
      <c r="E233" s="5"/>
      <c r="F233" s="5"/>
    </row>
    <row r="234" spans="1:6" ht="15" customHeight="1" x14ac:dyDescent="0.35">
      <c r="A234" s="5"/>
      <c r="B234" s="5"/>
      <c r="C234" s="5"/>
      <c r="D234" s="5"/>
      <c r="E234" s="5"/>
      <c r="F234" s="5"/>
    </row>
    <row r="235" spans="1:6" ht="15" customHeight="1" x14ac:dyDescent="0.35">
      <c r="A235" s="5"/>
      <c r="B235" s="5"/>
      <c r="C235" s="5"/>
      <c r="D235" s="5"/>
      <c r="E235" s="5"/>
      <c r="F235" s="5"/>
    </row>
    <row r="236" spans="1:6" ht="15" customHeight="1" x14ac:dyDescent="0.35">
      <c r="A236" s="5"/>
      <c r="B236" s="5"/>
      <c r="C236" s="5"/>
      <c r="D236" s="5"/>
      <c r="E236" s="5"/>
      <c r="F236" s="5"/>
    </row>
    <row r="237" spans="1:6" ht="15" customHeight="1" x14ac:dyDescent="0.35">
      <c r="A237" s="5"/>
      <c r="B237" s="5"/>
      <c r="C237" s="5"/>
      <c r="D237" s="5"/>
      <c r="E237" s="5"/>
      <c r="F237" s="5"/>
    </row>
    <row r="238" spans="1:6" ht="15" customHeight="1" x14ac:dyDescent="0.35">
      <c r="A238" s="5"/>
      <c r="B238" s="5"/>
      <c r="C238" s="5"/>
      <c r="D238" s="5"/>
      <c r="E238" s="5"/>
      <c r="F238" s="5"/>
    </row>
    <row r="239" spans="1:6" ht="15" customHeight="1" x14ac:dyDescent="0.35">
      <c r="A239" s="5"/>
      <c r="B239" s="5"/>
      <c r="C239" s="5"/>
      <c r="D239" s="5"/>
      <c r="E239" s="5"/>
      <c r="F239" s="5"/>
    </row>
    <row r="240" spans="1:6" ht="15" customHeight="1" x14ac:dyDescent="0.35">
      <c r="A240" s="5"/>
      <c r="B240" s="5"/>
      <c r="C240" s="5"/>
      <c r="D240" s="5"/>
      <c r="E240" s="5"/>
      <c r="F240" s="5"/>
    </row>
    <row r="241" spans="1:6" ht="15" customHeight="1" x14ac:dyDescent="0.35">
      <c r="A241" s="5"/>
      <c r="B241" s="5"/>
      <c r="C241" s="5"/>
      <c r="D241" s="5"/>
      <c r="E241" s="5"/>
      <c r="F241" s="5"/>
    </row>
    <row r="242" spans="1:6" ht="15" customHeight="1" x14ac:dyDescent="0.35">
      <c r="A242" s="5"/>
      <c r="B242" s="5"/>
      <c r="C242" s="5"/>
      <c r="D242" s="5"/>
      <c r="E242" s="5"/>
      <c r="F242" s="5"/>
    </row>
    <row r="243" spans="1:6" ht="15" customHeight="1" x14ac:dyDescent="0.35">
      <c r="A243" s="5"/>
      <c r="B243" s="5"/>
      <c r="C243" s="5"/>
      <c r="D243" s="5"/>
      <c r="E243" s="5"/>
      <c r="F243" s="5"/>
    </row>
    <row r="244" spans="1:6" ht="15" customHeight="1" x14ac:dyDescent="0.35">
      <c r="A244" s="5"/>
      <c r="B244" s="5"/>
      <c r="C244" s="5"/>
      <c r="D244" s="5"/>
      <c r="E244" s="5"/>
      <c r="F244" s="5"/>
    </row>
    <row r="245" spans="1:6" ht="15" customHeight="1" x14ac:dyDescent="0.35">
      <c r="A245" s="5"/>
      <c r="B245" s="5"/>
      <c r="C245" s="5"/>
      <c r="D245" s="5"/>
      <c r="E245" s="5"/>
      <c r="F245" s="5"/>
    </row>
    <row r="246" spans="1:6" ht="15" customHeight="1" x14ac:dyDescent="0.35">
      <c r="A246" s="5"/>
      <c r="B246" s="5"/>
      <c r="C246" s="5"/>
      <c r="D246" s="5"/>
      <c r="E246" s="5"/>
      <c r="F246" s="5"/>
    </row>
    <row r="247" spans="1:6" ht="15" customHeight="1" x14ac:dyDescent="0.35">
      <c r="A247" s="5"/>
      <c r="B247" s="5"/>
      <c r="C247" s="5"/>
      <c r="D247" s="5"/>
      <c r="E247" s="5"/>
      <c r="F247" s="5"/>
    </row>
    <row r="248" spans="1:6" ht="15" customHeight="1" x14ac:dyDescent="0.35">
      <c r="A248" s="5"/>
      <c r="B248" s="5"/>
      <c r="C248" s="5"/>
      <c r="D248" s="5"/>
      <c r="E248" s="5"/>
      <c r="F248" s="5"/>
    </row>
    <row r="249" spans="1:6" ht="15" customHeight="1" x14ac:dyDescent="0.35">
      <c r="A249" s="5"/>
      <c r="B249" s="5"/>
      <c r="C249" s="5"/>
      <c r="D249" s="5"/>
      <c r="E249" s="5"/>
      <c r="F249" s="5"/>
    </row>
    <row r="250" spans="1:6" ht="15" customHeight="1" x14ac:dyDescent="0.35">
      <c r="A250" s="5"/>
      <c r="B250" s="5"/>
      <c r="C250" s="5"/>
      <c r="D250" s="5"/>
      <c r="E250" s="5"/>
      <c r="F250" s="5"/>
    </row>
    <row r="251" spans="1:6" ht="15" customHeight="1" x14ac:dyDescent="0.35">
      <c r="A251" s="5"/>
      <c r="B251" s="5"/>
      <c r="C251" s="5"/>
      <c r="D251" s="5"/>
      <c r="E251" s="5"/>
      <c r="F251" s="5"/>
    </row>
    <row r="252" spans="1:6" ht="15" customHeight="1" x14ac:dyDescent="0.35">
      <c r="A252" s="5"/>
      <c r="B252" s="5"/>
      <c r="C252" s="5"/>
      <c r="D252" s="5"/>
      <c r="E252" s="5"/>
      <c r="F252" s="5"/>
    </row>
    <row r="253" spans="1:6" ht="15" customHeight="1" x14ac:dyDescent="0.35">
      <c r="A253" s="5"/>
      <c r="B253" s="5"/>
      <c r="C253" s="5"/>
      <c r="D253" s="5"/>
      <c r="E253" s="5"/>
      <c r="F253" s="5"/>
    </row>
    <row r="254" spans="1:6" ht="15" customHeight="1" x14ac:dyDescent="0.35">
      <c r="A254" s="5"/>
      <c r="B254" s="5"/>
      <c r="C254" s="5"/>
      <c r="D254" s="5"/>
      <c r="E254" s="5"/>
      <c r="F254" s="5"/>
    </row>
    <row r="255" spans="1:6" ht="15" customHeight="1" x14ac:dyDescent="0.35">
      <c r="A255" s="5"/>
      <c r="B255" s="5"/>
      <c r="C255" s="5"/>
      <c r="D255" s="5"/>
      <c r="E255" s="5"/>
      <c r="F255" s="5"/>
    </row>
    <row r="256" spans="1:6" ht="15" customHeight="1" x14ac:dyDescent="0.35">
      <c r="A256" s="5"/>
      <c r="B256" s="5"/>
      <c r="C256" s="5"/>
      <c r="D256" s="5"/>
      <c r="E256" s="5"/>
      <c r="F256" s="5"/>
    </row>
    <row r="257" spans="1:6" ht="15" customHeight="1" x14ac:dyDescent="0.35">
      <c r="A257" s="5"/>
      <c r="B257" s="5"/>
      <c r="C257" s="5"/>
      <c r="D257" s="5"/>
      <c r="E257" s="5"/>
      <c r="F257" s="5"/>
    </row>
    <row r="258" spans="1:6" ht="15" customHeight="1" x14ac:dyDescent="0.35">
      <c r="A258" s="5"/>
      <c r="B258" s="5"/>
      <c r="C258" s="5"/>
      <c r="D258" s="5"/>
      <c r="E258" s="5"/>
      <c r="F258" s="5"/>
    </row>
    <row r="259" spans="1:6" ht="15" customHeight="1" x14ac:dyDescent="0.35">
      <c r="A259" s="5"/>
      <c r="B259" s="5"/>
      <c r="C259" s="5"/>
      <c r="D259" s="5"/>
      <c r="E259" s="5"/>
      <c r="F259" s="5"/>
    </row>
    <row r="260" spans="1:6" ht="15" customHeight="1" x14ac:dyDescent="0.35">
      <c r="A260" s="5"/>
      <c r="B260" s="5"/>
      <c r="C260" s="5"/>
      <c r="D260" s="5"/>
      <c r="E260" s="5"/>
      <c r="F260" s="5"/>
    </row>
    <row r="261" spans="1:6" ht="15" customHeight="1" x14ac:dyDescent="0.35">
      <c r="A261" s="5"/>
      <c r="B261" s="5"/>
      <c r="C261" s="5"/>
      <c r="D261" s="5"/>
      <c r="E261" s="5"/>
      <c r="F261" s="5"/>
    </row>
    <row r="262" spans="1:6" ht="15" customHeight="1" x14ac:dyDescent="0.35">
      <c r="A262" s="5"/>
      <c r="B262" s="5"/>
      <c r="C262" s="5"/>
      <c r="D262" s="5"/>
      <c r="E262" s="5"/>
      <c r="F262" s="5"/>
    </row>
    <row r="263" spans="1:6" ht="15" customHeight="1" x14ac:dyDescent="0.35">
      <c r="A263" s="5"/>
      <c r="B263" s="5"/>
      <c r="C263" s="5"/>
      <c r="D263" s="5"/>
      <c r="E263" s="5"/>
      <c r="F263" s="5"/>
    </row>
    <row r="264" spans="1:6" ht="15" customHeight="1" x14ac:dyDescent="0.35">
      <c r="A264" s="5"/>
      <c r="B264" s="5"/>
      <c r="C264" s="5"/>
      <c r="D264" s="5"/>
      <c r="E264" s="5"/>
      <c r="F264" s="5"/>
    </row>
    <row r="265" spans="1:6" ht="15" customHeight="1" x14ac:dyDescent="0.35">
      <c r="A265" s="5"/>
      <c r="B265" s="5"/>
      <c r="C265" s="5"/>
      <c r="D265" s="5"/>
      <c r="E265" s="5"/>
      <c r="F265" s="5"/>
    </row>
    <row r="266" spans="1:6" ht="15" customHeight="1" x14ac:dyDescent="0.35">
      <c r="A266" s="5"/>
      <c r="B266" s="5"/>
      <c r="C266" s="5"/>
      <c r="D266" s="5"/>
      <c r="E266" s="5"/>
      <c r="F266" s="5"/>
    </row>
    <row r="267" spans="1:6" ht="15" customHeight="1" x14ac:dyDescent="0.35">
      <c r="A267" s="5"/>
      <c r="B267" s="5"/>
      <c r="C267" s="5"/>
      <c r="D267" s="5"/>
      <c r="E267" s="5"/>
      <c r="F267" s="5"/>
    </row>
    <row r="268" spans="1:6" ht="15" customHeight="1" x14ac:dyDescent="0.35">
      <c r="A268" s="5"/>
      <c r="B268" s="5"/>
      <c r="C268" s="5"/>
      <c r="D268" s="5"/>
      <c r="E268" s="5"/>
      <c r="F268" s="5"/>
    </row>
    <row r="269" spans="1:6" ht="15" customHeight="1" x14ac:dyDescent="0.35">
      <c r="A269" s="5"/>
      <c r="B269" s="5"/>
      <c r="C269" s="5"/>
      <c r="D269" s="5"/>
      <c r="E269" s="5"/>
      <c r="F269" s="5"/>
    </row>
    <row r="270" spans="1:6" ht="15" customHeight="1" x14ac:dyDescent="0.35">
      <c r="A270" s="5"/>
      <c r="B270" s="5"/>
      <c r="C270" s="5"/>
      <c r="D270" s="5"/>
      <c r="E270" s="5"/>
      <c r="F270" s="5"/>
    </row>
    <row r="271" spans="1:6" ht="15" customHeight="1" x14ac:dyDescent="0.35">
      <c r="A271" s="5"/>
      <c r="B271" s="5"/>
      <c r="C271" s="5"/>
      <c r="D271" s="5"/>
      <c r="E271" s="5"/>
      <c r="F271" s="5"/>
    </row>
    <row r="272" spans="1:6" ht="15" customHeight="1" x14ac:dyDescent="0.35">
      <c r="A272" s="5"/>
      <c r="B272" s="5"/>
      <c r="C272" s="5"/>
      <c r="D272" s="5"/>
      <c r="E272" s="5"/>
      <c r="F272" s="5"/>
    </row>
    <row r="273" spans="1:6" ht="15" customHeight="1" x14ac:dyDescent="0.35">
      <c r="A273" s="5"/>
      <c r="B273" s="5"/>
      <c r="C273" s="5"/>
      <c r="D273" s="5"/>
      <c r="E273" s="5"/>
      <c r="F273" s="5"/>
    </row>
    <row r="274" spans="1:6" ht="15" customHeight="1" x14ac:dyDescent="0.35">
      <c r="A274" s="5"/>
      <c r="B274" s="5"/>
      <c r="C274" s="5"/>
      <c r="D274" s="5"/>
      <c r="E274" s="5"/>
      <c r="F274" s="5"/>
    </row>
    <row r="275" spans="1:6" ht="15" customHeight="1" x14ac:dyDescent="0.35">
      <c r="A275" s="5"/>
      <c r="B275" s="5"/>
      <c r="C275" s="5"/>
      <c r="D275" s="5"/>
      <c r="E275" s="5"/>
      <c r="F275" s="5"/>
    </row>
    <row r="276" spans="1:6" ht="15" customHeight="1" x14ac:dyDescent="0.35">
      <c r="A276" s="5"/>
      <c r="B276" s="5"/>
      <c r="C276" s="5"/>
      <c r="D276" s="5"/>
      <c r="E276" s="5"/>
      <c r="F276" s="5"/>
    </row>
    <row r="277" spans="1:6" ht="15" customHeight="1" x14ac:dyDescent="0.35">
      <c r="A277" s="5"/>
      <c r="B277" s="5"/>
      <c r="C277" s="5"/>
      <c r="D277" s="5"/>
      <c r="E277" s="5"/>
      <c r="F277" s="5"/>
    </row>
    <row r="278" spans="1:6" ht="15" customHeight="1" x14ac:dyDescent="0.35">
      <c r="A278" s="5"/>
      <c r="B278" s="5"/>
      <c r="C278" s="5"/>
      <c r="D278" s="5"/>
      <c r="E278" s="5"/>
      <c r="F278" s="5"/>
    </row>
    <row r="279" spans="1:6" ht="15" customHeight="1" x14ac:dyDescent="0.35">
      <c r="A279" s="5"/>
      <c r="B279" s="5"/>
      <c r="C279" s="5"/>
      <c r="D279" s="5"/>
      <c r="E279" s="5"/>
      <c r="F279" s="5"/>
    </row>
    <row r="280" spans="1:6" ht="15" customHeight="1" x14ac:dyDescent="0.35">
      <c r="A280" s="5"/>
      <c r="B280" s="5"/>
      <c r="C280" s="5"/>
      <c r="D280" s="5"/>
      <c r="E280" s="5"/>
      <c r="F280" s="5"/>
    </row>
    <row r="281" spans="1:6" ht="15" customHeight="1" x14ac:dyDescent="0.35">
      <c r="A281" s="5"/>
      <c r="B281" s="5"/>
      <c r="C281" s="5"/>
      <c r="D281" s="5"/>
      <c r="E281" s="5"/>
      <c r="F281" s="5"/>
    </row>
    <row r="282" spans="1:6" ht="15" customHeight="1" x14ac:dyDescent="0.35">
      <c r="A282" s="5"/>
      <c r="B282" s="5"/>
      <c r="C282" s="5"/>
      <c r="D282" s="5"/>
      <c r="E282" s="5"/>
      <c r="F282" s="5"/>
    </row>
    <row r="283" spans="1:6" ht="15" customHeight="1" x14ac:dyDescent="0.35">
      <c r="A283" s="5"/>
      <c r="B283" s="5"/>
      <c r="C283" s="5"/>
      <c r="D283" s="5"/>
      <c r="E283" s="5"/>
      <c r="F283" s="5"/>
    </row>
    <row r="284" spans="1:6" ht="15" customHeight="1" x14ac:dyDescent="0.35">
      <c r="A284" s="5"/>
      <c r="B284" s="5"/>
      <c r="C284" s="5"/>
      <c r="D284" s="5"/>
      <c r="E284" s="5"/>
      <c r="F284" s="5"/>
    </row>
    <row r="285" spans="1:6" ht="15" customHeight="1" x14ac:dyDescent="0.35">
      <c r="A285" s="5"/>
      <c r="B285" s="5"/>
      <c r="C285" s="5"/>
      <c r="D285" s="5"/>
      <c r="E285" s="5"/>
      <c r="F285" s="5"/>
    </row>
    <row r="286" spans="1:6" ht="15" customHeight="1" x14ac:dyDescent="0.35">
      <c r="A286" s="5"/>
      <c r="B286" s="5"/>
      <c r="C286" s="5"/>
      <c r="D286" s="5"/>
      <c r="E286" s="5"/>
      <c r="F286" s="5"/>
    </row>
    <row r="287" spans="1:6" ht="15" customHeight="1" x14ac:dyDescent="0.35">
      <c r="A287" s="5"/>
      <c r="B287" s="5"/>
      <c r="C287" s="5"/>
      <c r="D287" s="5"/>
      <c r="E287" s="5"/>
      <c r="F287" s="5"/>
    </row>
    <row r="288" spans="1:6" ht="15" customHeight="1" x14ac:dyDescent="0.35">
      <c r="A288" s="5"/>
      <c r="B288" s="5"/>
      <c r="C288" s="5"/>
      <c r="D288" s="5"/>
      <c r="E288" s="5"/>
      <c r="F288" s="5"/>
    </row>
    <row r="289" spans="1:6" ht="15" customHeight="1" x14ac:dyDescent="0.35">
      <c r="A289" s="5"/>
      <c r="B289" s="5"/>
      <c r="C289" s="5"/>
      <c r="D289" s="5"/>
      <c r="E289" s="5"/>
      <c r="F289" s="5"/>
    </row>
    <row r="290" spans="1:6" ht="15" customHeight="1" x14ac:dyDescent="0.35">
      <c r="A290" s="5"/>
      <c r="B290" s="5"/>
      <c r="C290" s="5"/>
      <c r="D290" s="5"/>
      <c r="E290" s="5"/>
      <c r="F290" s="5"/>
    </row>
    <row r="291" spans="1:6" ht="15" customHeight="1" x14ac:dyDescent="0.35">
      <c r="A291" s="5"/>
      <c r="B291" s="5"/>
      <c r="C291" s="5"/>
      <c r="D291" s="5"/>
      <c r="E291" s="5"/>
      <c r="F291" s="5"/>
    </row>
    <row r="292" spans="1:6" ht="15" customHeight="1" x14ac:dyDescent="0.35">
      <c r="A292" s="5"/>
      <c r="B292" s="5"/>
      <c r="C292" s="5"/>
      <c r="D292" s="5"/>
      <c r="E292" s="5"/>
      <c r="F292" s="5"/>
    </row>
    <row r="293" spans="1:6" ht="15" customHeight="1" x14ac:dyDescent="0.35">
      <c r="A293" s="5"/>
      <c r="B293" s="5"/>
      <c r="C293" s="5"/>
      <c r="D293" s="5"/>
      <c r="E293" s="5"/>
      <c r="F293" s="5"/>
    </row>
    <row r="294" spans="1:6" ht="15" customHeight="1" x14ac:dyDescent="0.35">
      <c r="A294" s="5"/>
      <c r="B294" s="5"/>
      <c r="C294" s="5"/>
      <c r="D294" s="5"/>
      <c r="E294" s="5"/>
      <c r="F294" s="5"/>
    </row>
    <row r="295" spans="1:6" ht="15" customHeight="1" x14ac:dyDescent="0.35">
      <c r="A295" s="5"/>
      <c r="B295" s="5"/>
      <c r="C295" s="5"/>
      <c r="D295" s="5"/>
      <c r="E295" s="5"/>
      <c r="F295" s="5"/>
    </row>
    <row r="296" spans="1:6" ht="15" customHeight="1" x14ac:dyDescent="0.35">
      <c r="A296" s="5"/>
      <c r="B296" s="5"/>
      <c r="C296" s="5"/>
      <c r="D296" s="5"/>
      <c r="E296" s="5"/>
      <c r="F296" s="5"/>
    </row>
    <row r="297" spans="1:6" ht="15" customHeight="1" x14ac:dyDescent="0.35">
      <c r="A297" s="5"/>
      <c r="B297" s="5"/>
      <c r="C297" s="5"/>
      <c r="D297" s="5"/>
      <c r="E297" s="5"/>
      <c r="F297" s="5"/>
    </row>
    <row r="298" spans="1:6" ht="15" customHeight="1" x14ac:dyDescent="0.35">
      <c r="A298" s="5"/>
      <c r="B298" s="5"/>
      <c r="C298" s="5"/>
      <c r="D298" s="5"/>
      <c r="E298" s="5"/>
      <c r="F298" s="5"/>
    </row>
    <row r="299" spans="1:6" ht="15" customHeight="1" x14ac:dyDescent="0.35">
      <c r="A299" s="5"/>
      <c r="B299" s="5"/>
      <c r="C299" s="5"/>
      <c r="D299" s="5"/>
      <c r="E299" s="5"/>
      <c r="F299" s="5"/>
    </row>
    <row r="300" spans="1:6" ht="15" customHeight="1" x14ac:dyDescent="0.35">
      <c r="A300" s="5"/>
      <c r="B300" s="5"/>
      <c r="C300" s="5"/>
      <c r="D300" s="5"/>
      <c r="E300" s="5"/>
      <c r="F300" s="5"/>
    </row>
    <row r="301" spans="1:6" ht="15" customHeight="1" x14ac:dyDescent="0.35">
      <c r="A301" s="5"/>
      <c r="B301" s="5"/>
      <c r="C301" s="5"/>
      <c r="D301" s="5"/>
      <c r="E301" s="5"/>
      <c r="F301" s="5"/>
    </row>
    <row r="302" spans="1:6" ht="15" customHeight="1" x14ac:dyDescent="0.35">
      <c r="A302" s="5"/>
      <c r="B302" s="5"/>
      <c r="C302" s="5"/>
      <c r="D302" s="5"/>
      <c r="E302" s="5"/>
      <c r="F302" s="5"/>
    </row>
  </sheetData>
  <dataValidations count="2">
    <dataValidation type="list" allowBlank="1" sqref="D3:D302" xr:uid="{00000000-0002-0000-0200-000000000000}">
      <formula1>"Include,Exclude"</formula1>
      <formula2>0</formula2>
    </dataValidation>
    <dataValidation type="list" allowBlank="1" sqref="E3:E302" xr:uid="{00000000-0002-0000-0200-000001000000}">
      <formula1>"Conceptual only - no technical contribution,ML predictive model (not software model),Generates code directly without a model,Non-software CAD model,Editorial/abstract/poster,Duplicate of later/extended version,Outside date range,Not peer-reviewed,Other (s"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201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6328125" defaultRowHeight="14.5" x14ac:dyDescent="0.35"/>
  <cols>
    <col min="1" max="1" width="5" customWidth="1"/>
    <col min="2" max="29" width="22" customWidth="1"/>
  </cols>
  <sheetData>
    <row r="1" spans="1:29" ht="41.75" customHeight="1" x14ac:dyDescent="0.35">
      <c r="A1" s="4" t="s">
        <v>39</v>
      </c>
      <c r="B1" s="4" t="s">
        <v>42</v>
      </c>
      <c r="C1" s="4" t="s">
        <v>127</v>
      </c>
      <c r="D1" s="4" t="s">
        <v>44</v>
      </c>
      <c r="E1" s="4" t="s">
        <v>45</v>
      </c>
      <c r="F1" s="4" t="s">
        <v>128</v>
      </c>
      <c r="G1" s="4" t="s">
        <v>129</v>
      </c>
      <c r="H1" s="4" t="s">
        <v>130</v>
      </c>
      <c r="I1" s="4" t="s">
        <v>131</v>
      </c>
      <c r="J1" s="4" t="s">
        <v>132</v>
      </c>
      <c r="K1" s="4" t="s">
        <v>133</v>
      </c>
      <c r="L1" s="4" t="s">
        <v>134</v>
      </c>
      <c r="M1" s="4" t="s">
        <v>135</v>
      </c>
      <c r="N1" s="4" t="s">
        <v>136</v>
      </c>
      <c r="O1" s="4" t="s">
        <v>137</v>
      </c>
      <c r="P1" s="4" t="s">
        <v>138</v>
      </c>
      <c r="Q1" s="4" t="s">
        <v>139</v>
      </c>
      <c r="R1" s="4" t="s">
        <v>140</v>
      </c>
      <c r="S1" s="4" t="s">
        <v>141</v>
      </c>
      <c r="T1" s="4" t="s">
        <v>142</v>
      </c>
      <c r="U1" s="4" t="s">
        <v>143</v>
      </c>
      <c r="V1" s="4" t="s">
        <v>144</v>
      </c>
      <c r="W1" s="4" t="s">
        <v>145</v>
      </c>
      <c r="X1" s="4" t="s">
        <v>146</v>
      </c>
      <c r="Y1" s="4" t="s">
        <v>147</v>
      </c>
      <c r="Z1" s="4" t="s">
        <v>148</v>
      </c>
      <c r="AA1" s="4" t="s">
        <v>149</v>
      </c>
      <c r="AB1" s="4" t="s">
        <v>150</v>
      </c>
      <c r="AC1" s="4" t="s">
        <v>151</v>
      </c>
    </row>
    <row r="2" spans="1:29" ht="15" customHeight="1" x14ac:dyDescent="0.35">
      <c r="A2" s="5">
        <v>1</v>
      </c>
      <c r="B2" s="5" t="s">
        <v>55</v>
      </c>
      <c r="C2" s="5" t="s">
        <v>54</v>
      </c>
      <c r="D2" s="5">
        <v>2026</v>
      </c>
      <c r="E2" s="5" t="s">
        <v>57</v>
      </c>
      <c r="F2" s="5"/>
      <c r="G2" s="5" t="s">
        <v>152</v>
      </c>
      <c r="H2" s="5"/>
      <c r="I2" s="5"/>
      <c r="J2" s="5" t="s">
        <v>153</v>
      </c>
      <c r="K2" s="5" t="s">
        <v>154</v>
      </c>
      <c r="L2" s="5" t="s">
        <v>155</v>
      </c>
      <c r="M2" s="5" t="s">
        <v>156</v>
      </c>
      <c r="N2" s="5" t="s">
        <v>157</v>
      </c>
      <c r="O2" s="5" t="s">
        <v>158</v>
      </c>
      <c r="P2" s="5" t="s">
        <v>159</v>
      </c>
      <c r="Q2" s="5" t="s">
        <v>160</v>
      </c>
      <c r="R2" s="5"/>
      <c r="S2" s="5" t="s">
        <v>161</v>
      </c>
      <c r="T2" s="5" t="s">
        <v>162</v>
      </c>
      <c r="U2" s="5"/>
      <c r="V2" s="5"/>
      <c r="W2" s="5"/>
      <c r="X2" s="5"/>
      <c r="Y2" s="5"/>
      <c r="Z2" s="5"/>
      <c r="AA2" s="5"/>
      <c r="AB2" s="5" t="s">
        <v>163</v>
      </c>
      <c r="AC2" s="5">
        <v>4</v>
      </c>
    </row>
    <row r="3" spans="1:29" ht="15" customHeight="1" x14ac:dyDescent="0.35">
      <c r="A3" s="5">
        <v>2</v>
      </c>
      <c r="B3" s="5" t="s">
        <v>60</v>
      </c>
      <c r="C3" s="5" t="s">
        <v>54</v>
      </c>
      <c r="D3" s="5">
        <v>2026</v>
      </c>
      <c r="E3" s="5" t="s">
        <v>62</v>
      </c>
      <c r="F3" s="5"/>
      <c r="G3" s="5" t="s">
        <v>164</v>
      </c>
      <c r="H3" s="5"/>
      <c r="I3" s="5"/>
      <c r="J3" s="5" t="s">
        <v>165</v>
      </c>
      <c r="K3" s="5" t="s">
        <v>166</v>
      </c>
      <c r="L3" s="5" t="s">
        <v>155</v>
      </c>
      <c r="M3" s="5" t="s">
        <v>167</v>
      </c>
      <c r="N3" s="5" t="s">
        <v>168</v>
      </c>
      <c r="O3" s="5" t="s">
        <v>169</v>
      </c>
      <c r="P3" s="5" t="s">
        <v>170</v>
      </c>
      <c r="Q3" s="5" t="s">
        <v>171</v>
      </c>
      <c r="R3" s="5"/>
      <c r="S3" s="5" t="s">
        <v>172</v>
      </c>
      <c r="T3" s="5" t="s">
        <v>173</v>
      </c>
      <c r="U3" s="5"/>
      <c r="V3" s="5"/>
      <c r="W3" s="5"/>
      <c r="X3" s="5"/>
      <c r="Y3" s="5"/>
      <c r="Z3" s="5"/>
      <c r="AA3" s="5"/>
      <c r="AB3" s="5" t="s">
        <v>174</v>
      </c>
      <c r="AC3" s="5">
        <v>4</v>
      </c>
    </row>
    <row r="4" spans="1:29" ht="15" customHeight="1" x14ac:dyDescent="0.35">
      <c r="A4" s="5">
        <v>3</v>
      </c>
      <c r="B4" s="5" t="s">
        <v>65</v>
      </c>
      <c r="C4" s="5" t="s">
        <v>54</v>
      </c>
      <c r="D4" s="5">
        <v>2026</v>
      </c>
      <c r="E4" s="5" t="s">
        <v>57</v>
      </c>
      <c r="F4" s="5"/>
      <c r="G4" s="5" t="s">
        <v>175</v>
      </c>
      <c r="H4" s="5"/>
      <c r="I4" s="5"/>
      <c r="J4" s="5" t="s">
        <v>176</v>
      </c>
      <c r="K4" s="5" t="s">
        <v>177</v>
      </c>
      <c r="L4" s="5" t="s">
        <v>178</v>
      </c>
      <c r="M4" s="5" t="s">
        <v>179</v>
      </c>
      <c r="N4" s="5" t="s">
        <v>180</v>
      </c>
      <c r="O4" s="5" t="s">
        <v>181</v>
      </c>
      <c r="P4" s="5" t="s">
        <v>182</v>
      </c>
      <c r="Q4" s="5" t="s">
        <v>183</v>
      </c>
      <c r="R4" s="5"/>
      <c r="S4" s="5" t="s">
        <v>184</v>
      </c>
      <c r="T4" s="5" t="s">
        <v>185</v>
      </c>
      <c r="U4" s="5"/>
      <c r="V4" s="5"/>
      <c r="W4" s="5"/>
      <c r="X4" s="5"/>
      <c r="Y4" s="5"/>
      <c r="Z4" s="5"/>
      <c r="AA4" s="5"/>
      <c r="AB4" s="5" t="s">
        <v>186</v>
      </c>
      <c r="AC4" s="5">
        <v>3</v>
      </c>
    </row>
    <row r="5" spans="1:29" ht="15" customHeight="1" x14ac:dyDescent="0.35">
      <c r="A5" s="5">
        <v>4</v>
      </c>
      <c r="B5" s="5" t="s">
        <v>69</v>
      </c>
      <c r="C5" s="5" t="s">
        <v>54</v>
      </c>
      <c r="D5" s="5">
        <v>2026</v>
      </c>
      <c r="E5" s="5" t="s">
        <v>57</v>
      </c>
      <c r="F5" s="5"/>
      <c r="G5" s="5" t="s">
        <v>187</v>
      </c>
      <c r="H5" s="5"/>
      <c r="I5" s="5"/>
      <c r="J5" s="5" t="s">
        <v>188</v>
      </c>
      <c r="K5" s="5" t="s">
        <v>189</v>
      </c>
      <c r="L5" s="5" t="s">
        <v>155</v>
      </c>
      <c r="M5" s="5" t="s">
        <v>190</v>
      </c>
      <c r="N5" s="5" t="s">
        <v>191</v>
      </c>
      <c r="O5" s="5" t="s">
        <v>192</v>
      </c>
      <c r="P5" s="5" t="s">
        <v>193</v>
      </c>
      <c r="Q5" s="5" t="s">
        <v>194</v>
      </c>
      <c r="R5" s="5"/>
      <c r="S5" s="5" t="s">
        <v>195</v>
      </c>
      <c r="T5" s="5" t="s">
        <v>196</v>
      </c>
      <c r="U5" s="5"/>
      <c r="V5" s="5"/>
      <c r="W5" s="5"/>
      <c r="X5" s="5"/>
      <c r="Y5" s="5"/>
      <c r="Z5" s="5"/>
      <c r="AA5" s="5"/>
      <c r="AB5" s="5" t="s">
        <v>186</v>
      </c>
      <c r="AC5" s="5">
        <v>3</v>
      </c>
    </row>
    <row r="6" spans="1:29" ht="15" customHeight="1" x14ac:dyDescent="0.35">
      <c r="A6" s="5">
        <v>5</v>
      </c>
      <c r="B6" s="5" t="s">
        <v>73</v>
      </c>
      <c r="C6" s="5" t="s">
        <v>54</v>
      </c>
      <c r="D6" s="5">
        <v>2026</v>
      </c>
      <c r="E6" s="5" t="s">
        <v>62</v>
      </c>
      <c r="F6" s="5"/>
      <c r="G6" s="5" t="s">
        <v>197</v>
      </c>
      <c r="H6" s="5"/>
      <c r="I6" s="5"/>
      <c r="J6" s="5" t="s">
        <v>198</v>
      </c>
      <c r="K6" s="5" t="s">
        <v>199</v>
      </c>
      <c r="L6" s="5" t="s">
        <v>178</v>
      </c>
      <c r="M6" s="5" t="s">
        <v>200</v>
      </c>
      <c r="N6" s="5" t="s">
        <v>201</v>
      </c>
      <c r="O6" s="5" t="s">
        <v>202</v>
      </c>
      <c r="P6" s="5" t="s">
        <v>203</v>
      </c>
      <c r="Q6" s="5" t="s">
        <v>204</v>
      </c>
      <c r="R6" s="5"/>
      <c r="S6" s="5" t="s">
        <v>205</v>
      </c>
      <c r="T6" s="5" t="s">
        <v>206</v>
      </c>
      <c r="U6" s="5"/>
      <c r="V6" s="5"/>
      <c r="W6" s="5"/>
      <c r="X6" s="5"/>
      <c r="Y6" s="5"/>
      <c r="Z6" s="5"/>
      <c r="AA6" s="5"/>
      <c r="AB6" s="5" t="s">
        <v>186</v>
      </c>
      <c r="AC6" s="5">
        <v>3</v>
      </c>
    </row>
    <row r="7" spans="1:29" ht="15" customHeight="1" x14ac:dyDescent="0.35">
      <c r="A7" s="5">
        <v>6</v>
      </c>
      <c r="B7" s="5" t="s">
        <v>77</v>
      </c>
      <c r="C7" s="5" t="s">
        <v>54</v>
      </c>
      <c r="D7" s="5">
        <v>2026</v>
      </c>
      <c r="E7" s="5" t="s">
        <v>57</v>
      </c>
      <c r="F7" s="5"/>
      <c r="G7" s="5" t="s">
        <v>207</v>
      </c>
      <c r="H7" s="5"/>
      <c r="I7" s="5"/>
      <c r="J7" s="5" t="s">
        <v>208</v>
      </c>
      <c r="K7" s="5" t="s">
        <v>209</v>
      </c>
      <c r="L7" s="5" t="s">
        <v>155</v>
      </c>
      <c r="M7" s="5" t="s">
        <v>210</v>
      </c>
      <c r="N7" s="5" t="s">
        <v>211</v>
      </c>
      <c r="O7" s="5" t="s">
        <v>212</v>
      </c>
      <c r="P7" s="5" t="s">
        <v>213</v>
      </c>
      <c r="Q7" s="5" t="s">
        <v>214</v>
      </c>
      <c r="R7" s="5"/>
      <c r="S7" s="5" t="s">
        <v>215</v>
      </c>
      <c r="T7" s="5" t="s">
        <v>216</v>
      </c>
      <c r="U7" s="5"/>
      <c r="V7" s="5"/>
      <c r="W7" s="5"/>
      <c r="X7" s="5"/>
      <c r="Y7" s="5"/>
      <c r="Z7" s="5"/>
      <c r="AA7" s="5"/>
      <c r="AB7" s="5" t="s">
        <v>217</v>
      </c>
      <c r="AC7" s="5">
        <v>2</v>
      </c>
    </row>
    <row r="8" spans="1:29" ht="15" customHeight="1" x14ac:dyDescent="0.35">
      <c r="A8" s="5">
        <v>7</v>
      </c>
      <c r="B8" s="5" t="s">
        <v>81</v>
      </c>
      <c r="C8" s="5" t="s">
        <v>54</v>
      </c>
      <c r="D8" s="5">
        <v>2025</v>
      </c>
      <c r="E8" s="5" t="s">
        <v>57</v>
      </c>
      <c r="F8" s="5"/>
      <c r="G8" s="5" t="s">
        <v>218</v>
      </c>
      <c r="H8" s="5"/>
      <c r="I8" s="5"/>
      <c r="J8" s="5" t="s">
        <v>219</v>
      </c>
      <c r="K8" s="5" t="s">
        <v>220</v>
      </c>
      <c r="L8" s="5" t="s">
        <v>178</v>
      </c>
      <c r="M8" s="5" t="s">
        <v>221</v>
      </c>
      <c r="N8" s="5" t="s">
        <v>222</v>
      </c>
      <c r="O8" s="5" t="s">
        <v>223</v>
      </c>
      <c r="P8" s="5" t="s">
        <v>224</v>
      </c>
      <c r="Q8" s="5" t="s">
        <v>225</v>
      </c>
      <c r="R8" s="5"/>
      <c r="S8" s="5" t="s">
        <v>226</v>
      </c>
      <c r="T8" s="5" t="s">
        <v>227</v>
      </c>
      <c r="U8" s="5"/>
      <c r="V8" s="5"/>
      <c r="W8" s="5"/>
      <c r="X8" s="5"/>
      <c r="Y8" s="5"/>
      <c r="Z8" s="5"/>
      <c r="AA8" s="5"/>
      <c r="AB8" s="5" t="s">
        <v>186</v>
      </c>
      <c r="AC8" s="5">
        <v>3</v>
      </c>
    </row>
    <row r="9" spans="1:29" ht="15" customHeight="1" x14ac:dyDescent="0.35">
      <c r="A9" s="5">
        <v>8</v>
      </c>
      <c r="B9" s="5" t="s">
        <v>85</v>
      </c>
      <c r="C9" s="5" t="s">
        <v>54</v>
      </c>
      <c r="D9" s="5">
        <v>2024</v>
      </c>
      <c r="E9" s="5" t="s">
        <v>57</v>
      </c>
      <c r="F9" s="5"/>
      <c r="G9" s="5" t="s">
        <v>228</v>
      </c>
      <c r="H9" s="5"/>
      <c r="I9" s="5"/>
      <c r="J9" s="5" t="s">
        <v>229</v>
      </c>
      <c r="K9" s="5" t="s">
        <v>230</v>
      </c>
      <c r="L9" s="5" t="s">
        <v>178</v>
      </c>
      <c r="M9" s="5" t="s">
        <v>231</v>
      </c>
      <c r="N9" s="5" t="s">
        <v>232</v>
      </c>
      <c r="O9" s="5" t="s">
        <v>233</v>
      </c>
      <c r="P9" s="5" t="s">
        <v>234</v>
      </c>
      <c r="Q9" s="5" t="s">
        <v>235</v>
      </c>
      <c r="R9" s="5"/>
      <c r="S9" s="5" t="s">
        <v>236</v>
      </c>
      <c r="T9" s="5" t="s">
        <v>237</v>
      </c>
      <c r="U9" s="5"/>
      <c r="V9" s="5"/>
      <c r="W9" s="5"/>
      <c r="X9" s="5"/>
      <c r="Y9" s="5"/>
      <c r="Z9" s="5"/>
      <c r="AA9" s="5"/>
      <c r="AB9" s="5" t="s">
        <v>238</v>
      </c>
      <c r="AC9" s="5">
        <v>5</v>
      </c>
    </row>
    <row r="10" spans="1:29" ht="15" customHeight="1" x14ac:dyDescent="0.35">
      <c r="A10" s="5">
        <v>9</v>
      </c>
      <c r="B10" s="5" t="s">
        <v>89</v>
      </c>
      <c r="C10" s="5" t="s">
        <v>54</v>
      </c>
      <c r="D10" s="5">
        <v>2021</v>
      </c>
      <c r="E10" s="5" t="s">
        <v>57</v>
      </c>
      <c r="F10" s="5"/>
      <c r="G10" s="5" t="s">
        <v>239</v>
      </c>
      <c r="H10" s="5"/>
      <c r="I10" s="5"/>
      <c r="J10" s="5" t="s">
        <v>240</v>
      </c>
      <c r="K10" s="5" t="s">
        <v>241</v>
      </c>
      <c r="L10" s="5" t="s">
        <v>155</v>
      </c>
      <c r="M10" s="5" t="s">
        <v>242</v>
      </c>
      <c r="N10" s="5" t="s">
        <v>243</v>
      </c>
      <c r="O10" s="5" t="s">
        <v>244</v>
      </c>
      <c r="P10" s="5" t="s">
        <v>245</v>
      </c>
      <c r="Q10" s="5" t="s">
        <v>246</v>
      </c>
      <c r="R10" s="5"/>
      <c r="S10" s="5" t="s">
        <v>247</v>
      </c>
      <c r="T10" s="5" t="s">
        <v>248</v>
      </c>
      <c r="U10" s="5"/>
      <c r="V10" s="5"/>
      <c r="W10" s="5"/>
      <c r="X10" s="5"/>
      <c r="Y10" s="5"/>
      <c r="Z10" s="5"/>
      <c r="AA10" s="5"/>
      <c r="AB10" s="5" t="s">
        <v>186</v>
      </c>
      <c r="AC10" s="5">
        <v>3</v>
      </c>
    </row>
    <row r="11" spans="1:29" ht="15" customHeight="1" x14ac:dyDescent="0.35">
      <c r="A11" s="5">
        <v>10</v>
      </c>
      <c r="B11" s="5" t="s">
        <v>93</v>
      </c>
      <c r="C11" s="5" t="s">
        <v>54</v>
      </c>
      <c r="D11" s="5">
        <v>2021</v>
      </c>
      <c r="E11" s="5" t="s">
        <v>57</v>
      </c>
      <c r="F11" s="5"/>
      <c r="G11" s="5" t="s">
        <v>249</v>
      </c>
      <c r="H11" s="5"/>
      <c r="I11" s="5"/>
      <c r="J11" s="5" t="s">
        <v>250</v>
      </c>
      <c r="K11" s="5" t="s">
        <v>251</v>
      </c>
      <c r="L11" s="5" t="s">
        <v>178</v>
      </c>
      <c r="M11" s="5" t="s">
        <v>252</v>
      </c>
      <c r="N11" s="5" t="s">
        <v>253</v>
      </c>
      <c r="O11" s="5" t="s">
        <v>254</v>
      </c>
      <c r="P11" s="5" t="s">
        <v>255</v>
      </c>
      <c r="Q11" s="5" t="s">
        <v>256</v>
      </c>
      <c r="R11" s="5"/>
      <c r="S11" s="5" t="s">
        <v>257</v>
      </c>
      <c r="T11" s="5" t="s">
        <v>258</v>
      </c>
      <c r="U11" s="5"/>
      <c r="V11" s="5"/>
      <c r="W11" s="5"/>
      <c r="X11" s="5"/>
      <c r="Y11" s="5"/>
      <c r="Z11" s="5"/>
      <c r="AA11" s="5"/>
      <c r="AB11" s="5" t="s">
        <v>259</v>
      </c>
      <c r="AC11" s="5">
        <v>4</v>
      </c>
    </row>
    <row r="12" spans="1:29" ht="15" customHeight="1" x14ac:dyDescent="0.35">
      <c r="A12" s="5">
        <v>11</v>
      </c>
      <c r="B12" s="5" t="s">
        <v>97</v>
      </c>
      <c r="C12" s="5" t="s">
        <v>54</v>
      </c>
      <c r="D12" s="5">
        <v>2021</v>
      </c>
      <c r="E12" s="5" t="s">
        <v>57</v>
      </c>
      <c r="F12" s="5"/>
      <c r="G12" s="5" t="s">
        <v>260</v>
      </c>
      <c r="H12" s="5"/>
      <c r="I12" s="5"/>
      <c r="J12" s="5" t="s">
        <v>261</v>
      </c>
      <c r="K12" s="5" t="s">
        <v>262</v>
      </c>
      <c r="L12" s="5" t="s">
        <v>178</v>
      </c>
      <c r="M12" s="5" t="s">
        <v>263</v>
      </c>
      <c r="N12" s="5" t="s">
        <v>264</v>
      </c>
      <c r="O12" s="5" t="s">
        <v>265</v>
      </c>
      <c r="P12" s="5" t="s">
        <v>266</v>
      </c>
      <c r="Q12" s="5" t="s">
        <v>267</v>
      </c>
      <c r="R12" s="5"/>
      <c r="S12" s="5" t="s">
        <v>268</v>
      </c>
      <c r="T12" s="5" t="s">
        <v>269</v>
      </c>
      <c r="U12" s="5"/>
      <c r="V12" s="5"/>
      <c r="W12" s="5"/>
      <c r="X12" s="5"/>
      <c r="Y12" s="5"/>
      <c r="Z12" s="5"/>
      <c r="AA12" s="5"/>
      <c r="AB12" s="5" t="s">
        <v>270</v>
      </c>
      <c r="AC12" s="5">
        <v>3</v>
      </c>
    </row>
    <row r="13" spans="1:29" ht="15" customHeight="1" x14ac:dyDescent="0.35">
      <c r="A13" s="5">
        <v>12</v>
      </c>
      <c r="B13" s="5" t="s">
        <v>101</v>
      </c>
      <c r="C13" s="5" t="s">
        <v>54</v>
      </c>
      <c r="D13" s="5">
        <v>2015</v>
      </c>
      <c r="E13" s="5" t="s">
        <v>57</v>
      </c>
      <c r="F13" s="5"/>
      <c r="G13" s="5" t="s">
        <v>218</v>
      </c>
      <c r="H13" s="5"/>
      <c r="I13" s="5"/>
      <c r="J13" s="5" t="s">
        <v>271</v>
      </c>
      <c r="K13" s="5" t="s">
        <v>272</v>
      </c>
      <c r="L13" s="5" t="s">
        <v>178</v>
      </c>
      <c r="M13" s="5" t="s">
        <v>273</v>
      </c>
      <c r="N13" s="5" t="s">
        <v>274</v>
      </c>
      <c r="O13" s="5" t="s">
        <v>275</v>
      </c>
      <c r="P13" s="5" t="s">
        <v>276</v>
      </c>
      <c r="Q13" s="5" t="s">
        <v>277</v>
      </c>
      <c r="R13" s="5"/>
      <c r="S13" s="5" t="s">
        <v>278</v>
      </c>
      <c r="T13" s="5" t="s">
        <v>279</v>
      </c>
      <c r="U13" s="5"/>
      <c r="V13" s="5"/>
      <c r="W13" s="5"/>
      <c r="X13" s="5"/>
      <c r="Y13" s="5"/>
      <c r="Z13" s="5"/>
      <c r="AA13" s="5"/>
      <c r="AB13" s="5" t="s">
        <v>280</v>
      </c>
      <c r="AC13" s="5">
        <v>3</v>
      </c>
    </row>
    <row r="14" spans="1:29" ht="15" customHeight="1" x14ac:dyDescent="0.35">
      <c r="A14" s="5">
        <v>13</v>
      </c>
      <c r="B14" s="5" t="s">
        <v>105</v>
      </c>
      <c r="C14" s="5" t="s">
        <v>54</v>
      </c>
      <c r="D14" s="5">
        <v>2023</v>
      </c>
      <c r="E14" s="5" t="s">
        <v>57</v>
      </c>
      <c r="F14" s="5"/>
      <c r="G14" s="5" t="s">
        <v>239</v>
      </c>
      <c r="H14" s="5"/>
      <c r="I14" s="5"/>
      <c r="J14" s="5" t="s">
        <v>281</v>
      </c>
      <c r="K14" s="5" t="s">
        <v>282</v>
      </c>
      <c r="L14" s="5" t="s">
        <v>178</v>
      </c>
      <c r="M14" s="5" t="s">
        <v>283</v>
      </c>
      <c r="N14" s="5" t="s">
        <v>284</v>
      </c>
      <c r="O14" s="5" t="s">
        <v>285</v>
      </c>
      <c r="P14" s="5" t="s">
        <v>286</v>
      </c>
      <c r="Q14" s="5" t="s">
        <v>287</v>
      </c>
      <c r="R14" s="5"/>
      <c r="S14" s="5" t="s">
        <v>288</v>
      </c>
      <c r="T14" s="5" t="s">
        <v>289</v>
      </c>
      <c r="U14" s="5"/>
      <c r="V14" s="5"/>
      <c r="W14" s="5"/>
      <c r="X14" s="5"/>
      <c r="Y14" s="5"/>
      <c r="Z14" s="5"/>
      <c r="AA14" s="5"/>
      <c r="AB14" s="5" t="s">
        <v>186</v>
      </c>
      <c r="AC14" s="5">
        <v>3</v>
      </c>
    </row>
    <row r="15" spans="1:29" ht="15" customHeight="1" x14ac:dyDescent="0.3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spans="1:29" ht="15" customHeight="1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spans="1:29" ht="15" customHeight="1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spans="1:29" ht="15" customHeight="1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spans="1:29" ht="15" customHeight="1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 spans="1:29" ht="15" customHeight="1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spans="1:29" ht="15" customHeight="1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 spans="1:29" ht="15" customHeight="1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spans="1:29" ht="15" customHeight="1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spans="1:29" ht="15" customHeight="1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spans="1:29" ht="15" customHeight="1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spans="1:29" ht="15" customHeight="1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29" ht="15" customHeight="1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spans="1:29" ht="15" customHeight="1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spans="1:29" ht="15" customHeight="1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spans="1:29" ht="15" customHeight="1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spans="1:29" ht="15" customHeight="1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spans="1:29" ht="15" customHeight="1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spans="1:29" ht="15" customHeight="1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spans="1:29" ht="15" customHeight="1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spans="1:29" ht="15" customHeight="1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pans="1:29" ht="15" customHeight="1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spans="1:29" ht="15" customHeight="1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ht="15" customHeight="1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spans="1:29" ht="15" customHeight="1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spans="1:29" ht="15" customHeight="1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spans="1:29" ht="15" customHeight="1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spans="1:29" ht="15" customHeight="1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spans="1:29" ht="15" customHeight="1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ht="15" customHeight="1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ht="15" customHeight="1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1:29" ht="15" customHeight="1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spans="1:29" ht="15" customHeight="1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spans="1:29" ht="15" customHeight="1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spans="1:29" ht="15" customHeight="1" x14ac:dyDescent="0.3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spans="1:29" ht="15" customHeight="1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spans="1:29" ht="15" customHeight="1" x14ac:dyDescent="0.3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spans="1:29" ht="15" customHeight="1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spans="1:29" ht="15" customHeight="1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spans="1:29" ht="15" customHeight="1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spans="1:29" ht="15" customHeight="1" x14ac:dyDescent="0.3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spans="1:29" ht="15" customHeight="1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spans="1:29" ht="15" customHeight="1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spans="1:29" ht="15" customHeight="1" x14ac:dyDescent="0.3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spans="1:29" ht="15" customHeight="1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spans="1:29" ht="15" customHeight="1" x14ac:dyDescent="0.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spans="1:29" ht="15" customHeight="1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spans="1:29" ht="15" customHeight="1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spans="1:29" ht="15" customHeight="1" x14ac:dyDescent="0.3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spans="1:29" ht="15" customHeight="1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spans="1:29" ht="15" customHeight="1" x14ac:dyDescent="0.3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spans="1:29" ht="15" customHeight="1" x14ac:dyDescent="0.3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spans="1:29" ht="15" customHeight="1" x14ac:dyDescent="0.3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spans="1:29" ht="15" customHeight="1" x14ac:dyDescent="0.3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spans="1:29" ht="15" customHeight="1" x14ac:dyDescent="0.3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spans="1:29" ht="15" customHeight="1" x14ac:dyDescent="0.3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spans="1:29" ht="15" customHeight="1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spans="1:29" ht="15" customHeight="1" x14ac:dyDescent="0.3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 spans="1:29" ht="15" customHeight="1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 spans="1:29" ht="15" customHeight="1" x14ac:dyDescent="0.3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spans="1:29" ht="15" customHeight="1" x14ac:dyDescent="0.3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 spans="1:29" ht="15" customHeight="1" x14ac:dyDescent="0.3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spans="1:29" ht="15" customHeight="1" x14ac:dyDescent="0.3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 spans="1:29" ht="15" customHeight="1" x14ac:dyDescent="0.3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spans="1:29" ht="15" customHeight="1" x14ac:dyDescent="0.3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spans="1:29" ht="15" customHeight="1" x14ac:dyDescent="0.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 spans="1:29" ht="15" customHeight="1" x14ac:dyDescent="0.3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 spans="1:29" ht="15" customHeight="1" x14ac:dyDescent="0.3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 spans="1:29" ht="15" customHeight="1" x14ac:dyDescent="0.3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 spans="1:29" ht="15" customHeight="1" x14ac:dyDescent="0.3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 spans="1:29" ht="15" customHeight="1" x14ac:dyDescent="0.3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spans="1:29" ht="15" customHeight="1" x14ac:dyDescent="0.3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 spans="1:29" ht="15" customHeight="1" x14ac:dyDescent="0.3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 spans="1:29" ht="15" customHeight="1" x14ac:dyDescent="0.3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 spans="1:29" ht="15" customHeight="1" x14ac:dyDescent="0.3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 spans="1:29" ht="15" customHeight="1" x14ac:dyDescent="0.3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spans="1:29" ht="15" customHeight="1" x14ac:dyDescent="0.3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 spans="1:29" ht="15" customHeight="1" x14ac:dyDescent="0.3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 spans="1:29" ht="15" customHeight="1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 spans="1:29" ht="15" customHeight="1" x14ac:dyDescent="0.3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 spans="1:29" ht="15" customHeight="1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 spans="1:29" ht="15" customHeight="1" x14ac:dyDescent="0.3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spans="1:29" ht="15" customHeight="1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 spans="1:29" ht="15" customHeight="1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 spans="1:29" ht="15" customHeight="1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 spans="1:29" ht="15" customHeight="1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 spans="1:29" ht="15" customHeight="1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 spans="1:29" ht="15" customHeight="1" x14ac:dyDescent="0.3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 spans="1:29" ht="15" customHeight="1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 spans="1:29" ht="15" customHeight="1" x14ac:dyDescent="0.3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 spans="1:29" ht="15" customHeight="1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 spans="1:29" ht="15" customHeight="1" x14ac:dyDescent="0.3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 spans="1:29" ht="15" customHeight="1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 spans="1:29" ht="15" customHeight="1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 spans="1:29" ht="15" customHeight="1" x14ac:dyDescent="0.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spans="1:29" ht="15" customHeight="1" x14ac:dyDescent="0.3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 spans="1:29" ht="15" customHeight="1" x14ac:dyDescent="0.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spans="1:29" ht="15" customHeight="1" x14ac:dyDescent="0.3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 spans="1:29" ht="15" customHeight="1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 spans="1:29" ht="15" customHeight="1" x14ac:dyDescent="0.3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spans="1:29" ht="15" customHeight="1" x14ac:dyDescent="0.3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 spans="1:29" ht="15" customHeight="1" x14ac:dyDescent="0.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spans="1:29" ht="15" customHeight="1" x14ac:dyDescent="0.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 spans="1:29" ht="15" customHeight="1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spans="1:29" ht="15" customHeight="1" x14ac:dyDescent="0.3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 spans="1:29" ht="15" customHeight="1" x14ac:dyDescent="0.3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 spans="1:29" ht="15" customHeight="1" x14ac:dyDescent="0.3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 spans="1:29" ht="15" customHeight="1" x14ac:dyDescent="0.3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 spans="1:29" ht="15" customHeight="1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 spans="1:29" ht="15" customHeight="1" x14ac:dyDescent="0.3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 spans="1:29" ht="15" customHeight="1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 spans="1:29" ht="15" customHeight="1" x14ac:dyDescent="0.3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 spans="1:29" ht="15" customHeight="1" x14ac:dyDescent="0.3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 spans="1:29" ht="15" customHeight="1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 spans="1:29" ht="15" customHeight="1" x14ac:dyDescent="0.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 spans="1:29" ht="15" customHeight="1" x14ac:dyDescent="0.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 spans="1:29" ht="15" customHeight="1" x14ac:dyDescent="0.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 spans="1:29" ht="15" customHeight="1" x14ac:dyDescent="0.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 spans="1:29" ht="15" customHeight="1" x14ac:dyDescent="0.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 spans="1:29" ht="15" customHeight="1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 spans="1:29" ht="15" customHeight="1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 spans="1:29" ht="15" customHeight="1" x14ac:dyDescent="0.3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 spans="1:29" ht="15" customHeight="1" x14ac:dyDescent="0.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 spans="1:29" ht="15" customHeight="1" x14ac:dyDescent="0.3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 spans="1:29" ht="15" customHeight="1" x14ac:dyDescent="0.3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 spans="1:29" ht="15" customHeight="1" x14ac:dyDescent="0.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 spans="1:29" ht="15" customHeight="1" x14ac:dyDescent="0.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 spans="1:29" ht="15" customHeight="1" x14ac:dyDescent="0.3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 spans="1:29" ht="15" customHeight="1" x14ac:dyDescent="0.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 spans="1:29" ht="15" customHeight="1" x14ac:dyDescent="0.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 spans="1:29" ht="15" customHeight="1" x14ac:dyDescent="0.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 spans="1:29" ht="15" customHeight="1" x14ac:dyDescent="0.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 spans="1:29" ht="15" customHeight="1" x14ac:dyDescent="0.3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 spans="1:29" ht="15" customHeight="1" x14ac:dyDescent="0.3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 spans="1:29" ht="15" customHeight="1" x14ac:dyDescent="0.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 spans="1:29" ht="15" customHeight="1" x14ac:dyDescent="0.3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 spans="1:29" ht="15" customHeight="1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 spans="1:29" ht="15" customHeight="1" x14ac:dyDescent="0.3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 spans="1:29" ht="15" customHeight="1" x14ac:dyDescent="0.3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 spans="1:29" ht="15" customHeight="1" x14ac:dyDescent="0.3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 spans="1:29" ht="15" customHeight="1" x14ac:dyDescent="0.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 spans="1:29" ht="15" customHeight="1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 spans="1:29" ht="15" customHeight="1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 spans="1:29" ht="15" customHeight="1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 spans="1:29" ht="15" customHeight="1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 spans="1:29" ht="15" customHeight="1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 spans="1:29" ht="15" customHeight="1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 spans="1:29" ht="15" customHeight="1" x14ac:dyDescent="0.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 spans="1:29" ht="15" customHeight="1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 spans="1:29" ht="15" customHeight="1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 spans="1:29" ht="15" customHeight="1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 spans="1:29" ht="15" customHeight="1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 spans="1:29" ht="15" customHeight="1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 spans="1:29" ht="15" customHeight="1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 spans="1:29" ht="15" customHeight="1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 spans="1:29" ht="15" customHeight="1" x14ac:dyDescent="0.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 spans="1:29" ht="15" customHeight="1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 spans="1:29" ht="15" customHeight="1" x14ac:dyDescent="0.3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 spans="1:29" ht="15" customHeight="1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 spans="1:29" ht="15" customHeight="1" x14ac:dyDescent="0.3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 spans="1:29" ht="15" customHeight="1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 spans="1:29" ht="15" customHeight="1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 spans="1:29" ht="15" customHeight="1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 spans="1:29" ht="15" customHeight="1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 spans="1:29" ht="15" customHeight="1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 spans="1:29" ht="15" customHeight="1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 spans="1:29" ht="15" customHeight="1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 spans="1:29" ht="15" customHeight="1" x14ac:dyDescent="0.3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 spans="1:29" ht="15" customHeight="1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 spans="1:29" ht="15" customHeight="1" x14ac:dyDescent="0.3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 spans="1:29" ht="15" customHeight="1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 spans="1:29" ht="15" customHeight="1" x14ac:dyDescent="0.3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 spans="1:29" ht="15" customHeight="1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 spans="1:29" ht="15" customHeight="1" x14ac:dyDescent="0.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 spans="1:29" ht="15" customHeight="1" x14ac:dyDescent="0.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 spans="1:29" ht="15" customHeight="1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 spans="1:29" ht="15" customHeight="1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 spans="1:29" ht="15" customHeight="1" x14ac:dyDescent="0.3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 spans="1:29" ht="15" customHeight="1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 spans="1:29" ht="15" customHeight="1" x14ac:dyDescent="0.3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 spans="1:29" ht="15" customHeight="1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 spans="1:29" ht="15" customHeight="1" x14ac:dyDescent="0.3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 spans="1:29" ht="15" customHeight="1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 spans="1:29" ht="15" customHeight="1" x14ac:dyDescent="0.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 spans="1:29" ht="15" customHeight="1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 spans="1:29" ht="15" customHeight="1" x14ac:dyDescent="0.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 spans="1:29" ht="15" customHeight="1" x14ac:dyDescent="0.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</sheetData>
  <dataValidations count="1">
    <dataValidation type="list" allowBlank="1" sqref="AC2:AC201" xr:uid="{00000000-0002-0000-0300-000000000000}">
      <formula1>"1 - Manual,2 - Assistive,3 - Interactive co-modelling,4 - Semi-autonomous,5 - Verifier-guided autonomous,6 - Continuous adaptive"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101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ColWidth="8.6328125" defaultRowHeight="14.5" x14ac:dyDescent="0.35"/>
  <cols>
    <col min="1" max="1" width="5" customWidth="1"/>
    <col min="2" max="2" width="30" customWidth="1"/>
    <col min="3" max="3" width="12" customWidth="1"/>
    <col min="4" max="22" width="10" customWidth="1"/>
    <col min="23" max="23" width="30" customWidth="1"/>
  </cols>
  <sheetData>
    <row r="1" spans="1:23" ht="41.75" customHeight="1" x14ac:dyDescent="0.35">
      <c r="A1" s="4" t="s">
        <v>39</v>
      </c>
      <c r="B1" s="4" t="s">
        <v>42</v>
      </c>
      <c r="C1" s="4" t="s">
        <v>290</v>
      </c>
      <c r="D1" s="4" t="s">
        <v>291</v>
      </c>
      <c r="E1" s="4" t="s">
        <v>292</v>
      </c>
      <c r="F1" s="4" t="s">
        <v>293</v>
      </c>
      <c r="G1" s="4" t="s">
        <v>294</v>
      </c>
      <c r="H1" s="4" t="s">
        <v>295</v>
      </c>
      <c r="I1" s="4" t="s">
        <v>296</v>
      </c>
      <c r="J1" s="4" t="s">
        <v>297</v>
      </c>
      <c r="K1" s="4" t="s">
        <v>298</v>
      </c>
      <c r="L1" s="4" t="s">
        <v>299</v>
      </c>
      <c r="M1" s="4" t="s">
        <v>300</v>
      </c>
      <c r="N1" s="4" t="s">
        <v>301</v>
      </c>
      <c r="O1" s="4" t="s">
        <v>302</v>
      </c>
      <c r="P1" s="4" t="s">
        <v>303</v>
      </c>
      <c r="Q1" s="4" t="s">
        <v>304</v>
      </c>
      <c r="R1" s="4" t="s">
        <v>305</v>
      </c>
      <c r="S1" s="4" t="s">
        <v>306</v>
      </c>
      <c r="T1" s="4" t="s">
        <v>307</v>
      </c>
      <c r="U1" s="4" t="s">
        <v>308</v>
      </c>
      <c r="V1" s="4" t="s">
        <v>309</v>
      </c>
      <c r="W1" s="4" t="s">
        <v>310</v>
      </c>
    </row>
    <row r="2" spans="1:23" ht="15" customHeight="1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>
        <f t="shared" ref="V2:V33" si="0">SUM(D2:U2)</f>
        <v>0</v>
      </c>
      <c r="W2" s="5"/>
    </row>
    <row r="3" spans="1:23" ht="15" customHeight="1" x14ac:dyDescent="0.3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>
        <f t="shared" si="0"/>
        <v>0</v>
      </c>
      <c r="W3" s="5"/>
    </row>
    <row r="4" spans="1:23" ht="15" customHeight="1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>
        <f t="shared" si="0"/>
        <v>0</v>
      </c>
      <c r="W4" s="5"/>
    </row>
    <row r="5" spans="1:23" ht="15" customHeight="1" x14ac:dyDescent="0.3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>
        <f t="shared" si="0"/>
        <v>0</v>
      </c>
      <c r="W5" s="5"/>
    </row>
    <row r="6" spans="1:23" ht="15" customHeight="1" x14ac:dyDescent="0.3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>
        <f t="shared" si="0"/>
        <v>0</v>
      </c>
      <c r="W6" s="5"/>
    </row>
    <row r="7" spans="1:23" ht="15" customHeight="1" x14ac:dyDescent="0.3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>
        <f t="shared" si="0"/>
        <v>0</v>
      </c>
      <c r="W7" s="5"/>
    </row>
    <row r="8" spans="1:23" ht="15" customHeight="1" x14ac:dyDescent="0.3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>
        <f t="shared" si="0"/>
        <v>0</v>
      </c>
      <c r="W8" s="5"/>
    </row>
    <row r="9" spans="1:23" ht="15" customHeight="1" x14ac:dyDescent="0.3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>
        <f t="shared" si="0"/>
        <v>0</v>
      </c>
      <c r="W9" s="5"/>
    </row>
    <row r="10" spans="1:23" ht="15" customHeight="1" x14ac:dyDescent="0.3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>
        <f t="shared" si="0"/>
        <v>0</v>
      </c>
      <c r="W10" s="5"/>
    </row>
    <row r="11" spans="1:23" ht="15" customHeight="1" x14ac:dyDescent="0.3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f t="shared" si="0"/>
        <v>0</v>
      </c>
      <c r="W11" s="5"/>
    </row>
    <row r="12" spans="1:23" ht="15" customHeight="1" x14ac:dyDescent="0.3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>
        <f t="shared" si="0"/>
        <v>0</v>
      </c>
      <c r="W12" s="5"/>
    </row>
    <row r="13" spans="1:23" ht="15" customHeight="1" x14ac:dyDescent="0.3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f t="shared" si="0"/>
        <v>0</v>
      </c>
      <c r="W13" s="5"/>
    </row>
    <row r="14" spans="1:23" ht="15" customHeight="1" x14ac:dyDescent="0.3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f t="shared" si="0"/>
        <v>0</v>
      </c>
      <c r="W14" s="5"/>
    </row>
    <row r="15" spans="1:23" ht="15" customHeight="1" x14ac:dyDescent="0.3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f t="shared" si="0"/>
        <v>0</v>
      </c>
      <c r="W15" s="5"/>
    </row>
    <row r="16" spans="1:23" ht="15" customHeight="1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f t="shared" si="0"/>
        <v>0</v>
      </c>
      <c r="W16" s="5"/>
    </row>
    <row r="17" spans="1:23" ht="15" customHeight="1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f t="shared" si="0"/>
        <v>0</v>
      </c>
      <c r="W17" s="5"/>
    </row>
    <row r="18" spans="1:23" ht="15" customHeight="1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f t="shared" si="0"/>
        <v>0</v>
      </c>
      <c r="W18" s="5"/>
    </row>
    <row r="19" spans="1:23" ht="15" customHeight="1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f t="shared" si="0"/>
        <v>0</v>
      </c>
      <c r="W19" s="5"/>
    </row>
    <row r="20" spans="1:23" ht="15" customHeight="1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>
        <f t="shared" si="0"/>
        <v>0</v>
      </c>
      <c r="W20" s="5"/>
    </row>
    <row r="21" spans="1:23" ht="15" customHeight="1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f t="shared" si="0"/>
        <v>0</v>
      </c>
      <c r="W21" s="5"/>
    </row>
    <row r="22" spans="1:23" ht="15" customHeight="1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f t="shared" si="0"/>
        <v>0</v>
      </c>
      <c r="W22" s="5"/>
    </row>
    <row r="23" spans="1:23" ht="15" customHeight="1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f t="shared" si="0"/>
        <v>0</v>
      </c>
      <c r="W23" s="5"/>
    </row>
    <row r="24" spans="1:23" ht="15" customHeight="1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f t="shared" si="0"/>
        <v>0</v>
      </c>
      <c r="W24" s="5"/>
    </row>
    <row r="25" spans="1:23" ht="15" customHeight="1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>
        <f t="shared" si="0"/>
        <v>0</v>
      </c>
      <c r="W25" s="5"/>
    </row>
    <row r="26" spans="1:23" ht="15" customHeight="1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f t="shared" si="0"/>
        <v>0</v>
      </c>
      <c r="W26" s="5"/>
    </row>
    <row r="27" spans="1:23" ht="15" customHeight="1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>
        <f t="shared" si="0"/>
        <v>0</v>
      </c>
      <c r="W27" s="5"/>
    </row>
    <row r="28" spans="1:23" ht="15" customHeight="1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f t="shared" si="0"/>
        <v>0</v>
      </c>
      <c r="W28" s="5"/>
    </row>
    <row r="29" spans="1:23" ht="15" customHeight="1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f t="shared" si="0"/>
        <v>0</v>
      </c>
      <c r="W29" s="5"/>
    </row>
    <row r="30" spans="1:23" ht="15" customHeight="1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f t="shared" si="0"/>
        <v>0</v>
      </c>
      <c r="W30" s="5"/>
    </row>
    <row r="31" spans="1:23" ht="15" customHeight="1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f t="shared" si="0"/>
        <v>0</v>
      </c>
      <c r="W31" s="5"/>
    </row>
    <row r="32" spans="1:23" ht="15" customHeight="1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f t="shared" si="0"/>
        <v>0</v>
      </c>
      <c r="W32" s="5"/>
    </row>
    <row r="33" spans="1:23" ht="15" customHeight="1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f t="shared" si="0"/>
        <v>0</v>
      </c>
      <c r="W33" s="5"/>
    </row>
    <row r="34" spans="1:23" ht="15" customHeight="1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f t="shared" ref="V34:V65" si="1">SUM(D34:U34)</f>
        <v>0</v>
      </c>
      <c r="W34" s="5"/>
    </row>
    <row r="35" spans="1:23" ht="15" customHeight="1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f t="shared" si="1"/>
        <v>0</v>
      </c>
      <c r="W35" s="5"/>
    </row>
    <row r="36" spans="1:23" ht="15" customHeight="1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f t="shared" si="1"/>
        <v>0</v>
      </c>
      <c r="W36" s="5"/>
    </row>
    <row r="37" spans="1:23" ht="15" customHeight="1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f t="shared" si="1"/>
        <v>0</v>
      </c>
      <c r="W37" s="5"/>
    </row>
    <row r="38" spans="1:23" ht="15" customHeight="1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f t="shared" si="1"/>
        <v>0</v>
      </c>
      <c r="W38" s="5"/>
    </row>
    <row r="39" spans="1:23" ht="15" customHeight="1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f t="shared" si="1"/>
        <v>0</v>
      </c>
      <c r="W39" s="5"/>
    </row>
    <row r="40" spans="1:23" ht="15" customHeight="1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f t="shared" si="1"/>
        <v>0</v>
      </c>
      <c r="W40" s="5"/>
    </row>
    <row r="41" spans="1:23" ht="15" customHeight="1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f t="shared" si="1"/>
        <v>0</v>
      </c>
      <c r="W41" s="5"/>
    </row>
    <row r="42" spans="1:23" ht="15" customHeight="1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f t="shared" si="1"/>
        <v>0</v>
      </c>
      <c r="W42" s="5"/>
    </row>
    <row r="43" spans="1:23" ht="15" customHeight="1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f t="shared" si="1"/>
        <v>0</v>
      </c>
      <c r="W43" s="5"/>
    </row>
    <row r="44" spans="1:23" ht="15" customHeight="1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f t="shared" si="1"/>
        <v>0</v>
      </c>
      <c r="W44" s="5"/>
    </row>
    <row r="45" spans="1:23" ht="15" customHeight="1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f t="shared" si="1"/>
        <v>0</v>
      </c>
      <c r="W45" s="5"/>
    </row>
    <row r="46" spans="1:23" ht="15" customHeight="1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f t="shared" si="1"/>
        <v>0</v>
      </c>
      <c r="W46" s="5"/>
    </row>
    <row r="47" spans="1:23" ht="15" customHeight="1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f t="shared" si="1"/>
        <v>0</v>
      </c>
      <c r="W47" s="5"/>
    </row>
    <row r="48" spans="1:23" ht="15" customHeight="1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f t="shared" si="1"/>
        <v>0</v>
      </c>
      <c r="W48" s="5"/>
    </row>
    <row r="49" spans="1:23" ht="15" customHeight="1" x14ac:dyDescent="0.3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>
        <f t="shared" si="1"/>
        <v>0</v>
      </c>
      <c r="W49" s="5"/>
    </row>
    <row r="50" spans="1:23" ht="15" customHeight="1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f t="shared" si="1"/>
        <v>0</v>
      </c>
      <c r="W50" s="5"/>
    </row>
    <row r="51" spans="1:23" ht="15" customHeight="1" x14ac:dyDescent="0.3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f t="shared" si="1"/>
        <v>0</v>
      </c>
      <c r="W51" s="5"/>
    </row>
    <row r="52" spans="1:23" ht="15" customHeight="1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f t="shared" si="1"/>
        <v>0</v>
      </c>
      <c r="W52" s="5"/>
    </row>
    <row r="53" spans="1:23" ht="15" customHeight="1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f t="shared" si="1"/>
        <v>0</v>
      </c>
      <c r="W53" s="5"/>
    </row>
    <row r="54" spans="1:23" ht="15" customHeight="1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f t="shared" si="1"/>
        <v>0</v>
      </c>
      <c r="W54" s="5"/>
    </row>
    <row r="55" spans="1:23" ht="15" customHeight="1" x14ac:dyDescent="0.3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f t="shared" si="1"/>
        <v>0</v>
      </c>
      <c r="W55" s="5"/>
    </row>
    <row r="56" spans="1:23" ht="15" customHeight="1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f t="shared" si="1"/>
        <v>0</v>
      </c>
      <c r="W56" s="5"/>
    </row>
    <row r="57" spans="1:23" ht="15" customHeight="1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f t="shared" si="1"/>
        <v>0</v>
      </c>
      <c r="W57" s="5"/>
    </row>
    <row r="58" spans="1:23" ht="15" customHeight="1" x14ac:dyDescent="0.3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>
        <f t="shared" si="1"/>
        <v>0</v>
      </c>
      <c r="W58" s="5"/>
    </row>
    <row r="59" spans="1:23" ht="15" customHeight="1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f t="shared" si="1"/>
        <v>0</v>
      </c>
      <c r="W59" s="5"/>
    </row>
    <row r="60" spans="1:23" ht="15" customHeight="1" x14ac:dyDescent="0.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f t="shared" si="1"/>
        <v>0</v>
      </c>
      <c r="W60" s="5"/>
    </row>
    <row r="61" spans="1:23" ht="15" customHeight="1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f t="shared" si="1"/>
        <v>0</v>
      </c>
      <c r="W61" s="5"/>
    </row>
    <row r="62" spans="1:23" ht="15" customHeight="1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f t="shared" si="1"/>
        <v>0</v>
      </c>
      <c r="W62" s="5"/>
    </row>
    <row r="63" spans="1:23" ht="15" customHeight="1" x14ac:dyDescent="0.3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f t="shared" si="1"/>
        <v>0</v>
      </c>
      <c r="W63" s="5"/>
    </row>
    <row r="64" spans="1:23" ht="15" customHeight="1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>
        <f t="shared" si="1"/>
        <v>0</v>
      </c>
      <c r="W64" s="5"/>
    </row>
    <row r="65" spans="1:23" ht="15" customHeight="1" x14ac:dyDescent="0.3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>
        <f t="shared" si="1"/>
        <v>0</v>
      </c>
      <c r="W65" s="5"/>
    </row>
    <row r="66" spans="1:23" ht="15" customHeight="1" x14ac:dyDescent="0.3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f t="shared" ref="V66:V97" si="2">SUM(D66:U66)</f>
        <v>0</v>
      </c>
      <c r="W66" s="5"/>
    </row>
    <row r="67" spans="1:23" ht="15" customHeight="1" x14ac:dyDescent="0.3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f t="shared" si="2"/>
        <v>0</v>
      </c>
      <c r="W67" s="5"/>
    </row>
    <row r="68" spans="1:23" ht="15" customHeight="1" x14ac:dyDescent="0.3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f t="shared" si="2"/>
        <v>0</v>
      </c>
      <c r="W68" s="5"/>
    </row>
    <row r="69" spans="1:23" ht="15" customHeight="1" x14ac:dyDescent="0.3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>
        <f t="shared" si="2"/>
        <v>0</v>
      </c>
      <c r="W69" s="5"/>
    </row>
    <row r="70" spans="1:23" ht="15" customHeight="1" x14ac:dyDescent="0.3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>
        <f t="shared" si="2"/>
        <v>0</v>
      </c>
      <c r="W70" s="5"/>
    </row>
    <row r="71" spans="1:23" ht="15" customHeight="1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>
        <f t="shared" si="2"/>
        <v>0</v>
      </c>
      <c r="W71" s="5"/>
    </row>
    <row r="72" spans="1:23" ht="15" customHeight="1" x14ac:dyDescent="0.3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>
        <f t="shared" si="2"/>
        <v>0</v>
      </c>
      <c r="W72" s="5"/>
    </row>
    <row r="73" spans="1:23" ht="15" customHeight="1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>
        <f t="shared" si="2"/>
        <v>0</v>
      </c>
      <c r="W73" s="5"/>
    </row>
    <row r="74" spans="1:23" ht="15" customHeight="1" x14ac:dyDescent="0.3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f t="shared" si="2"/>
        <v>0</v>
      </c>
      <c r="W74" s="5"/>
    </row>
    <row r="75" spans="1:23" ht="15" customHeight="1" x14ac:dyDescent="0.3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f t="shared" si="2"/>
        <v>0</v>
      </c>
      <c r="W75" s="5"/>
    </row>
    <row r="76" spans="1:23" ht="15" customHeight="1" x14ac:dyDescent="0.3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f t="shared" si="2"/>
        <v>0</v>
      </c>
      <c r="W76" s="5"/>
    </row>
    <row r="77" spans="1:23" ht="15" customHeight="1" x14ac:dyDescent="0.3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f t="shared" si="2"/>
        <v>0</v>
      </c>
      <c r="W77" s="5"/>
    </row>
    <row r="78" spans="1:23" ht="15" customHeight="1" x14ac:dyDescent="0.3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f t="shared" si="2"/>
        <v>0</v>
      </c>
      <c r="W78" s="5"/>
    </row>
    <row r="79" spans="1:23" ht="15" customHeight="1" x14ac:dyDescent="0.3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>
        <f t="shared" si="2"/>
        <v>0</v>
      </c>
      <c r="W79" s="5"/>
    </row>
    <row r="80" spans="1:23" ht="15" customHeight="1" x14ac:dyDescent="0.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f t="shared" si="2"/>
        <v>0</v>
      </c>
      <c r="W80" s="5"/>
    </row>
    <row r="81" spans="1:23" ht="15" customHeight="1" x14ac:dyDescent="0.3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>
        <f t="shared" si="2"/>
        <v>0</v>
      </c>
      <c r="W81" s="5"/>
    </row>
    <row r="82" spans="1:23" ht="15" customHeight="1" x14ac:dyDescent="0.3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>
        <f t="shared" si="2"/>
        <v>0</v>
      </c>
      <c r="W82" s="5"/>
    </row>
    <row r="83" spans="1:23" ht="15" customHeight="1" x14ac:dyDescent="0.3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f t="shared" si="2"/>
        <v>0</v>
      </c>
      <c r="W83" s="5"/>
    </row>
    <row r="84" spans="1:23" ht="15" customHeight="1" x14ac:dyDescent="0.3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f t="shared" si="2"/>
        <v>0</v>
      </c>
      <c r="W84" s="5"/>
    </row>
    <row r="85" spans="1:23" ht="15" customHeight="1" x14ac:dyDescent="0.3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f t="shared" si="2"/>
        <v>0</v>
      </c>
      <c r="W85" s="5"/>
    </row>
    <row r="86" spans="1:23" ht="15" customHeight="1" x14ac:dyDescent="0.3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f t="shared" si="2"/>
        <v>0</v>
      </c>
      <c r="W86" s="5"/>
    </row>
    <row r="87" spans="1:23" ht="15" customHeight="1" x14ac:dyDescent="0.3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f t="shared" si="2"/>
        <v>0</v>
      </c>
      <c r="W87" s="5"/>
    </row>
    <row r="88" spans="1:23" ht="15" customHeight="1" x14ac:dyDescent="0.3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f t="shared" si="2"/>
        <v>0</v>
      </c>
      <c r="W88" s="5"/>
    </row>
    <row r="89" spans="1:23" ht="15" customHeight="1" x14ac:dyDescent="0.3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f t="shared" si="2"/>
        <v>0</v>
      </c>
      <c r="W89" s="5"/>
    </row>
    <row r="90" spans="1:23" ht="15" customHeight="1" x14ac:dyDescent="0.3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f t="shared" si="2"/>
        <v>0</v>
      </c>
      <c r="W90" s="5"/>
    </row>
    <row r="91" spans="1:23" ht="15" customHeight="1" x14ac:dyDescent="0.3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>
        <f t="shared" si="2"/>
        <v>0</v>
      </c>
      <c r="W91" s="5"/>
    </row>
    <row r="92" spans="1:23" ht="15" customHeight="1" x14ac:dyDescent="0.3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f t="shared" si="2"/>
        <v>0</v>
      </c>
      <c r="W92" s="5"/>
    </row>
    <row r="93" spans="1:23" ht="15" customHeight="1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>
        <f t="shared" si="2"/>
        <v>0</v>
      </c>
      <c r="W93" s="5"/>
    </row>
    <row r="94" spans="1:23" ht="15" customHeight="1" x14ac:dyDescent="0.3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f t="shared" si="2"/>
        <v>0</v>
      </c>
      <c r="W94" s="5"/>
    </row>
    <row r="95" spans="1:23" ht="15" customHeight="1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f t="shared" si="2"/>
        <v>0</v>
      </c>
      <c r="W95" s="5"/>
    </row>
    <row r="96" spans="1:23" ht="15" customHeight="1" x14ac:dyDescent="0.3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f t="shared" si="2"/>
        <v>0</v>
      </c>
      <c r="W96" s="5"/>
    </row>
    <row r="97" spans="1:23" ht="15" customHeight="1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f t="shared" si="2"/>
        <v>0</v>
      </c>
      <c r="W97" s="5"/>
    </row>
    <row r="98" spans="1:23" ht="15" customHeight="1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f>SUM(D98:U98)</f>
        <v>0</v>
      </c>
      <c r="W98" s="5"/>
    </row>
    <row r="99" spans="1:23" ht="15" customHeight="1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>
        <f>SUM(D99:U99)</f>
        <v>0</v>
      </c>
      <c r="W99" s="5"/>
    </row>
    <row r="100" spans="1:23" ht="15" customHeight="1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f>SUM(D100:U100)</f>
        <v>0</v>
      </c>
      <c r="W100" s="5"/>
    </row>
    <row r="101" spans="1:23" ht="15" customHeight="1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>
        <f>SUM(D101:U101)</f>
        <v>0</v>
      </c>
      <c r="W101" s="5"/>
    </row>
  </sheetData>
  <dataValidations count="1">
    <dataValidation type="list" allowBlank="1" sqref="D2:U101" xr:uid="{00000000-0002-0000-0400-000000000000}">
      <formula1>"0,0.5,1"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9"/>
  <sheetViews>
    <sheetView zoomScaleNormal="100" workbookViewId="0">
      <selection activeCell="C15" sqref="C15"/>
    </sheetView>
  </sheetViews>
  <sheetFormatPr defaultColWidth="8.6328125" defaultRowHeight="14.5" x14ac:dyDescent="0.35"/>
  <cols>
    <col min="1" max="1" width="60" customWidth="1"/>
    <col min="2" max="2" width="16" customWidth="1"/>
  </cols>
  <sheetData>
    <row r="1" spans="1:2" ht="19.75" customHeight="1" x14ac:dyDescent="0.5">
      <c r="A1" s="1" t="s">
        <v>311</v>
      </c>
    </row>
    <row r="2" spans="1:2" ht="15" customHeight="1" x14ac:dyDescent="0.35">
      <c r="A2" s="7" t="s">
        <v>312</v>
      </c>
    </row>
    <row r="4" spans="1:2" ht="15" customHeight="1" x14ac:dyDescent="0.35">
      <c r="A4" s="8" t="s">
        <v>313</v>
      </c>
      <c r="B4" s="8" t="s">
        <v>314</v>
      </c>
    </row>
    <row r="5" spans="1:2" ht="15" customHeight="1" x14ac:dyDescent="0.35">
      <c r="A5" s="5" t="s">
        <v>315</v>
      </c>
      <c r="B5" s="9">
        <v>1907</v>
      </c>
    </row>
    <row r="6" spans="1:2" ht="15" customHeight="1" x14ac:dyDescent="0.35">
      <c r="A6" s="5" t="s">
        <v>316</v>
      </c>
      <c r="B6" s="9">
        <v>126</v>
      </c>
    </row>
    <row r="7" spans="1:2" ht="15" customHeight="1" x14ac:dyDescent="0.35">
      <c r="A7" s="5" t="s">
        <v>317</v>
      </c>
      <c r="B7" s="9">
        <v>1781</v>
      </c>
    </row>
    <row r="8" spans="1:2" ht="15" customHeight="1" x14ac:dyDescent="0.35">
      <c r="A8" s="5" t="s">
        <v>318</v>
      </c>
      <c r="B8" s="9">
        <f>COUNTA('Full-Text Eligibility'!B3:B302)</f>
        <v>13</v>
      </c>
    </row>
    <row r="9" spans="1:2" ht="15" customHeight="1" x14ac:dyDescent="0.35">
      <c r="A9" s="5" t="s">
        <v>319</v>
      </c>
      <c r="B9" s="9">
        <f>COUNTIF('Full-Text Eligibility'!D3:D302,"Exclude")</f>
        <v>0</v>
      </c>
    </row>
    <row r="10" spans="1:2" ht="15" customHeight="1" x14ac:dyDescent="0.35">
      <c r="A10" s="5" t="s">
        <v>320</v>
      </c>
      <c r="B10" s="9">
        <f>COUNTIF('Full-Text Eligibility'!D3:D302,"Include")</f>
        <v>13</v>
      </c>
    </row>
    <row r="11" spans="1:2" ht="15" customHeight="1" x14ac:dyDescent="0.35">
      <c r="A11" s="2" t="s">
        <v>321</v>
      </c>
    </row>
    <row r="12" spans="1:2" ht="15" customHeight="1" x14ac:dyDescent="0.35">
      <c r="A12" s="8" t="s">
        <v>40</v>
      </c>
      <c r="B12" s="8" t="s">
        <v>314</v>
      </c>
    </row>
    <row r="13" spans="1:2" ht="15" customHeight="1" x14ac:dyDescent="0.35">
      <c r="A13" s="5" t="s">
        <v>25</v>
      </c>
      <c r="B13" s="10">
        <f>COUNTIF('Screening Tracker'!B2:B501,"IEEE Xplore")</f>
        <v>0</v>
      </c>
    </row>
    <row r="14" spans="1:2" ht="15" customHeight="1" x14ac:dyDescent="0.35">
      <c r="A14" s="5" t="s">
        <v>28</v>
      </c>
      <c r="B14" s="10">
        <f>COUNTIF('Screening Tracker'!B2:B501,"ACM Digital Library")</f>
        <v>0</v>
      </c>
    </row>
    <row r="15" spans="1:2" ht="15" customHeight="1" x14ac:dyDescent="0.35">
      <c r="A15" s="5" t="s">
        <v>30</v>
      </c>
      <c r="B15" s="10">
        <f>COUNTIF('Screening Tracker'!B2:B501,"ScienceDirect")</f>
        <v>13</v>
      </c>
    </row>
    <row r="16" spans="1:2" ht="15" customHeight="1" x14ac:dyDescent="0.35">
      <c r="A16" s="5" t="s">
        <v>32</v>
      </c>
      <c r="B16" s="10">
        <f>COUNTIF('Screening Tracker'!B2:B501,"SpringerLink")</f>
        <v>0</v>
      </c>
    </row>
    <row r="17" spans="1:2" ht="15" customHeight="1" x14ac:dyDescent="0.35">
      <c r="A17" s="5" t="s">
        <v>34</v>
      </c>
      <c r="B17" s="10">
        <f>COUNTIF('Screening Tracker'!B2:B501,"Scopus")</f>
        <v>0</v>
      </c>
    </row>
    <row r="18" spans="1:2" ht="15" customHeight="1" x14ac:dyDescent="0.35">
      <c r="A18" s="5" t="s">
        <v>36</v>
      </c>
      <c r="B18" s="10">
        <f>COUNTIF('Screening Tracker'!B2:B501,"Web of Science")</f>
        <v>0</v>
      </c>
    </row>
    <row r="19" spans="1:2" ht="15" customHeight="1" x14ac:dyDescent="0.35">
      <c r="A19" s="5" t="s">
        <v>322</v>
      </c>
      <c r="B19" s="10">
        <f>COUNTIF('Screening Tracker'!B2:B501,"Google Scholar (snowball)")</f>
        <v>0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b1551f8-93ad-48c0-86da-7e3276a3479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71803688CE834F80A3A500315C760A" ma:contentTypeVersion="13" ma:contentTypeDescription="Create a new document." ma:contentTypeScope="" ma:versionID="9eeca0a1e006c29448b7755d20450d26">
  <xsd:schema xmlns:xsd="http://www.w3.org/2001/XMLSchema" xmlns:xs="http://www.w3.org/2001/XMLSchema" xmlns:p="http://schemas.microsoft.com/office/2006/metadata/properties" xmlns:ns3="0b1551f8-93ad-48c0-86da-7e3276a34794" targetNamespace="http://schemas.microsoft.com/office/2006/metadata/properties" ma:root="true" ma:fieldsID="a83e1f960c5086f04c4121d80bea2f85" ns3:_="">
    <xsd:import namespace="0b1551f8-93ad-48c0-86da-7e3276a3479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551f8-93ad-48c0-86da-7e3276a347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F96D64-286F-4298-B1BC-551BA4DBE116}">
  <ds:schemaRefs>
    <ds:schemaRef ds:uri="http://schemas.openxmlformats.org/package/2006/metadata/core-properties"/>
    <ds:schemaRef ds:uri="0b1551f8-93ad-48c0-86da-7e3276a34794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terms/"/>
    <ds:schemaRef ds:uri="http://purl.org/dc/elements/1.1/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B2F4747-6C3B-4E6F-A2E2-41FCFA7C71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4A927E-C975-4090-940C-CD4E79F5BF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1551f8-93ad-48c0-86da-7e3276a347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Screening Tracker</vt:lpstr>
      <vt:lpstr>Full-Text Eligibility</vt:lpstr>
      <vt:lpstr>Data Extraction</vt:lpstr>
      <vt:lpstr>Quality Assessment</vt:lpstr>
      <vt:lpstr>PRISMA 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Thabiso Patrick Matsaba</cp:lastModifiedBy>
  <cp:revision>0</cp:revision>
  <dcterms:created xsi:type="dcterms:W3CDTF">2026-08-03T20:13:35Z</dcterms:created>
  <dcterms:modified xsi:type="dcterms:W3CDTF">2026-08-18T18:51:29Z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0x010100F271803688CE834F80A3A500315C760A</vt:lpwstr>
  </property>
</Properties>
</file>