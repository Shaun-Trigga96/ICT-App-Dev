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mycputac-my.sharepoint.com/personal/216112303_mycput_ac_za/Documents/"/>
    </mc:Choice>
  </mc:AlternateContent>
  <xr:revisionPtr revIDLastSave="0" documentId="8_{E41DA410-F74E-46F4-A706-C1AD7137F4A4}" xr6:coauthVersionLast="47" xr6:coauthVersionMax="47" xr10:uidLastSave="{00000000-0000-0000-0000-000000000000}"/>
  <bookViews>
    <workbookView xWindow="-28920" yWindow="-120" windowWidth="29040" windowHeight="15720" tabRatio="500" firstSheet="4" activeTab="4" xr2:uid="{00000000-000D-0000-FFFF-FFFF00000000}"/>
  </bookViews>
  <sheets>
    <sheet name="00_Overview_&amp;_PRISMA" sheetId="1" r:id="rId1"/>
    <sheet name="Reconciliation_Summary" sheetId="2" r:id="rId2"/>
    <sheet name="IEEE Xplore" sheetId="3" r:id="rId3"/>
    <sheet name="ScienceDirect" sheetId="4" r:id="rId4"/>
    <sheet name="Included list" sheetId="5" r:id="rId5"/>
    <sheet name="ACM Digital Library" sheetId="6" r:id="rId6"/>
    <sheet name="Web of Science" sheetId="7" r:id="rId7"/>
    <sheet name="SpringerLink" sheetId="8" r:id="rId8"/>
    <sheet name="Scopus" sheetId="9" r:id="rId9"/>
    <sheet name="Data Extraction" sheetId="10" r:id="rId10"/>
    <sheet name="Quality Assessment" sheetId="11" r:id="rId11"/>
    <sheet name="Dedup_Log" sheetId="12" r:id="rId12"/>
    <sheet name="Stage2_Exclusions" sheetId="13" r:id="rId13"/>
    <sheet name="Scope_Decisions" sheetId="14" r:id="rId14"/>
    <sheet name="Excluded_Records" sheetId="15" r:id="rId15"/>
    <sheet name="Final_Included_Studies" sheetId="16" r:id="rId16"/>
    <sheet name="Protocol" sheetId="17" r:id="rId17"/>
    <sheet name="Search_Strings" sheetId="18" r:id="rId18"/>
    <sheet name="PRISMA_Flow" sheetId="19" r:id="rId19"/>
    <sheet name="Study_Coding" sheetId="20" r:id="rId20"/>
    <sheet name="Stage_Coverage" sheetId="21" r:id="rId21"/>
    <sheet name="Taxonomy" sheetId="22" r:id="rId22"/>
    <sheet name="Maturity_Model" sheetId="23" r:id="rId23"/>
    <sheet name="Evaluation_Hierarchy" sheetId="24" r:id="rId24"/>
    <sheet name="Conceptual_Framework" sheetId="25" r:id="rId25"/>
    <sheet name="Reference_Architecture" sheetId="26" r:id="rId26"/>
    <sheet name="Research_Agenda" sheetId="27" r:id="rId27"/>
    <sheet name="AI_Usage_Declaration" sheetId="28" r:id="rId28"/>
    <sheet name="Audit_Change_Log" sheetId="29" r:id="rId29"/>
    <sheet name="Excluded_Study_Archive" sheetId="30" r:id="rId30"/>
    <sheet name="Report_Figures" sheetId="31" r:id="rId31"/>
    <sheet name="Report_Change_Log" sheetId="32" r:id="rId32"/>
  </sheets>
  <definedNames>
    <definedName name="_xlnm._FilterDatabase" localSheetId="4" hidden="1">'Included list'!$A$2:$I$281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4" i="31" l="1"/>
  <c r="C14" i="31" s="1"/>
  <c r="B13" i="31"/>
  <c r="C13" i="31" s="1"/>
  <c r="B12" i="31"/>
  <c r="C12" i="31" s="1"/>
  <c r="B11" i="31"/>
  <c r="C11" i="31" s="1"/>
  <c r="B10" i="31"/>
  <c r="C10" i="31" s="1"/>
  <c r="B9" i="31"/>
  <c r="C9" i="31" s="1"/>
  <c r="B8" i="31"/>
  <c r="C8" i="31" s="1"/>
  <c r="B7" i="31"/>
  <c r="C7" i="31" s="1"/>
  <c r="B6" i="31"/>
  <c r="C6" i="31" s="1"/>
  <c r="B5" i="31"/>
  <c r="B4" i="31"/>
  <c r="C4" i="31" s="1"/>
  <c r="B3" i="31"/>
  <c r="C3" i="31" s="1"/>
  <c r="B2" i="31"/>
  <c r="F7" i="26"/>
  <c r="F6" i="26"/>
  <c r="F5" i="26"/>
  <c r="F4" i="26"/>
  <c r="F3" i="26"/>
  <c r="F8" i="24"/>
  <c r="F7" i="24"/>
  <c r="F6" i="24"/>
  <c r="F5" i="24"/>
  <c r="F4" i="24"/>
  <c r="F3" i="24"/>
  <c r="H21" i="22"/>
  <c r="G21" i="22"/>
  <c r="F21" i="22"/>
  <c r="E21" i="22"/>
  <c r="D21" i="22"/>
  <c r="C21" i="22"/>
  <c r="B21" i="22"/>
  <c r="J9" i="22"/>
  <c r="J8" i="22"/>
  <c r="J7" i="22"/>
  <c r="J6" i="22"/>
  <c r="J5" i="22"/>
  <c r="J4" i="22"/>
  <c r="J3" i="22"/>
  <c r="D14" i="21"/>
  <c r="E14" i="21" s="1"/>
  <c r="D13" i="21"/>
  <c r="E13" i="21" s="1"/>
  <c r="D12" i="21"/>
  <c r="E12" i="21" s="1"/>
  <c r="D11" i="21"/>
  <c r="E11" i="21" s="1"/>
  <c r="D10" i="21"/>
  <c r="E10" i="21" s="1"/>
  <c r="D9" i="21"/>
  <c r="E9" i="21" s="1"/>
  <c r="D8" i="21"/>
  <c r="E8" i="21" s="1"/>
  <c r="D7" i="21"/>
  <c r="E7" i="21" s="1"/>
  <c r="D6" i="21"/>
  <c r="E6" i="21" s="1"/>
  <c r="D5" i="21"/>
  <c r="E5" i="21" s="1"/>
  <c r="D4" i="21"/>
  <c r="E4" i="21" s="1"/>
  <c r="D3" i="21"/>
  <c r="E3" i="21" s="1"/>
  <c r="AA30" i="20"/>
  <c r="Z30" i="20"/>
  <c r="Y30" i="20"/>
  <c r="X30" i="20"/>
  <c r="W30" i="20"/>
  <c r="V30" i="20"/>
  <c r="U30" i="20"/>
  <c r="T30" i="20"/>
  <c r="S30" i="20"/>
  <c r="R30" i="20"/>
  <c r="Q30" i="20"/>
  <c r="P30" i="20"/>
  <c r="O30" i="20"/>
  <c r="N30" i="20"/>
  <c r="M30" i="20"/>
  <c r="L30" i="20"/>
  <c r="K30" i="20"/>
  <c r="J30" i="20"/>
  <c r="I30" i="20"/>
  <c r="B21" i="31" s="1"/>
  <c r="C21" i="31" s="1"/>
  <c r="H30" i="20"/>
  <c r="B20" i="31" s="1"/>
  <c r="C20" i="31" s="1"/>
  <c r="G30" i="20"/>
  <c r="B19" i="31" s="1"/>
  <c r="C19" i="31" s="1"/>
  <c r="F30" i="20"/>
  <c r="B18" i="31" s="1"/>
  <c r="C18" i="31" s="1"/>
  <c r="E30" i="20"/>
  <c r="B17" i="31" s="1"/>
  <c r="C17" i="31" s="1"/>
  <c r="D30" i="20"/>
  <c r="B16" i="31" s="1"/>
  <c r="C16" i="31" s="1"/>
  <c r="C30" i="20"/>
  <c r="B15" i="31" s="1"/>
  <c r="C15" i="31" s="1"/>
  <c r="C18" i="19"/>
  <c r="C17" i="19"/>
  <c r="C13" i="19"/>
  <c r="C8" i="19"/>
  <c r="C7" i="19"/>
  <c r="C6" i="19"/>
  <c r="C1126" i="13"/>
  <c r="C1125" i="13"/>
  <c r="C1124" i="13"/>
  <c r="C1123" i="13"/>
  <c r="C1122" i="13"/>
  <c r="C47" i="12"/>
  <c r="C9" i="19" s="1"/>
  <c r="W29" i="11"/>
  <c r="X29" i="11" s="1"/>
  <c r="Y29" i="11" s="1"/>
  <c r="W28" i="11"/>
  <c r="X28" i="11" s="1"/>
  <c r="Y28" i="11" s="1"/>
  <c r="W27" i="11"/>
  <c r="X27" i="11" s="1"/>
  <c r="Y27" i="11" s="1"/>
  <c r="W26" i="11"/>
  <c r="X26" i="11" s="1"/>
  <c r="Y26" i="11" s="1"/>
  <c r="W25" i="11"/>
  <c r="X25" i="11" s="1"/>
  <c r="Y25" i="11" s="1"/>
  <c r="W24" i="11"/>
  <c r="X24" i="11" s="1"/>
  <c r="Y24" i="11" s="1"/>
  <c r="W23" i="11"/>
  <c r="X23" i="11" s="1"/>
  <c r="Y23" i="11" s="1"/>
  <c r="W22" i="11"/>
  <c r="X22" i="11" s="1"/>
  <c r="Y22" i="11" s="1"/>
  <c r="W21" i="11"/>
  <c r="X21" i="11" s="1"/>
  <c r="Y21" i="11" s="1"/>
  <c r="W20" i="11"/>
  <c r="X20" i="11" s="1"/>
  <c r="Y20" i="11" s="1"/>
  <c r="W19" i="11"/>
  <c r="X19" i="11" s="1"/>
  <c r="Y19" i="11" s="1"/>
  <c r="W18" i="11"/>
  <c r="X18" i="11" s="1"/>
  <c r="Y18" i="11" s="1"/>
  <c r="W17" i="11"/>
  <c r="X17" i="11" s="1"/>
  <c r="Y17" i="11" s="1"/>
  <c r="W16" i="11"/>
  <c r="X16" i="11" s="1"/>
  <c r="Y16" i="11" s="1"/>
  <c r="W15" i="11"/>
  <c r="X15" i="11" s="1"/>
  <c r="Y15" i="11" s="1"/>
  <c r="W14" i="11"/>
  <c r="X14" i="11" s="1"/>
  <c r="Y14" i="11" s="1"/>
  <c r="W13" i="11"/>
  <c r="X13" i="11" s="1"/>
  <c r="Y13" i="11" s="1"/>
  <c r="W12" i="11"/>
  <c r="X12" i="11" s="1"/>
  <c r="Y12" i="11" s="1"/>
  <c r="W11" i="11"/>
  <c r="X11" i="11" s="1"/>
  <c r="Y11" i="11" s="1"/>
  <c r="W10" i="11"/>
  <c r="X10" i="11" s="1"/>
  <c r="Y10" i="11" s="1"/>
  <c r="W9" i="11"/>
  <c r="X9" i="11" s="1"/>
  <c r="Y9" i="11" s="1"/>
  <c r="W8" i="11"/>
  <c r="X8" i="11" s="1"/>
  <c r="Y8" i="11" s="1"/>
  <c r="W7" i="11"/>
  <c r="X7" i="11" s="1"/>
  <c r="Y7" i="11" s="1"/>
  <c r="W6" i="11"/>
  <c r="X6" i="11" s="1"/>
  <c r="Y6" i="11" s="1"/>
  <c r="W5" i="11"/>
  <c r="X5" i="11" s="1"/>
  <c r="Y5" i="11" s="1"/>
  <c r="W4" i="11"/>
  <c r="X4" i="11" s="1"/>
  <c r="Y4" i="11" s="1"/>
  <c r="W3" i="11"/>
  <c r="X3" i="11" s="1"/>
  <c r="D22" i="2"/>
  <c r="D21" i="2"/>
  <c r="D20" i="2"/>
  <c r="B12" i="2"/>
  <c r="B11" i="2"/>
  <c r="B9" i="2"/>
  <c r="B8" i="2"/>
  <c r="B7" i="2"/>
  <c r="B6" i="2"/>
  <c r="C4" i="2"/>
  <c r="E12" i="1"/>
  <c r="D12" i="1"/>
  <c r="D13" i="1" s="1"/>
  <c r="C12" i="1"/>
  <c r="B12" i="1"/>
  <c r="C3" i="19" s="1"/>
  <c r="F11" i="1"/>
  <c r="F10" i="1"/>
  <c r="F9" i="1"/>
  <c r="F8" i="1"/>
  <c r="F7" i="1"/>
  <c r="F6" i="1"/>
  <c r="F12" i="1" s="1"/>
  <c r="B3" i="2" s="1"/>
  <c r="AE28" i="10"/>
  <c r="B29" i="20" s="1"/>
  <c r="AE27" i="10"/>
  <c r="B28" i="20" s="1"/>
  <c r="AE26" i="10"/>
  <c r="B27" i="20" s="1"/>
  <c r="AE25" i="10"/>
  <c r="B26" i="20" s="1"/>
  <c r="AE24" i="10"/>
  <c r="B25" i="20" s="1"/>
  <c r="AE23" i="10"/>
  <c r="B24" i="20" s="1"/>
  <c r="AE22" i="10"/>
  <c r="B23" i="20" s="1"/>
  <c r="AE21" i="10"/>
  <c r="B22" i="20" s="1"/>
  <c r="AE20" i="10"/>
  <c r="B21" i="20" s="1"/>
  <c r="AE19" i="10"/>
  <c r="B20" i="20" s="1"/>
  <c r="AE18" i="10"/>
  <c r="B19" i="20" s="1"/>
  <c r="AE17" i="10"/>
  <c r="B18" i="20" s="1"/>
  <c r="AE16" i="10"/>
  <c r="B17" i="20" s="1"/>
  <c r="AE15" i="10"/>
  <c r="B16" i="20" s="1"/>
  <c r="AE14" i="10"/>
  <c r="B15" i="20" s="1"/>
  <c r="AE13" i="10"/>
  <c r="B14" i="20" s="1"/>
  <c r="AE12" i="10"/>
  <c r="B13" i="20" s="1"/>
  <c r="AE11" i="10"/>
  <c r="B12" i="20" s="1"/>
  <c r="AE10" i="10"/>
  <c r="B11" i="20" s="1"/>
  <c r="AE9" i="10"/>
  <c r="B10" i="20" s="1"/>
  <c r="AE8" i="10"/>
  <c r="B9" i="20" s="1"/>
  <c r="AE7" i="10"/>
  <c r="B8" i="20" s="1"/>
  <c r="AE6" i="10"/>
  <c r="B7" i="20" s="1"/>
  <c r="AE5" i="10"/>
  <c r="B6" i="20" s="1"/>
  <c r="AE4" i="10"/>
  <c r="B5" i="20" s="1"/>
  <c r="AE3" i="10"/>
  <c r="B4" i="20" s="1"/>
  <c r="AE2" i="10"/>
  <c r="C30" i="31" l="1"/>
  <c r="C29" i="31"/>
  <c r="C28" i="31"/>
  <c r="C27" i="31"/>
  <c r="C26" i="31"/>
  <c r="C25" i="31"/>
  <c r="C24" i="31"/>
  <c r="C23" i="31"/>
  <c r="C22" i="31"/>
  <c r="C31" i="31"/>
  <c r="C5" i="31"/>
  <c r="C3" i="2"/>
  <c r="D3" i="2" s="1"/>
  <c r="C7" i="2"/>
  <c r="D7" i="2" s="1"/>
  <c r="C8" i="2"/>
  <c r="D8" i="2" s="1"/>
  <c r="C16" i="2"/>
  <c r="D16" i="2" s="1"/>
  <c r="C15" i="2"/>
  <c r="D15" i="2" s="1"/>
  <c r="C14" i="2"/>
  <c r="D14" i="2" s="1"/>
  <c r="C13" i="2"/>
  <c r="D13" i="2" s="1"/>
  <c r="C10" i="2"/>
  <c r="C9" i="2"/>
  <c r="D9" i="2" s="1"/>
  <c r="C6" i="2"/>
  <c r="D6" i="2" s="1"/>
  <c r="B4" i="2"/>
  <c r="D4" i="2" s="1"/>
  <c r="C20" i="19"/>
  <c r="C15" i="19"/>
  <c r="C11" i="2"/>
  <c r="D11" i="2" s="1"/>
  <c r="C1127" i="13"/>
  <c r="C11" i="19" s="1"/>
  <c r="D11" i="19"/>
  <c r="Y3" i="11"/>
  <c r="X32" i="11"/>
  <c r="C5" i="19"/>
  <c r="C12" i="2" s="1"/>
  <c r="D12" i="2" s="1"/>
  <c r="E8" i="23"/>
  <c r="B3" i="20"/>
  <c r="E7" i="23"/>
  <c r="E3" i="23"/>
  <c r="E4" i="23"/>
  <c r="E5" i="23"/>
  <c r="E6" i="23"/>
  <c r="B10" i="2"/>
  <c r="D10" i="2" s="1"/>
  <c r="C10" i="19"/>
  <c r="C12" i="19" s="1"/>
  <c r="C14" i="19" s="1"/>
  <c r="C16" i="19" s="1"/>
  <c r="C19" i="19" s="1"/>
  <c r="B5" i="2" s="1"/>
  <c r="D5" i="2" s="1"/>
  <c r="X33" i="11" l="1"/>
  <c r="X34" i="11"/>
  <c r="X3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3" authorId="0" shapeId="0" xr:uid="{00000000-0006-0000-0A00-000001000000}">
      <text>
        <r>
          <rPr>
            <sz val="10"/>
            <rFont val="Arial"/>
            <family val="2"/>
          </rPr>
          <t>Scores follow a mechanical 1/0.5/1/0.5 pattern identical to the other study — re-score against the paper.</t>
        </r>
      </text>
    </comment>
    <comment ref="A4" authorId="0" shapeId="0" xr:uid="{00000000-0006-0000-0A00-000002000000}">
      <text>
        <r>
          <rPr>
            <sz val="10"/>
            <rFont val="Arial"/>
            <family val="2"/>
          </rPr>
          <t>Scores follow a mechanical 1/0.5/1/0.5 pattern identical to the other study — re-score against the paper.</t>
        </r>
      </text>
    </comment>
  </commentList>
</comments>
</file>

<file path=xl/sharedStrings.xml><?xml version="1.0" encoding="utf-8"?>
<sst xmlns="http://schemas.openxmlformats.org/spreadsheetml/2006/main" count="26401" uniqueCount="6978">
  <si>
    <t>AI-DRIVEN MODEL ENGINEERING: SYSTEMATIC LITERATURE REVIEW (SLR)</t>
  </si>
  <si>
    <t>1. PRISMA 2020 Study Selection Matrix (Core Databases: N = 27 Included Studies)</t>
  </si>
  <si>
    <t>Database / Repository</t>
  </si>
  <si>
    <t>Records Identified (search hits)</t>
  </si>
  <si>
    <t>Retained after Title &amp; Abstract (database interface)</t>
  </si>
  <si>
    <t>Records Logged for 2nd-Stage Screening</t>
  </si>
  <si>
    <t>Candidates after 2nd-Stage (logged, before de-dup)</t>
  </si>
  <si>
    <t>Included in Synthesis</t>
  </si>
  <si>
    <t>IEEE Xplore</t>
  </si>
  <si>
    <t>SpringerLink</t>
  </si>
  <si>
    <t>ScienceDirect</t>
  </si>
  <si>
    <t>ACM Digital Library</t>
  </si>
  <si>
    <t>Scopus</t>
  </si>
  <si>
    <t>Web of Science</t>
  </si>
  <si>
    <t>Total Core SLR Corpus</t>
  </si>
  <si>
    <t>After de-duplication</t>
  </si>
  <si>
    <t>Note: 'Included' counts each study under the database recorded in Final_Included_Studies. Four ACM studies (P04, P05, P06, P18) have no record in the ACM screening sheet and enter the PRISMA flow as 'identified via other methods'. Records Logged differs from Retained for IEEE Xplore (+22) and SpringerLink (−142); the 120-record net gap is shown in PRISMA_Flow.</t>
  </si>
  <si>
    <t>FINAL RECONCILIATION — every location must agree on N and the PRISMA figures (FINAL_7)</t>
  </si>
  <si>
    <t>Location</t>
  </si>
  <si>
    <t>Value</t>
  </si>
  <si>
    <t>Expected</t>
  </si>
  <si>
    <t>Status</t>
  </si>
  <si>
    <t>Source / note</t>
  </si>
  <si>
    <t>00_Overview_&amp;_PRISMA — Included total (F12)</t>
  </si>
  <si>
    <t>Formula</t>
  </si>
  <si>
    <t>PRISMA_Flow — Studies included in synthesis</t>
  </si>
  <si>
    <t>PRISMA_Flow — Reconciliation check</t>
  </si>
  <si>
    <t>OK</t>
  </si>
  <si>
    <t>Final_Included_Studies — row count</t>
  </si>
  <si>
    <t>Data Extraction — row count</t>
  </si>
  <si>
    <t>Quality Assessment — row count</t>
  </si>
  <si>
    <t>Study_Coding — row count</t>
  </si>
  <si>
    <t>Maturity_Model — studies across Levels 1–6</t>
  </si>
  <si>
    <t>Excluded_Records — rows</t>
  </si>
  <si>
    <t>Not retrieved + excluded with reasons</t>
  </si>
  <si>
    <t>Excluded_Records vs identified − included − earlier removals</t>
  </si>
  <si>
    <t>7,585 + 4 − N − 6,053 (title/abstract) − 120 (not logged) − 46 (duplicates) − 1,117 (2nd stage)</t>
  </si>
  <si>
    <t>Report — Figure 1 (PRISMA diagram) N</t>
  </si>
  <si>
    <t>PRISMA 2020 diagram drawn from PRISMA_Flow; note states retrospective de-duplication</t>
  </si>
  <si>
    <t>Report — narrative 'N =' mentions (all 6)</t>
  </si>
  <si>
    <t>All 'N =' mentions in SLR_AI_Driven_Model_Engineering_FINAL_7.docx read 27 (scripted check)</t>
  </si>
  <si>
    <t>Report — Table 5 year total / database total</t>
  </si>
  <si>
    <t>Table 5 in SLR_AI_Driven_Model_Engineering_FINAL_7.docx</t>
  </si>
  <si>
    <t>Report — abstract N</t>
  </si>
  <si>
    <t>Abstract states 27 primary studies</t>
  </si>
  <si>
    <t>PRISMA figures used everywhere: 7,585 identified; 6,053 excluded at title/abstract; 1,532 retained; 120 not logged; 1,412 logged; 46 duplicates; 1,366 unique; 1,117 excluded at 2nd stage (EC1 667, EC2 153, EC4 176, EC5 110, EC8 11); 249 sought; 222 not retrieved; 27 assessed; 4 excluded with reasons; 4 via other methods; N = 27.</t>
  </si>
  <si>
    <t>Report — Figure 3 bands vs Stage_Coverage</t>
  </si>
  <si>
    <t>match</t>
  </si>
  <si>
    <t>12 stage bands recomputed; figure regenerated from this sheet</t>
  </si>
  <si>
    <t>Report — body page count (Introduction → before References)</t>
  </si>
  <si>
    <t>≤ 30 required; total PDF 33 pp incl. cover/declaration (3) and references (3)</t>
  </si>
  <si>
    <t>Report — excluded studies (P16, P20, P23, P26, P29, P31, P34) cited only in Appendix B</t>
  </si>
  <si>
    <t>Appendix B only</t>
  </si>
  <si>
    <t>Each has a reference-list entry; none is used as evidence in sections 3–8</t>
  </si>
  <si>
    <t>IEEE Xplore screening log</t>
  </si>
  <si>
    <t>Database</t>
  </si>
  <si>
    <t>Reviewer(s)</t>
  </si>
  <si>
    <t>Title</t>
  </si>
  <si>
    <t>Authors</t>
  </si>
  <si>
    <t>Year</t>
  </si>
  <si>
    <t>Venue</t>
  </si>
  <si>
    <t>DOI / Link</t>
  </si>
  <si>
    <t>Abstract (paste)</t>
  </si>
  <si>
    <t>Reviewer 1</t>
  </si>
  <si>
    <t>Reviewer 1 Decision</t>
  </si>
  <si>
    <t>Reviewer 2</t>
  </si>
  <si>
    <t>Reviewer 2 Decision</t>
  </si>
  <si>
    <t>Final Decision</t>
  </si>
  <si>
    <t>Exclusion Reason (if excluded)</t>
  </si>
  <si>
    <t>Phindile Mposwa, Sibongiseni Tsitsa</t>
  </si>
  <si>
    <t>A Catalogue of Model Smells and Refactoring Operations for Object-Oriented Software</t>
  </si>
  <si>
    <t>Brahmaleen K. Sidhu,Kawaljeet Singh,Neeraj Sharma</t>
  </si>
  <si>
    <t>Proceedings of the 2nd International Conference on Inventive Communication and Computational Technologies (ICICCT</t>
  </si>
  <si>
    <t>https://doi.org/10.1109/ICICCT.2018.8473027</t>
  </si>
  <si>
    <t>The advent of Model Driven Engineering has observable behaviour. promoted software quality assurance activities to a higher level Model Driven Engineering (MDE) is being increasingly of abstraction than code, i.e. architectural models. Early adopted in development of complex software systems used quality assessment facilitates better design, reduces in high-reliability domains like aviation, automotive, maintenance costs, manages requirement volatility and leads to aerospace, and other embedded systems [3]. Model Driven faster software development. Less than optimal design decisions made during development and subsequent evolution Development (MDD2) is a model-pivoted development introduce smells in the software. Model Refactoring uncovers paradigm. MDD is followed by Architecture-Driven smells at architectural level and transforms graphical Modernization (ADM), which is a two-step evolutionary, representations of software to enhance design without affecting platform and language-independent maintenance paradigm. its observable behaviour. Focusing on object-oriented software Firstly, a model instance is created by reverse engineering systems, this paper presents a catalogue of smells and source code. This model is successively transformed to refactoring operations for UML class diagrams. The paper concludes by highlighting challenges in model refactoring and reach a higher abstraction level called Knowledge Discovery the potential of learning-based approach in automating the Metamodel (KDM3) [4]. The problems found in the target process. legacy system are solved by applying refactorings and optimizations at this level. In the second step, forward</t>
  </si>
  <si>
    <t>Phindile Mposwa</t>
  </si>
  <si>
    <t>Include</t>
  </si>
  <si>
    <t>Sibongiseni Tsitsa</t>
  </si>
  <si>
    <t>Included: addresses software/systems modelling; reverse engineers models from code</t>
  </si>
  <si>
    <t>A Comparative Study of Large Language Models for Model-Driven Reverse Engineering</t>
  </si>
  <si>
    <t>Faculty of Sciences and Techniques of Errachidia, UMI Faculty of Sciences and Techniques of Errachidia, UMI</t>
  </si>
  <si>
    <t>The extraction of abstract models from the source In practice, many software systems were developed without codeisoneofthemainfocusesofmodel-drivenreverseengineer- explicit models or with models that are no longer maintained, ingandisparticularlyimportantforlegacysystems,whichdonot especially legacy systems [2]. As a result, understanding, have updated documentation. Recovering abstract models from evolving,ormodernizingsuchsystemsoftenrequiresrecover- legacy systems is complex, given that the technical constructs combinedwithdomain-levelconstructsareimplementedthrough ing high-level domain abstractions directly from source code. multiple layers of technology and system-specific rules. Current This recovery task is difficult because domain concepts are static analysis and heuristic-based approaches can struggle to coupled with technical infrastructure, framework code, and separatetheseconcerns.Therecentemergenceoflargelanguage platform-specific details [3]. models (LLMs) is promising with regard to modeling software, Recovering a PIM from existing code is more challenging but behaviors and expected outcomes related to LLMs when performing reverse engineering tasks are challenging. This pa- than forward modeling because the original domain intent per compares the performance of various LLMs on a reverse is not explicitly represented. Reverse engineering must infer engineeringtaskrelatedtotherecoveryofabstractmodelsfrom abstractions that were never formally modeled and must dis- the source code. This comparison aims to identify the domain tinguish between domain-relevant concepts and purely tech- constructs represented through an intermediate representation nical constructs. Existing model-driven reverse engineering of the source code. Three LLMs, namely ChatGPT, Claude, and Meta AI, were assessed on the same input representation, with (MDRE) approaches rely heavily on static analysis artifacts, each LLM performing the task of recovering abstract models such as abstra</t>
  </si>
  <si>
    <t>Included: applies AI to reverse engineering/code-to-model extraction; applies AI within model-driven engineering context</t>
  </si>
  <si>
    <t>A Digital Twin Modeling Code Generation Framework based on Large Language Model</t>
  </si>
  <si>
    <t>School of Automation Science and Electrical Engineering School of Automation Science and Electrical Engineering</t>
  </si>
  <si>
    <t>https://doi.org/10.1109/IECON55916.2024.10905976</t>
  </si>
  <si>
    <t>Digital twin has made significant achievements in implementationstepsofdigitaltwintechnology[3].However, applications across various fields by bridging the gap between the process of digital twin modeling faces some challenges virtualandphysicalworld.However,themodelingofdigitaltwin summarized as follows. faces challenges of labor-intensive and time-consuming manual modeling or coding. With the emergence of artificial intelligence (1) Manual labor-intensive modeling: Current modeling foundation models, the integration of large language models software offers a method of manual manipulation, allow- (LLMs) and digital twin may contribute to enhancing modeling ing users to create detailed models by drag-and-drop and efficiency significantly. Therefore, in this paper, a framework interactivemodeling.However,thisprocessisoftenlabor- of digital twin modeling code generation is proposed based on LLMs.Giveninstructionsinnaturallanguageprompts,modeling intensive and time-consuming. code in digital twin software will be generated from LLMs. (2) High level of expertise for coding: Alternatively, some Firstly,atreediagram-basedcodegenerationmethodisproposed software enables users to generate modeling scenes di- to generate main section of modeling code. Additionally, a rectlybycodinganddebugging.Whilethisapproachcan randomized code completion method is proposed to complete be more efficient, it requires a high level of expertise, missing parts which are unspecified or unclear in prompts. Finally,acasestudyisgiveninNVIDIAOmniverseforadigital making it difficult for newcomers to adopt. twin construction based on framework proposed in this paper. (3) HallucinationscausedbyAIGCmodels:Emergingtech- IndexTerms—digitaltwin,largelanguagemodel,modelingand nologies empowered by artificial intelligence generated simulation, code generation, AI foundation model content (AIGC) technologies, like text-to-3D, allow for the rapid generation of 3D models through generative</t>
  </si>
  <si>
    <t>Included: applies identifiable AI technique; supports model-to-code synthesis</t>
  </si>
  <si>
    <t>A Federated Adaptive Large Language Model Fine-Tuning Framework for Software Development</t>
  </si>
  <si>
    <t>https://doi.org/10.1109/TSC.2025.3623626</t>
  </si>
  <si>
    <t>Large Language Models (LLMs) have achieved re- stronger performance across a wide spectrum of NLP tasks, markableprogressincodeintelligencetasks,significantlyenhanc- includingmachinetranslationandquestionanswering[2],[3]. ingtheefficiencyofsoftwaredevelopment.However,severalchal- Recognizing that source code possesses structural and seman- lengesremain.First,fine-tuningLLMsforspecifictasksrequires tic characteristics analogous to natural language, researchers alargeamountoftask-specificlabeleddata,whichisoftencostly and time-consuming to acquire. Second, due to the sensitivity of haveextendedLLMstocode-relatedapplications,suchascode code data, high-quality internal datasets from different organi- generation,summarization,andtranslation[4].Theemergence zations cannot be directly shared or combined for fine-tuning. of code-oriented LLMs has further accelerated the paradigm Moreover, variations in programming languages across organi- shift toward Software 3.0, an era in which AI models can zationscanintroduceinterferenceduringthefine-tuningprocess. autonomouslyassist—orevenlead—softwareengineeringpro- Toaddressthesechallenges,weproposeF-CodeLLM,afederated adaptive large language model fine-tuning framework designed cesses[5].Despitetheimpressivezero-shotandfew-shotgen- forreal-worldsoftwaredevelopmentscenarios.Tothebestofour eralization capabilities of general-purpose LLMs, their perfor- knowledge,thisisthefirstapproachtoapplyfederatedlearningto mance often lags behind task-specific fine-tuned models [6]. thefine-tuningofcodeLLMs,enablingcollaborativemodelopti- For example, models such as CodeX tend to underperform mizationwhilepreservingtheprivacyofeachorganization’scode on domain-specific programming languages like SQL, which data.WedesignanefficientLLMfine-tuningmethodtomitigate the computational and communication overhead associated with contains multiple dialects that general LLMs are typically not collaborative fine-tuning. Experimental results demonstrate that t</t>
  </si>
  <si>
    <t>Exclude</t>
  </si>
  <si>
    <t>Excluded: Discusses AI for code/software tasks but does not address software model engineering (no UML, BPMN, DSL, metamodel, or model transformation involved)</t>
  </si>
  <si>
    <t>A Generic Metamodel for Cognitive-Affective Training of Users Using Serious Games</t>
  </si>
  <si>
    <t>GIDITIC, Universidad EAFIT GIDITIC, Universidad EAFIT GIDITIC, Universidad EAFIT, Colombia</t>
  </si>
  <si>
    <t>https://doi.org/10.1109/CLEI60451.2023.10346132</t>
  </si>
  <si>
    <t>Model-Driven Engineering can play a crucial emotions [7], [8]. This definition of the metamodel allows role in developing serious training games. Model-Driven its instantiation. Besides, it is an advance regarding the Engineering benefits the creation of serious games by offering automatic code generation using each component of the a structured software modeling approach, resulting in cognitive-affective metamodel. enhanced productivity, quality, and maintainability of the The main objective of our research is to define and game software. These models can then be used to validate the cognitive-affective metamodel using a automatically generate code and other artifacts, significantly modeling tool. To formalize the metamodel, we conducted reducing development time and improving efficiency. We propose a metamodel that describes users' cognitive and several activities, including designing the model in Eclipse affective dimensions during a serious game, utilizing a set of Modeling Framework (EMF), defining semantics and classes that define the relationships between them based on a creating instances. To validate our metamodel, we use theoretical framework of cognitive functions and emotions. examples. We employed the Eclipse Modeling Framework to transform This work uses documentary research to explore the a primary model of the problem domain into a metamodel. metamodeling tools for automatic code generation. First, We then combine the cognitive and affective dimensions of the we conduct a descriptive analysis to compare model and formalize it into a generic metamodel for cognitive- metamodeling frameworks and select an MDE tool for affective training of users using serious games. Finally, we designing the cognitive-affective metamodel. We then use illustrate our approach with an example of instantiation of the model metamodel. We concluded with the importance of the MDE tool to design and validate the metamodel and Model-Driven Engineering in serious game development</t>
  </si>
  <si>
    <t>Included: addresses software/systems modelling; supports model-to-code synthesis</t>
  </si>
  <si>
    <t>A Metamodel for a DSL to Design Decision Support Systems in Smart Tourism</t>
  </si>
  <si>
    <t>Charaf Ouaddi, Lamya Benaddi, Adnane Souha, Lahbib Naimi, El mahi Bouziane and Abdeslam Jakimi∥</t>
  </si>
  <si>
    <t>https://doi.org/10.1109/DASA63652.2024.10836366</t>
  </si>
  <si>
    <t>ThedevelopmentofDecisionSupportSystems(DSS) Tourism, where decisions need to be made quickly based on for several companies operating in sectors such as tourism, real-time data. healthcare, or others, presents significant challenges due to the One solution to simplify and speed up the development of nature of their multi-component architecture. A typical DSS DSS is the use of Domain-Specific Languages (DSLs). DSLs consists of a data component, a model component incorporating machine learning and deep learning techniques, and a user arespecializedlanguagesdesignedforaspecificfield.InDSS interfacecomponent,eachonerequiresdiversetechnologies.This development,theycanbeusedtocreatemodelsandtemplates, complexity increases development time and effort, hindering the and automatically generate parts of the system’s code. By efficient design of DSS tailored to specific domains like tourism, using DSLs, developers can reduce the effort needed to build where real-time decision-making is essential. One promising ap- a DSS and make the process faster and more efficient. proachtoovercomethesechallengesistheuseofDomain-Specific Languages(DSLs).DSLsallowdeveloperstomodelandgenerate Several studies have proposed DSLs to simplify the de- code more efficiently by providing high-level abstractions suited velopment of applications such as mobile apps [6], websites to the domain. By leveraging DSLs, it is possible to simplify the [7], and chatbots [8]–[11]. These DSLs have been built using design process and automate the generation of code or parts metamodels and Frameworks like EMF (Eclipse Modeling of the DSS, thereby reducing the overall complexity and time Framework) which is widely used to create and edit the required for development. This paper proposes a metamodel for designing DSS, specifically for the Smart Tourism sector. The metamodel of a DSL. metamodel serves as a foundation for the creation of DSL. The The aim of this work is to propose a metamodel for de- goalistoprovideaso</t>
  </si>
  <si>
    <t>Included: addresses metamodel engineering with AI; applies AI to domain-specific language/model engineering</t>
  </si>
  <si>
    <t>A Review of Screenshot-to-Code Generation Systems</t>
  </si>
  <si>
    <t>Software Engineer, PayPal, USA VP Technology &amp; Consulting, Rocket, USA</t>
  </si>
  <si>
    <t>Proceedings of the 5th International Conference on Communication, Computing and Electronics Systems (ICCCES-2026)</t>
  </si>
  <si>
    <t>The conversion of screenshots into source code is very than other development jobs. Moreover, the user interface important phase in the automation of user interface consumes 50% of the development time, while it accounts for development. There are artificial-based tools which can 48% of the code for the software on average [4]. understand images and further convert them into executable source code. These system’s performance is further improved In software development, screenshot to code creation with the incorporation of generative artificial intelligence. These becomes more and more crucial, particularly with the generative artificial intelligence-based systems achieve high application of artificial intelligence (AI) and machine accuracy in converting sketches into source code. Further these learning (ML) [5]. Iterative prototyping is used in the design systems are helpful for developers, otherwise it was time consuming and costly to convert images into source code and of GUIs, beginning with the creative method of creating developers often distracted from focusing on logic and drawings, which are basic handmade representations. It is a functionality. This review paper presents the existing studies useful pictorial method for quickly, easily, and affordably which generate source code from sketches using artificial communicating ideas, discussing them, and comparing intelligence and machine learning. In this paper, several studies various options. In the screenshot to code generation process, are evaluated and compared based on different parameters. Sketches are used to develop wireframes, which specify the Their strengths and weaknesses are also discussed in this paper. order of appearance and depict the framework and This review paper will help the researchers and authors working arrangement of the user interface, excluding any graphical in this area to further improve GUI design process and in elements like colors or pictures [6-8]. The design of the development</t>
  </si>
  <si>
    <t>A Survey of Domain-Specific Fine-Tuned Large Language Models</t>
  </si>
  <si>
    <t>MobileInnovationsCorporation,NiagaraFalls,ONLGM,Canada</t>
  </si>
  <si>
    <t>https://doi.org/10.1109/ACCESS.2026.3658096</t>
  </si>
  <si>
    <t>The advancement of large language models (LLMs), such as GPT-3, BERT, and Llama, has introduced a new era in natural language processing (NLP) as they have demonstrated exceptional capabilitiesacrossdiversetasks.Fine-tuningtheseLLMswithdomain-specificdatahasbecomeapopular practice,particularlyindomainslikeeducation,law,medicine,andsoftwaredevelopment.Thisprocessnot onlyempowersLLMswithdomainknowledgebutalsoenhancestheircapabilitiesbyaddressingissuessuch asreliabilityandreducingthechanceofhallucination.Thissurveyexaminesarangeofdomain-specificfine- tunedmodelsbyhighlightingtheiruniquecharacteristics,enhancementsinperformance,andthechallenges theyaddress,includingthedemandforextensivecomputationalresources.Furthermore,weexplorethefine- tuningmethodologies,includinginstructiontuningusedinthedevelopmentofthesemodels,andultimately, inform future research on the existing gaps and how to enhance the effective application of LLMs across diversedomains. INDEXTERMS Fine-tuning,fine-tunedlargelanguagemodels,largelanguagemodels,LLM.</t>
  </si>
  <si>
    <t>Accurate and Consistent Graph Model Generation from Text with Large Language Models</t>
  </si>
  <si>
    <t>Accurate and Consistent Graph Model Generation</t>
  </si>
  <si>
    <t>https://doi.org/10.1109/MODELS67397.2025.00018</t>
  </si>
  <si>
    <t>Graphmodelgenerationfromnaturallanguagede- prioritizes generating models that accurately reflect such tex- scriptionisanimportanttaskwithmanyapplicationsinsoftware tualdescription,ignoringanyconstraints.Althoughsyntactical engineering. With the rise of large language models (LLMs), correctness is typically addressed in both cases, ensuring there is a growing interest in using LLMs for graph model bothaccuracyandconsistencyiscriticalforeffectivelyutiliz- generation. Nevertheless, LLM-based graph model generation typicallyproducespartiallycorrectmodelsthatsufferfromthree ing generated models in subsequent model-driven automation main issues: (1) syntax violations: the generated model may not processes, such as code generation [12] and model-based adhere to the syntax defined by its metamodel, (2) constraint testing [13]. Therefore, jointly considering both the accuracy inconsistencies: the structure of the model might not conform and consistency of models generated by LLMs is essential. to some domain-specific constraints, and (3) inaccuracy: due Problemstatement.DuetotheintrinsiclimitationsofLLMs, to the inherent uncertainty in LLMs, the models can include inaccurate, hallucinated elements. While the first issue is often the models they generate are typically partially correct and addressed through techniques such as constraint decoding or may exhibit issues in all three aspects: (1) syntax: the filtering, the latter two remain largely unaddressed. Motivated textual representation of the model may violate the syntax by recent self-consistency approaches in LLMs, we propose specified by the metamodel; (2) consistency: the structure a novel abstraction-concretization framework that enhances the of the graph model may conflict with domain-specific well- consistencyandqualityofgeneratedgraphmodelsbyconsidering multipleoutputsfromanLLM.Ourapproachfirstconstructsa formedness constraints [11]; and (3) quality: the generated probabilisticpartialmodelthataggregatesallcandidat</t>
  </si>
  <si>
    <t>Included: applies AI to model generation; addresses metamodel engineering with AI; applies AI within model-driven engineering context</t>
  </si>
  <si>
    <t>Aligning Crowd-Sourced Human Feedback for Reinforcement Learning on Code Generation by Large Language Models</t>
  </si>
  <si>
    <t>4104 IEEETRANSACTIONSONBIGDATA,VOL.XX,NO.X,NOVEMBER2023 1</t>
  </si>
  <si>
    <t>https://doi.org/10.1109/TBDATA.2024.3524104</t>
  </si>
  <si>
    <t>This paper studies how AI-assisted programming program compared to how experienced programmers analyze and large language models (LLM) improve software developers’ acodesnippetonalgorithms?Withthegrowingavailabilityof ability via AI tools (LLM agents) like Github Copilot and extensive data, a key question arises: How can we effectively Amazon CodeWhisperer, while integrating human feedback to leverage unsupervised machine learning in combination with enhance reinforcement learning (RLHF) with crowd-sourced computationtoenhancetext-to-codegeneration.Additionally,we the naturalness hypothesis, while integrating human feedback demonstratethatourBayesianoptimizationframeworksupports through human-in-the-loop computation, to enhance and eval- AI alignment in code generation by distributing the feedback uate LLMs and LLM agents? collection burden, highlighting the value of collecting human Human-in-the-loop computation has the potential to greatly feedbackofgoodquality.Ourempiricalevaluationsdemonstrate improvethereadability,reliability,andtestabilityofgenerated the efficacy of this approach, showcasing how LLM agents can be effectively trained for improved text-to-code generation. Our code,whileeffectivelyaddressingAIalignmentissuesincode Bayesian optimization framework can be designed for general generation [15], [16], [17], [18]. The AI alignment challenge domain-specific languages, promoting the alignment of large inLLM-basedcodegenerationinvolvesensuringthatthegen- language model capabilities with human feedback in AI-assisted erated code meets requirements and is executable. LLMs may programming for code generation. prioritizefluencyoveraccuracy,producingcodethatcompiles</t>
  </si>
  <si>
    <t>Included: applies AI to model transformation; applies AI to domain-specific language/model engineering</t>
  </si>
  <si>
    <t>AskIt Unified Programming Interface for Programming with Large Language Models</t>
  </si>
  <si>
    <t>Amagasaki, Japan</t>
  </si>
  <si>
    <t>https://doi.org/10.1109/CGO57630.2024.10444830</t>
  </si>
  <si>
    <t>Large Language Models (LLMs) exhibit a unique The rise of these emergent abilities holds significant im- phenomenonknownasemergentabilities,demonstratingadeptness plications for software development, potentially altering the across numerous tasks, from text summarization to code genera- very methods by which software is crafted. Developers can tion. While these abilities open up novel avenues in software incorporate LLMs within applications to handle tasks such as design and crafting, their incorporation presents substantial challenges. Developers face decisions regarding the use of LLMs questionanswering,textsummarization,orlanguagetranslation. for directly performing tasks within applications as well as Another application of LLMs is in code generation. Tools like for generating and executing code to accomplish these tasks. Jigsaw [13] and Codex/Copilot [8] harness LLMs to convert Moreover, effective prompt design becomes a critical concern, natural language descriptions into code. Even without these given the necessity of extracting data from natural language specific tools, developers can leverage LLM-based chatbots, outputs. To address these complexities, this paper introduces AskIt, a domain-specific language (DSL) specifically designed for like ChatGPT based on GPT-4 [14], BingAI, and Bard, for the LLMs. AskIt simplifies LLM integration by providing a unified same purpose. interface that not only allows for direct task execution using However, integrating LLMs into software development is LLMs but also supports the entire cycle of code generation and not without challenges. One primary decision developers face execution. This dual capability is achieved through (1) type- is whether to embed the LLM directly into the application or guided output control, (2) template-based function definitions, and (3) prompt generation for both usage modes. Our evalua- employ it for code generation. The distinction between these tions underscore AskIt’s effectiveness. Across</t>
  </si>
  <si>
    <t>Included: applies AI to domain-specific language/model engineering</t>
  </si>
  <si>
    <t>Augmenting the Generality and Performance of Large Language Models for Software Engineering</t>
  </si>
  <si>
    <t>Augmenting the Generality and Performance of</t>
  </si>
  <si>
    <t>2025 IEEE/ACM 47th International Conference on Software Engineering: Companion Proceedings (ICSE-Companion)</t>
  </si>
  <si>
    <t>https://doi.org/10.1109/ICSE-Companion66252.2025.00059</t>
  </si>
  <si>
    <t>Large Language Models (LLMs) are revolutioniz- researchers have also been concerned with building and eval- ing software engineering (SE), with special emphasis on code uatingLLMsacrossabroaderrangeofSEtasks,ashighlighted generation and analysis. However, their applications to broader in recent surveys [13]–[15]. Despite the variety of datasets, SEpracticesincludingconceptualization,design,andothernon- networkarchitectures,modelsizes,prompting,andfine-tuning code tasks, remain partially underexplored. This research aims to augment the generality and performance of LLMs for SE by techniques documented in these surveys, there is a high (1) advancing the understanding of how LLMs with different imbalancetowardcoding-relatedtasks.Furthermore,thereare characteristicsperformonvariousnon-codetasks,(2)evaluating no works focused on evaluating the foundational knowledge themassourcesoffoundationalknowledgeinSE,and(3)effec- (i.e., factual and conceptual knowledge [16]) of LLMs in SE. tively detecting hallucinations on SE statements. The expected Building on the ideas presented in [17], [18] regarding the contributions include a variety of LLMs trained and evaluated on domain-specific datasets, new benchmarks on foundational level of applicability that LLMs can potentially achieve, to knowledgeinSE,andmethodsfordetectinghallucinations.Initial effectively support SE practitioners in real-world scenarios, results in terms of performance improvements on various non- a certain level of generality (i.e., range of supported tasks) code tasks are promising. andperformancearerequired.Tosatisfythisdualneed,tothe</t>
  </si>
  <si>
    <t>Automated Business Process Model Generation with Large Language Models A Systematic Literature Review</t>
  </si>
  <si>
    <t>recently attracted growing attention at the intersection of Business Process Management (BPM), Natural</t>
  </si>
  <si>
    <t>IEEE Access. This is the author's version which has not been fully edited and</t>
  </si>
  <si>
    <t>https://doi.org/10.1109/ACCESS.2026.3723936</t>
  </si>
  <si>
    <t>Theautomatedgenerationofbusinessprocessmodelsfromnaturallanguagedescriptionshas recently attracted growing attention at the intersection of Business Process Management (BPM), Natural Language Processing (NLP), and Large Language Models (LLMs). This paper presents a Systematic Literature Review (SLR) on the current state of research in this emerging field. Following the guidelines of Kitchenham et al. and the PRISMA framework, 29 studies published between January 1st, 2023 and March10th,2026wereidentified,selected,andanalyzed. Thereviewaddressestworesearchquestionsfocusingontheappliedmethodologicalapproaches,theused LLMs, the employed modeling languages, as well as the evaluation strategies, challenges, and limitations reportedintheliterature.TheresultsshowaclearshiftfromtraditionalNLP-basedtechniquestowardLLM- onlyandhybridapproaches.OpenAI’sGPTfamily,especiallyGPT-4anditsvariants,dominatesthefield, while BPMN is by far the most frequently used target process modeling language. Furthermore, existing studies evaluate automated process model generation primarily through output-focused methods, such as quantitativemetrics,expertreviews,andcomparisonswithalternativeorhuman-createdprocessmodels. Atthesametime,thereviewedstudiesrevealimportantchallenges,includingthecontinuedneedforhuman involvementandtheoutputquality.Overall,currentapproachesshowstrongpotential,buttheystillactmore asintelligentassistantsthanasfullyautonomousprocessmodelers.</t>
  </si>
  <si>
    <t>Included: applies AI to model generation; applies AI to BPMN/process model engineering</t>
  </si>
  <si>
    <t>Automated Classification of Metamodel Repositories A Machine Learning Approach</t>
  </si>
  <si>
    <t>Phuong T. Nguyen, Juri Di Rocco, Ludovico Iovino</t>
  </si>
  <si>
    <t>https://doi.org/10.1109/MODELS.2019.00011</t>
  </si>
  <si>
    <t>Manualclassificationmethodsofmetamodelreposi- strictly depends on the chosen similarity measure. Structural toriesrequirehighlytrainedpersonnelandtheresultsareusually similarities, which generally offer better accuracy, have poorer influencedbythesubjectivityofhumanperception.Therefore,au- performancewhencomparedwithtraditionallexicaltechniques, tomatedmetamodelclassificationisverydesirableandstringent. including cosine similarity [7] and dice coefficient [19] that in Inthiswork,MachineLearningtechniqueshavebeenemployed for metamodel automated classification. In particular, a tool contrast have limited accuracy [5]. implementing a feed-forward neural network is introduced to Machine Learning (ML) algorithms attempt to simulate classify metamodels. An experimental evaluation over a dataset humans’ learning activities, aiming to acquire real-world of 555 metamodels demonstrates that the technique permits to knowledge autonomously [41]. In this way, ML systems learn from manually classified data and effectively categorize are capable of generalizing from concrete examples, without incomingunlabeleddatawithaconsiderablyhighpredictionrate: thebestperformancecomprehends95.40%assuccessrate,0.945 needing to be manually programmed [21]. Thanks to this as precision, 0.938 as recall, and 0.942 as F1 score. characteristic, ML algorithms find their applications in various domains, including web search by learning from a user’s long-</t>
  </si>
  <si>
    <t>Included: addresses metamodel engineering with AI</t>
  </si>
  <si>
    <t>Automating Code Generation for MDE using Machine Learning</t>
  </si>
  <si>
    <t>King’s College London, Strand,</t>
  </si>
  <si>
    <t>2023 IEEE/ACM 45th International Conference on Software Engineering: Companion Proceedings (ICSE-Companion)</t>
  </si>
  <si>
    <t>https://doi.org/10.1109/ICSE-Companion58688.2023.00060</t>
  </si>
  <si>
    <t>The overall aim of our research is to improve the quality conditions, such as low complexity and redundancy, techniquesforsynthesizingcodegeneratorsintheModel-Driven high efficiency, etc. Engineering(MDE)context.Codegenerationisoneofthemain We aim to address this problem by automating the pro- elementsofModel-DrivenEngineering,involvingtransformation duction of code generators from examples, by using AI from specification models to produce executable code. A code generatorisdesignedtoreducethemanualprogramconstruction techniques, particularly symbolic machine learning (ML). work used to implement a software system, but building a code generator itself still currently needs much manual effort. II. RESEARCHHYPOTHESIS Meanwhile, existing code generators are typically not flexible to Our research hypothesis is that symbolic machine learning adjust for changing development requirements and are hard to canbeusedtolearncodegeneratorrulesfromexamples,ina reuse for different target languages. Therefore,weaimtoprovidetechniquestoimprovetheprocess way that enables the effective creation of code generators. of building code generators, and let them be more reusable. Currently, we researched the related new and traditional ap- III. STATEOFTHEART proachesforgeneratingcodeandprojectsusingAIforprogram Related work includes the mainstream MDE code gener- translation, code completion or program generation. Based on ation techniques of model-to-text, model-to-model and text- thisresearchwedecidedtofocusonasymbolicmachinelearning methodrelatedtotheprogramming-by-exampleconcepttobuild to-text transformation approaches, and more novel AI-based code generators. We use this “Code Generation By Example” program translation and code completion approaches. (CGBE) concept with tree-to-tree structure mappings as the information format. CGBE has good performance in terms of A. MDE Approaches trainingdatasetsizeandtimewhenappliedtolearningaUML- Model-to-Model (M2M) code generation approaches use</t>
  </si>
  <si>
    <t>Included: applies AI to UML/software model artefacts; applies AI within model-driven engineering context</t>
  </si>
  <si>
    <t>Automating Feature Requests for User-Driven Model Evolution at Runtime</t>
  </si>
  <si>
    <t>Dresden, Germany</t>
  </si>
  <si>
    <t>IEEE International Conference on Model Driven Engineering Languages and Systems Companion (MODELS-C)</t>
  </si>
  <si>
    <t>https://doi.org/10.1109/MODELS-C59198.2023.00149</t>
  </si>
  <si>
    <t>As software projects progress, requirements can isimplementedbythedevelopmentteamandbecomespartof change and diverge between individual users. This happens in thenextrelease.Thisincrementalevolutionprocessisthestate particularinconsumersoftware.Subsequently,themaintenance of the art in software development. Because this process is ofsuchsoftwarebecomesacomplexandresource-intensivetask. complexandinvolvesdifferentpeople,errorscanhappenalong However, system parts can be modified and individualized at runtime if domain-specific evolution and configuration tasks the way. A request can be forgotten, ambiguously described, are transferred to the user. This reduces development efforts andthusfalselyrejectedormisunderstood.Theoverallprocess andcontributestosustainableandlong-livingsoftwareproducts may also take too long to deliver the feature in time. The calledeternalsoftware.Inmodel-drivenengineering,atargetfor workforce requirement and ineffective manual management this evolution is the domain’s metamodel. The adaptive object work make this process unsustainable. modelarchitecturestyleisaknownapproach,enablingvariable metamodelsatruntime.However,specifyingtransformationsfor Looking at the state of the art in research, system adaption evolving the metamodel can be challenging, particularly for and evolution at runtime became an established area over end-users. Editor-based solutions are complex to develop and the last two decades. This research involves different fields require multiple user interactions to achieve a desired change. and disciplines, such as Dynamic Software Product Lines [4], We propose a new approach based on textual feature requests the application of techniques from Model Driven Architec- from community-driven software development to address this issue.Wedefinealanguageforfeaturerequeststhattargetmodel ture at runtime [5]–[7], models@run.time [8], and Adaptive evolution.Wedefinethislanguageontopofformaldeltamodels. Object Models (AOM) [9], [10]. Conseq</t>
  </si>
  <si>
    <t>Included: addresses software/systems modelling</t>
  </si>
  <si>
    <t>BPMN-LLM Transforming BPMN Models Into Smart Contracts Using Large Language Models</t>
  </si>
  <si>
    <t>2025 IEEE. All rights reserved,</t>
  </si>
  <si>
    <t>https://doi.org/10.1109/MS.2025.3553293</t>
  </si>
  <si>
    <t>Included: applies AI to BPMN/process model engineering</t>
  </si>
  <si>
    <t>Creating and Migrating Chatbots with Conga</t>
  </si>
  <si>
    <t>Creating and Migrating Chatbots with C</t>
  </si>
  <si>
    <t>2021 IEEE/ACM 43rd International Conference on Software Engineering: Companion Proceedings (ICSE-Companion)</t>
  </si>
  <si>
    <t>https://doi.org/10.1109/ICSE-Companion52605.2021.00030</t>
  </si>
  <si>
    <t>Chatbots are agents that enable the interaction of channels.Choosinganinadequatetoolmayleadtoincreased users and software by means of written or spoken natural effort [4], lower chatbot quality or project failure. languageconversation.Theiruseisgrowing,andmanycompanies • Challenge 2: How to design chatbots independently of the arestartingtooffertheirservicesviachatbots,e.g.,forbooking, particulartooltoenableearlyreasoningandanalysis,prior shopping or customer support. For this reason, many chatbot to the implementation? Chatbot development tools are very developmenttoolshaveemerged,whichmakeschoosingthemost appropriatetooldifficult.Moreover,thereishardlyanysupport diverse, ranging from low-level programming frameworks for migrating chatbots between tools. (like Rasa) to lowcode development platforms based on To alleviate these issues, we propose a model-driven engi- forms(likeDialogflow).Graspingthedesignbehindachat- neering solution that includes: (i) a domain-specific language bot implementation may be challenging due to accidental, to model chatbots independently of the development tool; (ii) a recommender that suggests the most suitable development technical details of the tools themselves. tool for the given chatbot requirements and model; (iii) code • Challenge 3: How to keep up with the rapidly evolving generatorsthatsynthesizethechatbotcodefortheselectedtool; ecosystem of chatbot tools? With a few exceptions [5], and(iv)parserstoextractchatbotmodelsoutofexistingchatbot most chatbot tools are closed, proprietary software with no implementations.OursolutionissupportedbyawebIDEcalled supportformigrationbetweentools,e.g.,tobenefitfromthe CONGAthatcanbeusedforbothchatbotcreationandmigration. A demo video is available at https://youtu.be/3sw1FDdZ7XY. pricing plans of a competitor. This leads to vendor lock-in.</t>
  </si>
  <si>
    <t>Included: addresses software/systems modelling; generates or transforms models</t>
  </si>
  <si>
    <t>Cross-Domain Deep Code Search with Meta Learning</t>
  </si>
  <si>
    <t>YitianChai,HongyuZhang,BeijunShen,XiaodongGu</t>
  </si>
  <si>
    <t>2022 IEEE/ACM 44th International Conference on Software Engineering (ICSE)</t>
  </si>
  <si>
    <t>https://doi.org/10.1145/3510003.3510125</t>
  </si>
  <si>
    <t>1 INTRODUCTION Recently,pre-trainedprogramminglanguagemodelssuchasCode- Recently,deepneuralnetworks(DNN)havebeenwidelyutilizedfor BERThavedemonstratedsubstantialgainsincodesearch.Despite codesearch[4,9,13,14,28,38].Unliketraditionalkeywordmatch- theirsuccess,theyrelyontheavailabilityoflargeamountsofpar- ingmethods[2,7,16,17,21,22],deepcodesearchmodelsemploy alleldatatofine-tunethesemanticmappingsbetweenqueriesand deepneuralnetworkstolearntherepresentationsofbothqueries code.Thisrestrictstheirpracticalityindomain-specificlanguages andcode,andmeasuretheirsimilaritiesthroughvectordistances. withrelativelyscarceandexpensivedata.Inthispaper,wepropose TheapplicationofDNNssignificantlyimprovestheunderstanding CDCS,anovelapproachfordomain-specificcodesearch.CDCS ofcodesemantics,therebyachievingsuperbperformanceincode employsatransferlearningframeworkwhereaninitialprogram searchtasks[9,13,18,40]. representationmodelispre-trainedonalargecorpusofcommon Amajorchallengefordeepcodesearchistheadaptationofdeep programminglanguages(suchasJavaandPython),andisfurther learningmodelstodomain-specificlanguages.State-of-the-artcode adaptedtodomain-specificlanguagessuchasSolidityandSQL.Un- searchmethodsaremainlydesignedforcommonlanguagessuch likecross-languageCodeBERT,whichisdirectlyfine-tunedinthe asJavaandPython.Theyrelyheavilyontheavailabilityoflarge targetlanguage,CDCSadaptsafew-shotmeta-learningalgorithm paralleldatatolearnthesemanticmappingsbetweencodeand calledMAMLtolearnthegoodinitializationofmodelparameters, naturallanguage[11].Ontheotherhand,thereisanemerging whichcanbebestreusedinadomain-specificlanguage.Weevaluate trendofdomain-specificlanguagessuchasSolidityforsmartcon- theproposedapproachontwodomain-specificlanguages,namely tracts[37,39,44]wherecodesearchisalsoneeded.Thereisoften SolidityandSQL,withmodeltransferredfromtwowidelyused insufficienttrainingdatainspecificdomains,causingpoorfitof languages(PythonandJava).ExperimentalresultsshowthatCDCS deeplearningmodels.Furthermore</t>
  </si>
  <si>
    <t>Excluded: Generates code directly without using or producing a software model; does not address model generation, transformation, or validation</t>
  </si>
  <si>
    <t>Data Analytics and Machine Learning Methods Techniques and Tool for Model-Driven Engineering of Smart IoT Services</t>
  </si>
  <si>
    <t>Data Analytics and Machine Learning Methods,</t>
  </si>
  <si>
    <t>https://doi.org/10.1109/ICSE-Companion52605.2021.00130</t>
  </si>
  <si>
    <t>Thisdoctoraldissertationproposesanovelapproach their live-dimension (i.e., re-configuration, re-deployment, to enhance the development of smart services for the Internet live-update, live-enhancement and live-extension), and their of Things (IoT) and smart Cyber-Physical Systems (CPS). The self-dimension, referred to as Self-* capabilities (i.e., self- proposed approach offers abstraction and automation to the documenting, self-monitoring/diagnosis, self-optimizing, self- software engineering processes, as well as the Data Analytics (DA) and Machine Learning (ML) practices. This is realized healingandself-adapting/training)[3].Inaddition,theInternet in an integrated and seamless manner. We implement and is continuously expanding into a pervasive, global and col- validate the proposed approach by extending an open source laborative network of almost every entity/actor (i.e., object or modeling tool, called ThingML. ThingML is a domain-specific thing)surroundingus,includingahugenumberofsensorsand languageandmodelingtoolwithcodegenerationfortheIoT/CPS actuators in our smart environments, thus incorporating and domain.NeitherThingMLnoranyotherIoT/CPSmodelingtool supportsDA/MLatthemodelinglevel.Therefore,astheprimary integrating them into the IoT. Computing devices networked contribution of the doctoral dissertation, we add the necessary into the IoT are even much more heterogeneous, e.g., their syntaxandsemanticsconcerningDA/MLmethodsandtechniques power supplies/storages, processors, main memories and data tothemodelinglanguageofThingML.Moreover,wesupportthe storage capacities can have a very broad spectrum. Thus, APIsofseveralMLlibrariesandframeworksfortheautomated unprecedented challenges are faced by the designers and generation of the source code of the target software in Python andJava.Ourapproachenablesplatform-independent,aswellas developers of such systems [4]. platform-specificmodels.Further,weassistincarryingoutsemi- Prior research [3], [5] has proven that Mod</t>
  </si>
  <si>
    <t>Included: applies AI within model-driven engineering context</t>
  </si>
  <si>
    <t>Decomposing Semantic Loss in Model Transformations with Neural Embeddings</t>
  </si>
  <si>
    <t>https://doi.org/10.1109/ICECET65726.2026.11632676</t>
  </si>
  <si>
    <t>Model transformations between heterogeneous Existing techniques can detect semantic loss [2], [3]— metamodels inevitably lose semantic information, yet practi- for instance, through bisimulation or behavioral analysis—but tioners lack tools to diagnose why losses occur: is the tar- they stop at a binary verdict: either preservation holds, or get metamodel inherently unable to express certain source it does not. A practitioner who discovers that a significant constructs, or does the transformation implementation fail to exploit available equivalences? We address this diagnostic gap fraction of source semantics is lost after migration cannot byextendingthemegamodel—thearchitecturalmodelcapturing distinguish between two fundamentally different situations: metamodelrelationships—withquantitativeexpressivitymetrics. We formalize two orthogonal loss components: the Metamodel 1) Inherent metamodel limitation. The target lan- Expressivity Gap (MEG) and the Transformation Coverage Ratio guage cannot express certain source constructs. Java’s (TCR), and prove they decompose total semantic loss exactly. synchronizedblockshavenostructuralequivalentin To make MEG computable without manual expert analysis, Python’sAST.Noamountoftransformationengineering we propose encoding metamodel concepts as vectors via neural will recover this loss; the practitioner must design ex- sentencetransformersandcomputingcross-metamodelsimilarity automatically. A proof-of-concept evaluation on Java-to-Python plicit compensation mechanisms (e.g., wrapping critical AST metamodels demonstrates the feasibility of the approach. sections with threading.Lock).</t>
  </si>
  <si>
    <t>Included: applies AI to model transformation; addresses metamodel engineering with AI</t>
  </si>
  <si>
    <t>Diagram-Aware Automatic Review of Software Design Documents Using Multimodal Large Language Models</t>
  </si>
  <si>
    <t>Kawasaki, Japan Kawasaki, Japan</t>
  </si>
  <si>
    <t>2026 IEEE International Conference on Software Analysis, Evolution and Reengineering (SANER)</t>
  </si>
  <si>
    <t>https://doi.org/10.1109/SANER67736.2026.00108</t>
  </si>
  <si>
    <t>With the growing capabilities of Large Language Models (LLMs), their application to software engineering tasks has garnered increasing attention. While our previous work focusedonautomatedreviewofsoftwaredesigndocumentscom- posedoftextandtables,diagram-basedartifactssuchasUMLor screentransitiondiagramsremainedoutsidethescopeofanalysis. Reviewing such documents requires accurate interpretation of structural and semantic elements, including nodes, edges, and transition conditions. Thispaperproposesahybriddiagram-understandingmethod thatleveragesmultimodalLLMstogetherwithdiagramstructure extracted from Office Open XML (OOXML) representations, guided by Chain-of-Thought prompting, to incrementally in- Fig.1. IllustrationofMultimodalLLMUtilizationintheReviewProcess terpret diagrams in real-world design documents. The method enables integrated analysis across diagrams, tables, and textual content within the review process. Evaluation results show that graph-structured UML-style diagrams, including screen tran- theproposedapproachachieveshighaccuracyintasksinvolving sition diagrams and business process flows. These diagrams structural recognition, such as consistency checking. However, encode functional behavior, UI flow, and system structure in the results also highlight persistent challenges in semantic-level review tasks, particularly in interpreting complex transition graph-based formats, and thus must be interpreted accurately conditions. These findings provide insights into the current to support comprehensive review. capabilitiesandlimitationsofmultimodalLLMsforhigh-stakes While recent multimodal LLMs such as GPT-4V and GPT- design document reviews. 4o support image input, our initial experiments indicated IndexTerms—SoftwareDesignReview,LargeLanguageMod- thatrawimage-baseddiagramcomprehensionisofteninsuffi- els, Diagram Understanding cient for high-stakes review tasks. Complex diagrams require precise recognition of node labels, edge relationships, and</t>
  </si>
  <si>
    <t>Included: applies AI to model transformation; applies AI to UML/software model artefacts</t>
  </si>
  <si>
    <t>Digital Forensics Domain and Metamodeling Development Approaches</t>
  </si>
  <si>
    <t>College of Computer Science and College of Computer Science and College of Computer Science and</t>
  </si>
  <si>
    <t>https://doi.org/10.1109/ICSCEE50312.2021.9497935</t>
  </si>
  <si>
    <t>Metamodeling is used as a general technique for [14]. Therefore, semantic metamodeling language (high integrating and defining models from different domains. This abstract model) is required to organize, unify, and structure the technique can be used in diverse application domains, especially DFs domain knowledge in one standardized model. For this for purposes of standardization. Also, this process mainly has a purpose, the metamodeling approach is a proper method to focus on the identification of general concepts that exist in develop a sematic metamodeling language (metamodel) for the various problem domain and their relations and to solve DFs domain. Metamodeling is used as a general technique for complexity, interoperability, and heterogeneity aspects of integrating and defining models from different domains [15]. different domains. Several diverse metamodeling development Common concepts of these different views can be identified approaches have been proposed in the literature to develop and shared. The metamodeling technique consequently can be metamodels. Each metamodeling development process has some applied in quite different application domains, especially for advantages and disadvantages too. Therefore, the objective of standardization purposes. Metamodeling is simply the this paper is to provide a comprehensive review of existing identification of general concepts that exist in each problem metamodeling development approaches and conduct a domain and their relations. It is used to solve the complexity, comparative study among them-eventually selecting the best interoperability, and heterogeneity of the domain [16]. approach for metamodel development in the perspective of digital forensics. Metamodels should therefore be rigorously defined as well as being well-structured. The metamodel is a model about a</t>
  </si>
  <si>
    <t>Enhancing Model-Driven Reverse Engineering Using Machine Learning</t>
  </si>
  <si>
    <t>2024 IEEE/ACM 46th International Conference on Software Engineering: Companion Proceedings (ICSE-Companion)</t>
  </si>
  <si>
    <t>https://doi.org/10.1145/3639478.3639797</t>
  </si>
  <si>
    <t>differentlevelscanbeautomaticallytransformedintoeachother. Organizationsoftenrelyonlargeapplicationsthatareclassifiedas Reverseengineeringtechniquesforsoftwaresystemshavebeenex- legacysystemsduetotheirdependenceonoutdatedprogramming tensivelystudiedoverthepast20years,andnumerousapproaches, languagesorplatforms.Tomodernizethesesystems,itisnecessary includingthemodel-drivenapproach(MDRE)—-thesubjectofour tounderstandtheirarchitecture,functionality,andbusinessrules. study—-havebeenintroduced.Raibuletetal.[19]presentedacom- Ourresearchaimstodefineanovelmodel-drivenreverseengineer- prehensiveanalysisofMDREapproachesintheliterature,upto ing(MDRE)approachtoextractUnifiedModelingLanguage(UML) 2017.Throughasystematicliteraturereview(SLR),theauthors andObjectConstraintLanguage(OCL)representationsfromsource highlight15MDREapproachesanddiscusstheirvariousfeatures codeusingLargeLanguageModels(LLMs). andobjectives.WealsoconductedanSLRof938relevantpublica- tionsinthisdomainfrom2000to2023togainacomprehensive understandingofcurrentresearchinMDREapproaches.Wefound</t>
  </si>
  <si>
    <t>Included: applies AI to reverse engineering/code-to-model extraction; applies AI to UML/software model artefacts; applies AI within model-driven engineering context</t>
  </si>
  <si>
    <t>Evaluating Security and Quality of Banking Software Generated by Large Language Models</t>
  </si>
  <si>
    <t>Evaluating Security and Quality of Banking</t>
  </si>
  <si>
    <t>https://doi.org/10.1109/ASYU67174.2025.11208402</t>
  </si>
  <si>
    <t>Focus Session Hardware and Software Techniques for Accelerating Multimodal Foundation Models</t>
  </si>
  <si>
    <t>Focus Session: Hardware and Software Techniques</t>
  </si>
  <si>
    <t>https://doi.org/10.23919/DATE69613.2026.11539480</t>
  </si>
  <si>
    <t>This work presents a multi-layered methodology for Key Challenges in Accelerating Multimodal Foundation Models (MFMs) efficientlyacceleratingmultimodalfoundationmodels(MFMs).It Energy-efficient Cross-modal Domain-specific Security &amp; combineshardwareandsoftwareco-designoftransformerblocks Processing Integration &amp; Adaptation Reliability with an optimization pipeline that reduces computational and Alignment memoryrequirements.Duringmodeldevelopment,itemploysper- formance enhancements through fine-tuning for domain-specific adaptation. Our methodology further incorporates hardware and AI software techniques for optimizing MFMs. Specifically, it em- ploys MFM compression using hierarchy-aware mixed-precision (cid:131)Low power/energy quantization and structural pruning for transformer blocks and (cid:131)Low latency MLP channels. It also optimizes operations through speculative (cid:131)High throughput decoding, model cascading that routes queries through a small- to-large cascade and uses lightweight self-tests to determine when to escalate to larger models, as well as co-optimization of sequence length, visual resolution &amp; stride, and graph-level operator fusion. To efficiently execute the model, the processing dataflow is optimized based on the underlying hardware archi- tecture together with memory-efficient attention to meet on-chip bandwidth and latency budgets. To support this, a specialized hardwareacceleratorforthetransformerworkloadsisemployed, which can be developed through expert design or an LLM-aided designapproach.Wedemonstratetheeffectivenessoftheproposed methodologyonmedical-MFMsandoncodegenerationtasks,and conclude with extensions toward energy-efficient spiking-MFMs.</t>
  </si>
  <si>
    <t>Excluded: Editorial, preface, or tutorial without full technical results (does not present a framework, method, algorithm, tool, dataset, or empirical evaluation)</t>
  </si>
  <si>
    <t>From Conceptual Models to Knowledge Graphs A Generic Model Transformation Platform</t>
  </si>
  <si>
    <t>TU Wien, Business Informatics Group TU Wien, Business Informatics Group</t>
  </si>
  <si>
    <t>https://doi.org/10.1109/MODELS-C53483.2021.00093</t>
  </si>
  <si>
    <t>Semantic processing of conceptual models is a fo- and UML profile models). The CM2KG platform thus excels cus of research since several years, bridging the disciplines existing works on graph-based analysis of conceptual models of knowledge-based systems, conceptual modeling, and model- by being generic (i.e., modeling language and modeling tool driven software engineering. With the uptake of Knowledge independent), extensible (i.e., new language- and tool-specific Graphs, the research in this area gained further momentum. In this paper, we introduce a generic and extensible platform transformationscanbeeasilyrealized),andscalable(i.e.,even thatenablestheautomatedtransformationofconceptualmodels verylargeKnowledgeGraphscanbeefficientlyprocessed[4]). intoKnowledgeGraphs.Theplatformcantransformanymodel As a running example, we show the transformation of created by a state-of-the-art metamodeling platform (EMF and conceptualmodelsoftheUnifiedModelingLanguage(UML) ADOxx)intostandardizedKnowledgeGraphrepresentationslike into Knowledge Graphs represented in GraphML (i.e., the GraphML, RDF, and OWL. In the paper at hand, we introduce ourplatformandevaluateitwithacorpusof5.000UMLmodels knowledgebase).Toexemplifythevalueofthetransformation that we transform into Knowledge Graphs and subsequently – or more particularly the value of the Knowledge Graph in exemplifytherichfunctionalitiesenabledbythegraphstructure MDSE – we show how the graph structure enables efficient by an automated detection of UML model smells. reasoning by means of graph queries. This reasoning aims to</t>
  </si>
  <si>
    <t>Included: applies AI to model transformation; applies AI to model repair/refactoring; addresses metamodel engineering with AI; applies AI to UML/software model artefacts</t>
  </si>
  <si>
    <t>From Requirements to Models A Case Study of Large Language Models on Epidemiological Modeling</t>
  </si>
  <si>
    <t>Aaditya Karamchandani, Fatemeh Seyeddabbaghi, and Marios Fokaefs</t>
  </si>
  <si>
    <t>2025 IEEE International Conference on Collaborative Advances in Software and COmputiNg (CASCON)</t>
  </si>
  <si>
    <t>https://doi.org/10.1109/CASCON66301.2025.00082</t>
  </si>
  <si>
    <t>Epidemiologicalmodelingisacriticalstepinunder- applications in specialized modeling contexts. However, the standing and studying diseases. Although conventional modeling applicationofLLMstostructuredscientificmodelingdomains, techniques exist, such as compartmental or agentic models, particularly epidemiological modeling, remains largely unex- supporting tools are not necessarily standardized. Consequently, plored territory requiring systematic investigation. learning a new tool may take a significant amount of effort. In thiswork,weexploretheuseofLargeLanguageModels(LLMs) This paper addresses the fundamental question of whether as a means to quickly transition from requirements, in the form of graphical model representations and initial parameters, LLMs can effectively bridge the gap between conceptual to a software-aided modeling platform with simulation and epidemiological models and their formal computational rep- verificationcapabilities.Ourmethodologyemploysametamodel- resentations. We investigate the capability of modern LLMs based language specification for prompt engineering, combined to automatically generate structured epidemiological mod- with multimodal inputs comprising textual descriptions and els from natural language descriptions and visual diagrams, epidemiological diagrams. We evaluated LLM performance in three epidemiological models of varying complexity: a simple focusing specifically on the EpiMDE platform [3] and its SIR compartmental model, a COVID-19 pandemic model, and Seirmodel XML format. Our approach leverages the mul- an HIV transmission model. Initial results demonstrate the timodal capabilities of contemporary LLMs to process both potentialofLLMstosignificantlyreducemanualmodelingeffort textual specifications and epidemiological diagrams, poten- while maintaining accuracy in structural representation and tially revolutionizing the model development workflow for parameter extraction. The study provides insights into optimal input confi</t>
  </si>
  <si>
    <t>Included: addresses metamodel engineering with AI; applies AI within model-driven engineering context</t>
  </si>
  <si>
    <t>From Zero to Sixty at the Speed of RAG Improving YAML Recipe Generation via Retrieval</t>
  </si>
  <si>
    <t>2025 IEEE/ACM International Workshop on Large Language Models for Code (LLM4Code)</t>
  </si>
  <si>
    <t>https://doi.org/10.1109/LLM4Code66737.2025.00011</t>
  </si>
  <si>
    <t>LLMs have been shown to match or even exceed configuration and software lifecycle management tools (such the performance of specialized Deep Learning models on code as maven and jules) remains relatively understudied, despite generation tasks for general purpose imperative languages, such thesedeclarativelanguagesmakingupconsiderableportionsof as Python, Java, C++, and Rust. Conversely, there is only industrial codebases. To our knowledge, one of the few works limited work investigating whether such impressive out of the boxgeneralizationtransfersontolessubiquitousdomain-specific isthatbyIBMResearchandRedHat[4],whichevaluatesthe languages,whichareoftendeclarative,basedonXML,JSON,or ability of LLMs in generating Ansible YAML IT automation YAML. To bridge this gap, we explore the capabilities of LLMs playbooks. In a similar spirit, our work seeks to understand for composing code automation recipes without resorting to any the ability of LLMs to generate YAML recipes for the code form of task-specific finetuning. We experiment with two GPT refactoring automation framework OpenRewrite [5]. versions and CodeLlama-13b-Instruct, and in our experiments, we find that after extensive prompt engineering and chain-of- OpenRewrite is an open source framework for large-scale thought prompting, these models’ accuracy in recipe selection code refactoring automation to help with API migrations, does not go beyond ≈ 30%. For parameter filling of YAML vulnerability patches, and maintaining stylistic consistency. recipes, the accuracy of these models remains below ≈ 50%. Internally,itworksbymodifyingtheformatting-preservingse- However,bydecomposingthetaskintotwostages:denseretrieval mantictreerepresentationofthecode,whichisthenconverted and generative slot filling, and while still keeping our setup training-free,themodelsareabletoattainanaccuracyinarange back to code. Core code transformations are implemented by of ≈ 50% to ≈ 67% in recipe selection, and ≈ 60% to ≈ 76% the OpenRewrite</t>
  </si>
  <si>
    <t>Generating Software Architecture Description from Source Code using Reverse Engineering and Large Language Model</t>
  </si>
  <si>
    <t>Source Code using Reverse Engineering and Large</t>
  </si>
  <si>
    <t>https://doi.org/10.1109/MODELS-C68889.2025.00080</t>
  </si>
  <si>
    <t>Software Architecture Descriptions (SADs) are in- developers, each requiring a different level of abstraction. In dispensable for navigating the complexity of modern software this context, two views are especially critical: the static view, systems.Theyenablehigh-levelreasoning,guidedesigndecisions, typically presented as component diagrams, which describes and facilitate communication among diverse stakeholders. Yet structural elements and their relationships; and the behavioral in practice, SADs are frequently missing, outdated, or poorly alignedwiththesystem’sactualimplementation.Asaresult,de- view, often modeled through state machine diagrams, which velopersareforcedtoderivearchitecturalinsightsdirectlyfrom captures component dynamics and operational lifecycles. source code—a time-intensive task that increases mental effort, In practice, however, SADs are often missing, incomplete, slowsonboarding,andcontributestothegradualdegradationof or outdated [2]–[4]. Teams frequently rely on source code architectural clarity over a system’s lifetime. To address these as the sole reference point for understanding system struc- challenges, we propose an automated generation of SADs from source code by combining reverse engineering (RE) techniques ture and behavior. Yet, source code alone lacks architectural withLargeLanguageModel(LLM).Ourapproachrecoversboth abstraction and is not suited for stakeholder comprehension. static and behavioral views by extracting a comprehensive com- This gap leads to increased onboarding effort, reduced design ponentdiagram,filtersarchitecturallysignificantelements—core clarity, and a gradual erosion of system-level understanding, components—via prompt-guided LLM analysis, and generates especially in real-world and complex projects [4], [5]. state machine diagrams to model component behavior based on code logic. This dual-view representation offers a scalable and To mitigate this gap, reverse engineering (RE) [6] has maintainablealternativetom</t>
  </si>
  <si>
    <t>Included: applies AI to reverse engineering/code-to-model extraction</t>
  </si>
  <si>
    <t>Gotten A Model-Driven Solution to Engineer Domain-specific Metamorphic Testing Environments</t>
  </si>
  <si>
    <t>Madrid, Spain Madrid, Spain Madrid, Spain</t>
  </si>
  <si>
    <t>https://doi.org/10.1109/MODELS-C59198.2023.00021</t>
  </si>
  <si>
    <t>Testing is essential for assessing the correctness of are input test cases related as required by a given MR (e.g., software systems. Metamorphic testing (MT) is an approach x 1 =−x 2 in our example). especially suited when the system under test lacks oracles, Typically,MTenginesarecreatedmanually,whichincursa or they are expensive to compute. However, creating an MT high effort and often leads to ad-hoc solutions that are hardly environmentforaspecificdomain(e.g.,cloudsimulation,model transformation, machine learning) requires substantial effort. extensible. This is so as a full-fledged MT solution needs to To alleviate these difficulties, we present a model-driven tool provide support to encode the MRs, generate follow-up test that automates the construction of MT environments. Starting cases,executetheSuTwiththetestcasesthatsatisfytheinput fromameta-modelwiththedomainconcepts,andadescription partoftheMRs,andcheckwhethertheexecutionresultsfulfil of the domain execution environment, our tool produces an theoutputpartoftheMRs.However,MRsarefrequentlyhard- MT environment featuring comprehensive support for the MT process.Thisincludesthedefinitionofdomain-specificmetamor- codedwithintheMTsolution,whichisnotextensibleanddoes phic relations, their evaluation, detailed reporting of the testing not offer full support for the MT cycle [7]. results, andthe automatedsearch-based generationof follow-up To alleviate this problem, we propose GOTTEN, a model- test cases. This paper illustrates the tool on a case-study in the driven solution to engineer MT environments for specific domain of video streaming APIs. A video showcasing the tool is domains[7].TheapproachisbasedonaDSLtospecifyMRs, available at https://youtu.be/DeuIW6V4LaQ. IndexTerms—Metamorphictesting,Model-drivenengineering, andonrepresentingtheinputtestcasesasmodelsconformant Domain-specific languages, Video streaming APIs to a domain meta-model. GOTTEN provides full support for the MT cycle, including the automatic</t>
  </si>
  <si>
    <t>Included: applies AI to model transformation; addresses metamodel engineering with AI; applies AI to domain-specific language/model engineering; applies AI within model-driven engineering context</t>
  </si>
  <si>
    <t>Harnessing ChatGPT for Model Transformation in Software Architecture From UML State Diagrams to Rebeca Models for Formal Verification</t>
  </si>
  <si>
    <t>School of Innovation, Design and Engineering</t>
  </si>
  <si>
    <t>2025 IEEE 22nd International Conference on Software Architecture Companion (ICSA-C)</t>
  </si>
  <si>
    <t>https://doi.org/10.1109/ICSA-C65153.2025.00061</t>
  </si>
  <si>
    <t>Software architecture relies heavily on modeling Object Management Group (OMG), an established industry techniques to describe, analyze, and verify system designs. The standards organization [1] OMG standards such as Action Unified Modeling Language (UML) is widely recognized as Language for Foundational UML [2], Precise Semantics of both a de facto and de jure standard for modeling various UMLStateMachines[3],SemanticsofaFoundationalSubset types of systems. While UML has formalized semantics that enhance consistency and precision, it is not inherently designed for Executable UML Models [4], and Precise Semantics of formodelchecking. Rebeca,anactor-basedmodelinglanguage, UML Composite Structures [5], have significantly advanced is designed to enable formal verification of concurrent reactive the formalization of UML semantics. While the OMG stan- systems. Previous efforts to bridge UML and Rebeca through dards for UML provide formalized semantics that enhance model transformations have required combining multiple UML consistency and precision, they are not inherently designed diagramsandadeepunderstandingofRebeca,limitingpractical applicability. for model checking. Instead, they can serve as a foundation In this paper, we explore the potential of leveraging large forintegratingwithtoolsormethodologiesthatenableformal language models, specifically GPT-4, to automate the trans- verification,bridgingthegapbetweenhigh-levelUMLmodels formation of UML state diagrams into Rebeca models. Using andrigorousvalidationtechniques.Thisgapcreatesanoppor- a few-shot learning approach, we investigated the feasibility tunity to explore how model-driven techniques can enhance of this translation process. Initial results revealed that UML state diagrams alone were insufficient for generating accurate the usability and precision of UML for formal architectural Rebeca models. To address this limitation, we augmented the verification. diagramswithmetadata,enablingGPT-4toproducemodelsthat</t>
  </si>
  <si>
    <t>Included: applies AI to model transformation; applies AI to model validation; applies AI to UML/software model artefacts; applies AI within model-driven engineering context</t>
  </si>
  <si>
    <t>Integrating Model Transformation in Agent-Oriented Software Engineering</t>
  </si>
  <si>
    <t>Cuiyun Hu, Xinjun Mao and Hong Ning</t>
  </si>
  <si>
    <t>https://doi.org/10.1109/WI-IAT.2009.127</t>
  </si>
  <si>
    <t>To integrate model transformation technology in This paper proposes an approach to integrating model agent-oriented software engineering is helpful to improve the transformation technology in AOSE, in order to bridge the quality and efficiency of agent-based software development, gap between design and implementation. The idea is and therefore to make AOSE to be widely adopted by specified in an agent-oriented methodology ODAM [4], researchers and practitioners in software engineering which is based on organization metaphor and supporting community. This paper integrates model transformation complex adaptive MAS. The core of our work is to technology into an agent-oriented methodology ODAM that is investigate the model transformation algorithms. The rest based on organization metaphor and proposed for complex of this paper is structured as follows. Section 2 discusses adaptive systems. The model transformation consists of two the role of model transformations in ODAM. Section 3 steps: from platform-independent models to platform-specific introduces the model transformation algorithms in details. models, from platform-specific models to code. The transformation algorithms in each phase are designed. A Section 4 describes supported toolkits that implement the software tool that implements the algorithms has been algorithms. Conclusions are made in Section 5. developed as a part of agent-oriented supporting environment. II. MODELTRANSFORMATIONS IN ODAM</t>
  </si>
  <si>
    <t>Included: addresses software/systems modelling; transforms software models</t>
  </si>
  <si>
    <t>Java Code Generation Method Based on UML Class Diagrams and Large Language Model</t>
  </si>
  <si>
    <t>Diagrams and Large Language Model</t>
  </si>
  <si>
    <t>https://doi.org/10.1109/NNICE68970.2026.11465726</t>
  </si>
  <si>
    <t>We propose an automatic Java code generation A feasible alternative is to extract model information from method that integrates UML class diagrams with large language the XML files exported by UML tools and convert it into usable models. First, we employ DOM4J parsing and FreeMarker code. Yet these XML files typically contain redundant, tool- templates to transform complex, tool-exported UML XML into a specific, or overly detailed metadata. This noise increases unified and concise XML representation. We then construct parsing complexity and reduces the usability of raw XML as umltocode, a task-specific dataset of aligned UML XML and Java model input. To address this problem, we employ the DOM4J pairs, and fine-tune CodeLlama to perform direct UML-to-Java parsing library together with FreeMarker templates to convert generation. Finally, we evaluate generation quality using a the exported XML into a concise and task-friendly format. We structural consistency-oriented scoring strategy. Experimental then fine-tune the large language model CodeLlama to directly results indicate that fine-tuning substantially improves both code generate Java code from these normalized XML files. structure fidelity and semantic accuracy, enabling fast and reliable Empirically, this approach can improve both generation synthesis of high-quality Java source code from class diagram accuracy and structural completeness, particularly for complex specifications. diagrams involving interfaces, static elements, and abstract</t>
  </si>
  <si>
    <t>Included: applies AI to reverse engineering/code-to-model extraction; applies AI to UML/software model artefacts</t>
  </si>
  <si>
    <t>LLM-Driven Approach to Automated Sustainability of IoT Systems</t>
  </si>
  <si>
    <t>Niš, Serbia dragana.krstic@elfak.ni.ac.rs</t>
  </si>
  <si>
    <t>Due to huge number and heterogeneity of devices achieving system’s goals when it comes to the perceived within Internet of Things (IoT)-based architectures, scalability Quality of Service (QoS) from perspective of end-users. On and maintainability of such systems rise many challenges when the other side, various events that occur across different it comes to long-term sustainability, especially regarding phases of IoT system’s lifecycle, especially failures, scalability and maintainability aspects. In this paper, we explore anomalies, topology changes and performance drops, state-of-art Large Language Model (LLM)-based techniques as potentially introduce bottlenecks when it comes to overall well as Agentic AI approaches in order to automate these usage experience and functionality offered [1]. In such cases, aspects and reduce the cognitive load and need for human usually a set of maintenance-related actions has to be taken in intervention. As intermediary step for system representation, we order to reduce their negative impact. However, considering leverage Model-Driven Engineering (MDE) approach in order the underlying complexity of the infrastructure, such to ensure verifiability. As outcome, two case studies relying on operation could require high cognitive load and significant GPT-4o model are presented. amount of time, which might further affect system’s usability and even lead to catastrophic outcomes in case of sensitive</t>
  </si>
  <si>
    <t>LLM-Driven MDA Pipeline for Generating UML Class Diagrams and Code</t>
  </si>
  <si>
    <t>Class Diagrams and Code</t>
  </si>
  <si>
    <t>https://doi.org/10.1109/ACCESS.2025.3615828</t>
  </si>
  <si>
    <t>Thetransformationoftextualspecificationsintoformalsoftwaremodelsisamajorchallenge in software design automation. This study presents an integrated approach that combines the natural languageinterpretationcapabilitiesoftransformermodelswithexplicitconceptstructuringusingadomain specific language (DSL). This DSL, designed as a pivotal intermediate layer, ensures continuity between semanticextraction,UMLmodeling,andautomaticPythoncodegeneration.Byfollowingthemodel-driven architecture(MDA)paradigm,theproposedpipelinefollowsastructuredprogressionfromtexttomodelto codewhilemaintainingahighleveloftraceabilityandcontrollability.Theexperimentalevaluationconducted onadedicatedannotatedcorpusdemonstratestheaccuracyofthemodelsonUMLentitiesandhighlights theimportanceofDSLforvalidation,editing,andexploitationofresults.Thisapproachpavesthewayfor thedevelopmentofintelligentmodelingtoolsandstructuringofautomatedtransformationchains. INDEXTERMS Classdiagram,UML,MDA,DSL,LLMs,NLP,IOBannotation,sourcecode.</t>
  </si>
  <si>
    <t>Included: applies AI to UML/software model artefacts; applies AI to domain-specific language/model engineering; applies AI within model-driven engineering context</t>
  </si>
  <si>
    <t>Large Language Models Fine Tuning Code Generation</t>
  </si>
  <si>
    <t>Large Language Models, Fine Tuning, Code</t>
  </si>
  <si>
    <t>Automated software synthesis, text-to-code paper will discuss the problem of code generation and its (code-generation), can be an important aid to software historically most important approaches. Some of the solutions developers. Developments in this area have existed practically using language models are underlined and have received since the advent of computing. The new artificial intelligence considerable attention. From the programming languages, we methods, deep learning (DL), and one type of them, large highlight SQL, the language for managing relational language models (LLMs) emerged in the last decade, represent databases, since in the final part of the paper we present an a new opportunity for creating this type of application. We example of the development of a sql-generating system. survey the transformer technology that underlies the operation of language models. Present paper briefly reviews the topic of II. TRANSFORMERS AND LARGE LANGUAGE MODELS software synthesis and code generation, briefly mentioning the main trends. The document concludes with an empirical study A. Machine Learning demonstrating the described results, where the T5 language In the new millennium, one of the key drivers of IT model is fine-tuned to generate SQL queries. A fine-tuning set development is the increasing amount of information that can of a few thousand examples train T5 to produce quality queries. be captured by ubiquitous computing devices (internet, IoT, The economic principle of diminishing returns (Gossen I) mobile applications, etc.). The need to deal with data at applies, and it is not worth using too large a fine-tuning set. In unprecedented volumes and speeds has led R&amp;D and fact, it is the attractiveness of fine-tuning. businesspeople to create and apply new data processing technologies. Big Data is the umbrella term for these new</t>
  </si>
  <si>
    <t>Learning to Transform Evaluating LLMs on Model Transformation by Example</t>
  </si>
  <si>
    <t>Duy Dao, Alessio Bucaioni, Antonio Cicchetti</t>
  </si>
  <si>
    <t>https://doi.org/10.1109/MODELS-C68889.2025.00081</t>
  </si>
  <si>
    <t>Large language models have shown promising po- persist,particularlywhenaddressingless-exploredtransforma- tentialinreducingtheaccidentalcomplexityofmodel-drivenen- tionscenariosandensuringthecorrectnessandgeneralizability gineering,particularlyinautomatingmodeltransformationtasks. of the generated transformations [1]. However,existingresearchhasshownthatlargelanguagemodels Inthiscontext,ourresearchaimstoaddresstheselimitations oftenstrugglewithcorrectness,generalizability,andperformance by investigating the feasibility and effectiveness of leverag- incomplextransformationscenarios.Thispaperinvestigatesthe feasibilityofapplyinglargelanguagemodelswithintheparadigm ing LLMs within the paradigm of Model Transformation by of model transformation by example, an intuitive technique Example (MTBE). In MDE, MTBE is an intuitive approach thatderivestransformationlogicfromprototypicalsource-target that simplifies transformation tasks by allowing practitioners model pairs, thereby reducing cognitive load and bypassing the to derive transformation rules from a prototypical set of need for formal transformation specifications. interrelated source and target models, specified in a purely We empirically benchmark five LLMs, ChatGPT-4.5, DeepSeek V3, DeepHermes 3 LLaMA 3 8B, QwQ 32B, and declarative manner [5]. Our central intuition is that, when OlympicCoder 32B, across three transformation scenarios of applied in the context of LLMs, MTBE can facilitate the increasing complexity: RDBMS-to-UML, UML-to-Java, and definition of transformations by feeding concrete example SysML-to-AAS. Each scenario is evaluated under three con- pairs directly to the models. By alleviating cognitive load, figurations, varying the number of example pairs provided. In thisparadigmhasthepotentialtoenhancethecorrectnessand eachconfiguration,theLLMsaretaskedwithdirectlygenerating target models given source models, example pairs, and initial reliability of transformations generated by LLMs. mappingrules.Mode</t>
  </si>
  <si>
    <t>Included: applies AI to model transformation; applies AI to UML/software model artefacts; applies AI to SysML model engineering; applies AI within model-driven engineering context</t>
  </si>
  <si>
    <t>Leveraging Large Language Models for Event Storming in Domain-Driven Design A Controlled Experiment</t>
  </si>
  <si>
    <t>Lingli Cao, He Zhang, Shanshan Li,, Chenxing Zhong, Danyang Li, Ying Fan, Yi Zhang, Uwe Zdun</t>
  </si>
  <si>
    <t>2026 IEEE 23rd International Conference on Software Architecture (ICSA)</t>
  </si>
  <si>
    <t>https://doi.org/10.1109/ICSA66085.2026.00039</t>
  </si>
  <si>
    <t>EventStorming(ES),asthekeymodelingtechnique applicationsistobringtogetherdevelopersanddomainexperts within the Domain-Driven Design (DDD) methodology, provides toco-constructasharedunderstandingofthebusinessdomain, teams with a fast, visual approach that helps them deeply typically resulting in a comprehensive business flow model understand and explore complex business domains, thereby and helping practitioners quickly identify bounded contexts enablingmoreeffectivesoftwaresystemdesignanddevelopment. ComparedtotraditionalUMLmodelingtechniques,ESempha- and aggregates [3]. sizes collaborative exploration and rapid iteration. However, its However,theeffectivenessofESishighlydependentonthe effectiveness is highly dependent on the facilitation of domain facilitationbydomainexperts[4].Furthermore,ESmeetings, experts. Moreover, since ES sessions are typically conducted whicharetypicallyconductedusingphysicalordigitalwhite- using physical or digital whiteboards, they often incur high boards, often incur significant coordination costs, particularly coordinationcosts,especiallyindistributedorasynchronousen- vironments.WiththerecentadvancesinLargeLanguageModels indistributedorasynchronousenvironments.Recentadvances (LLMs), there is growing interest in leveraging their reasoning inLargeLanguageModels(LLMs)offerapromisingsolution and text generation capabilities to support software modeling to these challenges. LLMs excel at natural language process- tasks.Thispaperpresentsacontrolledexperimenttoinvestigate ing, enabling them to interpret requirements formulated in theeffectivenessofLLMsinfacilitatingESmodeling.Atotalof naturallanguageandassistindefiningimportantelementssuch 240postgraduateparticipants(60teams)wereassignedtothree conditions:manualES,LLM-assistedESwithbasicprompts,and as domain events. This capability can reduce the reliance on LLM-assistedESwithoptimizedprompts.Thegeneratedmodels domainexpertsandfacilitatetheefficientgenerationofinitial werequantitativelyevaluat</t>
  </si>
  <si>
    <t>Metamodel Matching Experiments and Comparison</t>
  </si>
  <si>
    <t>Denivaldo Lopes Slimane Hammoudi Jose´ de Souza and Alan Bontempo</t>
  </si>
  <si>
    <t>Recently, Model Driven Engineering (MDE) has SAMT4MDE)withothertoolsandapproachesinthedatabase beenproposedforsupportingthedevelopment,maintenanceand domain. evolutionofsoftwaresystems.ModelDrivenArchitecture(MDA), This paper is organized in the following way. In section II, SoftwareFactoriesandEclipseModelingFramework(EMF)are wediscussschemamatchinginthedatabasedomain.Insection representative MDE approaches. These MDE approaches have some concepts and techniques in common such as modeling, III, we present our approach to take into account metamodel metamodels and model transformation. However, other concepts matching. In section IV, we illustrate the application of our andtechniquesshouldbeenvisagedsuchasmetamodelmatching. approach and tool for mapping UML to C#. In section V, In this paper, we discuss some issues and provide some insights we present a comparison between our approach and other into metamodel matching. For this purpose, we use UML and approaches,providingtheirbenefitsandlimitations.Insection the C# platform to illustrate our approach and to evaluate our MappingToolforMDE(MT4MDE)andSemi-AutomaticMatch- VI,weconcludethispaper,presentingthefuturedirectionsof ingToolforMDE(SAMT4MDE).Afterwards,comparisonswith our research. other tools are presented. II. APPROACHESFORSCHEMAMATCHING</t>
  </si>
  <si>
    <t>Metamodeling and model transformations in modeling and simulation</t>
  </si>
  <si>
    <t>Systems Engineering Group, Faculty of Technology, Policy and Management</t>
  </si>
  <si>
    <t>Proceedings of the 2011 Winter Simulation Conference</t>
  </si>
  <si>
    <t>Metamodeling and model transformations are the key concepts in Model Driven Development (MDD) approaches as they provide a mechanism for automated development of well structured and maintainable systems. However, neither defining a metamodel nor developing a model transformation is an easy task. In this paper, we provide an overview of metamodeling and model transformations in MDD and discuss abouttheuseofaMDDapproachinModelingandSimulation(M&amp;S).Inordertosupportthedevelopment of successful model transformations, we define the criteria for the evaluation of model transformations. 1 INTRODUCTION In Model Driven Development (MDD), models are the primary artifacts of the development process and they represent the system on different levels of abstraction. A model is an abstract representation of a system defined in a modeling language, where a modeling language is a means of expressing systems in a formal and precise way by using diagrams, rules, symbols, signs, letters, numerals, etc.. Me</t>
  </si>
  <si>
    <t>Mitigating Hallucinations in SysML v2 Generation Using LLMs and a Tri-Layered Knowledge Graph Reasoning Framework</t>
  </si>
  <si>
    <t>Qualis, Richard A.</t>
  </si>
  <si>
    <t>https://doi.org/10.1109/MODELS-C68889.2025.00054</t>
  </si>
  <si>
    <t>Thispaperpresentsastructuredreasoningpipeline usability barriers hinder adoption [18]. Recent progress in thatintegratesLargeLanguageModels(LLMs)withatri-layered large language models (LLMs) such as GPT offers new knowledge graph (KG) framework to automate the generation potential for automating formal modeling. However, these of SysML v2 modeling artifacts from structured requirements. models are prone to hallucinations, outputs that appear valid TheapproachaddressesthepersistentchallengeofLLMhalluci- nations in digital and model-based systems engineering (MBSE) butaresemanticallyincorrectorcontextuallyunfounded[19], by grounding generative outputs in curated knowledge sources. [32]. Hallucination is especially problematic for engineering TwocoreKGsareconstructedusingacustomPython-basedRea- artifacts, where traceability and correctness are essential. soning Engine: one encodes reusable SysML patterns annotated While hallucinations in natural language and code gen- acrossninediagramtypes,andtheothercapturesdomain-specific eration are well-documented, their implications for formal system models (e.g., aerospace, automotive). A third, system- specific KG is automatically synthesized by parsing capability- modeling (e.g., SysML v2) remain underexplored. Our study linkedrequirementsandaligningthemwiththefoundationalKGs addresses this gap by introducing a structured reasoning and structured prompt templates. These KGs enable context- pipeline that combines LLMs with a tri-layered knowledge aware,hierarchicalsystemmodelgenerationandinformadual- graph (KG) architecture to reduce hallucinations and improve parameter prompting strategy: one set is auto injected post-KG semantic fidelity. constructiontopreservedomainintegrity,andanotherisderived through our Reasoning Engine over system data prior to LLM Two research questions drive this work: invocation. The resulting prompts are validated and refined to RQ-1: How does a tri-layered KG architecture-integrating produce accurat</t>
  </si>
  <si>
    <t>Included: applies AI to SysML model engineering</t>
  </si>
  <si>
    <t>Model-Driven Development Where Does the Code Come From</t>
  </si>
  <si>
    <t>Edmond, OK, USA Highland Heights, KY, USA Richardson, TX, USA</t>
  </si>
  <si>
    <t>IEEE International Conference on Semantic Computing</t>
  </si>
  <si>
    <t>https://doi.org/10.1109/ICSC.2011.76</t>
  </si>
  <si>
    <t>Model-driven development (MDD) drastically changes consistent with the software development. The design the traditional view of software modeling, which no longer serves documents gradually lose their values as the development merely as documentation that will be put aside at a certain point proceeds. This tendency also highlights other serious problems, during the development. Instead, MDD has made models an namely, maintenance and documentation problems. As the integral part of the development process. As a result, software design documents are always out of date, developers who did designers and developers can focus on high-level problem solving not participate in the initial development have a hard time to instead of low-level implementation details. However, the current understand the system through the available documents. research focus is on model transformations and overlooks the Therefore, it is also difficult for them to maintain the system importance of code generation, which includes the generation of well. infrastructural code (the static aspects of the system) and business code (the behavioral aspects of the system). In this MDD overcomes the aforementioned problem through two paper, we first analyze the root cause about why existing MDD key themes, namely, raising the level of abstraction of approaches are only good at generating the infrastructural code. specifications and raising the level of automation [14]. For Then, we propose a comprehensive approach that considers example, model-driven architecture (MDA) [17], the industry functional, dynamic, and object modeling. This approach is able standard for MDD defined by OMG, classifies models as to generate both infrastructural and business code. Finally, we platform independent models (PIM), platform specific models present a case study to evaluate the proposed approach. Through (PSM), and code. PIMs are used to construct high-level this case study, we identify some insights on automated code specif</t>
  </si>
  <si>
    <t>Included: addresses software/systems modelling; transforms software models; supports model-to-code synthesis</t>
  </si>
  <si>
    <t>Model-Driven Development of Web Application Backend Using Node.js Framework</t>
  </si>
  <si>
    <t>Bangkok, Thailand Bangkok, Thailand</t>
  </si>
  <si>
    <t>Model-Driven Development (MDD) has emerged as The Model-Driven Architecture (MDA) [4] is the OMG’s a promising software engineering paradigm that uses models as vision of MDD which is built on OMG standards including the the primary artifacts to support software development including Unified Modeling Language (UML) [5], UML Profile, and web application development. This paper presents a novel XML Metadata Interchange (XMI). MDA employs the application of the MDD principles for Node.JS backend transformation chain between models of different levels of development, focusing on both forward and reverse engineering abstraction: Computation-Independent Model (CIM) which is a processes. A UML Profile for Node.js, supporting both SQL and high-level model that describes the business context and NoSQL databases, is introduced for building design models of web requirements, Platform-Independent Model (PIM) which applications. Transformation engines are provided for model-to- describes the structure and behavior of the system independently code (M2C) and code-to-model (C2M) transformation. The of any technical platform, Platform-Specific Model (PSM) proposed approach was evaluated through three case studies. The which is a model that adds technical details to the PIM to map it forward engineering results demonstrated high model-to-code to a specific platform or technology stack, and Code Model transformation rates especially for Model (86.18-94.53%) and which is represented in a target programming language. The Route (70.73-90.52%), with consistent performance across SQL MDA concept of model-to-text transformation enables code (MySQL) and NoSQL (MongoDB) implementations. The reverse engineering results showed 100% correctness in code-to-model generation from PSMs, which can significantly reduce transformation for different implementations of backend code. development time despite requiring software engineers to This approach significantly reduces development time for code comp</t>
  </si>
  <si>
    <t>Included: addresses software/systems modelling; generates software models; transforms software models; reverse engineers models from code</t>
  </si>
  <si>
    <t>Model-Driven Fault Injection in Java Source Code</t>
  </si>
  <si>
    <t>Campinas, SP, Brazil Campinas, SP, Brazil Firenze, Italy</t>
  </si>
  <si>
    <t>2020 IEEE 31st International Symposium on Software Reliability Engineering (ISSRE)</t>
  </si>
  <si>
    <t>https://doi.org/10.1109/ISSRE5003.2020.00046</t>
  </si>
  <si>
    <t>The injection of software faults in source code Wheninjectingcodechanges,theartificialfaultsintroduced requiresaccurateknowledgeoftheprogramminglanguage,both inthesoftwareshouldberealistic,i.e.,similartotherealsoft- to craft faults and to identify injection locations. As such, ware bugs, and the criteria for the injection should depend on fault injection and code mutation tools are typically tailored the target system and on the purpose of the testing campaign for a specific language and have limited extensibility. In this [25]. Therefore, several authors have analyzed which are the paper we present a model-driven approach to craft and inject software faults in source code. While its concrete application is mostcommonfaultsintroducedbydevelopers,andthesupport presented for Java, the workflow we propose does not depend of automated tools that inject realistic faults has improved in on a specific programming language. Following Model-Driven recent years. While it would be useful to reuse existing tools Engineering principles, the faults and the criteria to select to create custom faults, or to alter some of the implemented injection locations are described using structured, machine- ones, this can be a hard task in practice [3]. In fact, to create readable specifications based on a domain-specific language. Then, automated transformations craft artifacts based on OCL new injectors for code-change faults, a strong knowledge of and Java, which represent the faults to be injected and are able the language and of its low-level artifacts is needed (e.g., the to select the candidate injection locations. Finally, artifacts are abstract syntax tree or the compiler). executedagainstthetargetsourcecode,performingtheinjection In this paper we present and exercise a model-driven ap- inthedesiredlocations.Wedeviseasupportingtoolandexercise proach to craft and inject software faults in source code. Fol- theapproachinjecting13differentkindsofsoftwarefaultsinthe Java source code of s</t>
  </si>
  <si>
    <t>Model-Driven Prompt Engineering</t>
  </si>
  <si>
    <t>Universitat Oberta de Catalunya (UOC) Luxembourg Institute of Science and Technology (LIST)</t>
  </si>
  <si>
    <t>https://doi.org/10.13039/501100011033</t>
  </si>
  <si>
    <t>Generative artificial intelligence (AI) systems are the input format improves usability and is flexible enough to capableofsynthesizingcomplexcontentsuchastext,sourcecode support numerous application scenarios. or images according to the instructions described in a natural Nevertheless,ashortcomingofgenerativeAIsystemsisthat languageprompt.Thequalityoftheoutputdependsoncrafting thequalityoftheoutputdependsonthestructureoftheinput a suitable prompt. This has given rise to prompt engineering, the process of designing natural language prompts to best take prompt[6]–[12].Asaresult,theAIcommunityhasproposed advantage of the capabilities of generative AI systems. a set of strategies, best practices, guidelines and supporting Through experimentation, the creative and research commu- tools for creating good prompts. The process that involves nities have created guidelines and strategies for creating good crafting, evaluating and fine-tuning prompts is called prompt prompts. However, even for the same task, these best practices engineering. vary depending on the particular system receiving the prompt. Moreover,somesystemsofferadditionalfeaturesusingacustom Achallengeofpromptengineeringisthefactthatitisessen- platform-specific syntax, e.g., assigning a degree of relevance to tiallyaplatform-specificprocess.Promptsthatperformwellin specific concepts within the prompt. a particular system may under-perform in other systems [13], In this paper, we propose applying model-driven engineering [14], or even in different versions of the same system. For to support the prompt engineering process. Using a domain- instance, the release of version 2 of the Stable Diffusion specificlanguage(DSL),wedefineplatform-independentprompts that can later be adapted to provide good quality outputs in a open-sourcetext-to-imagesystemcausedusercomplaintsthat target AI system. The DSL also facilitates managing prompts prompts previously considered as “good” were producing by providing mechanisms for pr</t>
  </si>
  <si>
    <t>Included: applies AI to domain-specific language/model engineering; applies AI within model-driven engineering context</t>
  </si>
  <si>
    <t>Model-Driven Quantum Code Generation Using Large Language Models and Retrieval-Augmented Generation</t>
  </si>
  <si>
    <t>Large Language Models and Retrieval-Augmented</t>
  </si>
  <si>
    <t>https://doi.org/10.1109/MODELS67397.2025.00031</t>
  </si>
  <si>
    <t>This paper introduces a novel research direction Additionally, today’s software developers typically lack tech- formodel-to-text/codetransformationsbyleveragingLargeLan- nical skills in these platforms, for example, regarding their guage Models (LLMs) that can be enhanced with Retrieval- models of computation, hardware architecture, Software De- AugmentedGeneration(RAG)pipelines.Thefocusisonquantum velopmentKits(SDKs),libraries,constraints,andoptimization and hybrid quantum-classical software systems, where model- driven approaches can help reduce the costs and mitigate the techniques. For instance, Gemeinhardt et al. [5] proposed risks associated with the heterogeneous platform landscape and a novel approach to enable model-driven composition-based lack of developers’ skills. We validate one of the proposed quantum circuit design and implementation. Also, Jime´nez- ideas regarding generating code out of UML model instances Navajas et al. [6] deployed the Epsilon Generation Language of software systems. This Python code uses a well-established to generate Python code that works with Qiskit for quantum library, called Qiskit, to execute on gate-based or circuit-based quantum computers. The RAG pipeline that we deploy incor- andhybridquantum-classicalapplications.Weusedthemodel porates sample Qiskit code from public GitHub repositories. instances provided by them in our experimental study. Experimental results show that well-engineered prompts can The key contribution of this paper is proposing a new re- improve CodeBLEU scores by up to a factor of four, yielding searchdirectiondefinedbydeployingLLMs,suchasthestate- more accurate and consistent quantum code. However, the of-the-art Generative Pre-trained Transformer (GPT) models proposedresearchdirectioncangobeyondthisthroughfurther investigationinthefuturebyconductingexperimentstoaddress provided by OpenAI (e.g., GPT-4o), as a text generation our other research questions and ideas proposed here, such engine (e.g., to</t>
  </si>
  <si>
    <t>Model-driven systems engineering for netcentric system of systems with DEVS unified process</t>
  </si>
  <si>
    <t>tate integration with architecture solutions like Service Oriented Architecture (SOA), Event Driven Archi-</t>
  </si>
  <si>
    <t>Proceedings of the 2013 Winter Simulation Conference</t>
  </si>
  <si>
    <t>Model-Based Systems Engineering (MBSE) employs model-based technologies and established systems engineering practices. Model-Driven Engineering (MDE) provides various concepts to automate model based practices using metamodeling. We describe the DEVS Unified Process (DUNIP) that aims to bring together MBSE and MDE as Model-driven Systems Engineering (MDSE) and apply it in a netcentric en- vironment. We historically look at various model-based and model-driven flavors and suggest MDSE/DUNIP as one of the derived methodologies. We describe essential elements in DUNIP that facili- tate integration with architecture solutions like Service Oriented Architecture (SOA), Event Driven Archi- tectures (EDA), Systems Entity Structures (SES) ontology, and frameworks like Department of Defense Architecture Framework (DoDAF 2.0). We discuss systems requirement specifications, verification and validation, metamodeling, Domain Specific Languages (DSLs), and model transformation technologies as applica</t>
  </si>
  <si>
    <t>Model Driven and Modular Software Architecture for Scalable Development</t>
  </si>
  <si>
    <t>Ichalkaranji, India. April -,</t>
  </si>
  <si>
    <t>The growing sophistication of contemporary fraternity has given more concentration on architectural software systems dictates architectural designs that facilitate paradigms that facilitate modularity, automation, and scalable scalability, maintainability and speedy development. development practices [1]. Conventional monolithic development models find it hard to Model-Driven Engineering (MDE) is one of the most meet dynamic requirements, huge development teams and continuous integration practices. This paper will recommend a powerful techniques in this situation that focus on the usage Model-Driven and Modular Software Architecture (MDMSA) of abstract models as the key products during the software model to overcome these issues whereby the model-driven development lifecycle. Rather than having to use manual engineering methodology will be combined with the modular code, model-driven development allows the developers to architecture to facilitate scalable software development. The build high-level system models that can be automatically given approach focuses on the tradition of using high-level compiled into executable software elements. This will system models to automatically create platform-specific enhance productivity in the development and consistency of components and has no conflicts of concern because of the clear the system design and implementation. Past researchers have separation of concerns that occurs during modular demonstrated that model-driven methods have the capability decomposition. The modules capture certain functionality and to simplify the development process and improve are interrelated by well-known interfaces which enhance their maintenance of the system by creating automated code and reuse, maintenance, and the ability to extend the system. In system validation processes [2], [3]. addition, the architecture facilitates automated code generation, component orchestration and continuous integration pipelines, Simultaneously, modular softwa</t>
  </si>
  <si>
    <t>Modeling and Digital Twins Insights and Strategies for Software Engineers</t>
  </si>
  <si>
    <t>Modeling and Digital</t>
  </si>
  <si>
    <t>https://doi.org/10.1109/MS.2024.3510892</t>
  </si>
  <si>
    <t>Excluded: Does not apply an identifiable AI technique to a model-engineering task; lacks connection to software modelling (UML, BPMN, metamodel, DSL) or AI-driven automation</t>
  </si>
  <si>
    <t>Mutation-based Model Synthesis in Model Driven Engineering</t>
  </si>
  <si>
    <t>a model transformation. Model transformations havemanyusessuchastospecifyformalismtrans- With the increasing use of models for software formations, to define operational/denotational se- development and the emergence of model-driven mantics,toobtaintheconcretesyntaxofthemodel, engineering, it has become important to build ac- and for evolving the model for various purposes curate and precise models that present certain [4]. These applications of model transformations characteristics. Model transformation testing is a make it a very important part of the MDE frame- domain that requires generating a large number worksinceinpracticeseveralmodelsundergosuch of models that satisfy coverage properties (cover transformations. Thereforegivenamodeltransfor- the code of the transformation or the structure of mation we ask, is the model transformation error- the metamodel). However, manually building a free,isitefficient,anddoesitcoveralltheimpor- set of models to test a transformation is a tedio</t>
  </si>
  <si>
    <t>Included: applies AI to model transformation; addresses metamodel engineering with AI; applies AI within model-driven engineering context</t>
  </si>
  <si>
    <t>No Resource No Benchmarks No Problem Evaluating and Improving LLMs for Code Generation in No-Resource Languages</t>
  </si>
  <si>
    <t>No Resource, No Benchmarks, No Problem?</t>
  </si>
  <si>
    <t>IEEE Transactions on Software Engineering. This is the author's version which has not been fully edi</t>
  </si>
  <si>
    <t>https://doi.org/10.1109/TSE.2026.3703553</t>
  </si>
  <si>
    <t>Large Language Models (LLMs) have significantly which are characterized by relatively limited training data. advanced the automation of software engineering tasks. One Whileperformanceontheselanguagesisgenerallylowerthan prominent example is code generation, where an LLM produces on high-resource ones, large-scale LLMs can still generalize code in a specified programming language based on a natural reasonably well [6]. language description. Most research in this area has focused on high-resource languages, such as Python or Java, which benefit In contrast, little attention has been paid to no-resource fromabundanttrainingdatainrepositoryplatformslikeGitHub. programming languages, i.e., languages that fall outside the A smaller body of work has explored low-resource languages pre-training distribution of LLMs. In particular, we focus on (e.g., Lua, Racket), which are underrepresented in training no-resource general-purpose languages, which share syntactic corpora. In contrast, no-resource languages for which LLMs and semantic characteristics with mainstream programming have seen virtually no training data remain largely unstudied. These languages often emerge in industry, where organizations languages but lack training data. As a consequence, commer- developproprietaryordomain-specificlanguagesunsupportedby cial tools such as Copilot [7] or ChatGPT [8] do not support commercial tools like GitHub Copilot. This results in the need theselanguages,leavingorganizationsinterestedinAI-assisted forcompaniestodeploytheirownin-housecoderecommenders. programming with the challenge of developing custom, in- To investigate possible solutions in this context, we build and house solutions. Crafting effective and economically sustain- release three code generation benchmarks for no-resource lan- guages,basedontworecentlyproposedprogramminglanguages able solutions is, however, far from trivial. for which very little training data is available. Using these We make a number of contribu</t>
  </si>
  <si>
    <t>Ontology Driven Development of Rule-Based Expert Systems</t>
  </si>
  <si>
    <t>Nikita O. Dorodnykh, Aleksandr Y. Yurin Alexander B. Stolbov</t>
  </si>
  <si>
    <t>An ontology-driven development process of rule- the program codes, in some cases allow one to obtain only based expert systems and knowledge bases is described. The graphic artifacts (images) of KB structures. With the exception process is based on a redefined approach, namely, a model- of Protégé, which allows one to generate a limited set of driven development (MDD). The main feature of the proposed knowledge base elements, in particular, for CLIPS/COOL or process is the use of ontology as a computation-independent JESS. model (CIM). At the same time, ontology is created by analyzing the conceptual models of a subject domain, in particular, UML Thus, the development of specialized software is relevant class diagrams presented in XML-based formats. The Rule and this trend is confirmed by some examples [9, 10]. In Visual Modeling Language (RVML) is used as the extension of a particular: a tool for the development of web-based expert UML for the development of a platform-independent and systems is described in [11]. The proposed tool utilizes the platform-specific models, and also the C language integrated Semantic Web technology which permits the knowledge production system (CLIPS) is used as the target platform. The engineer and domain expert to define the knowledge without formalized descriptions of the approach stages and model having to know anything about programming languages and transformations are considered. The approach proposed allows artificial intelligence. one: to eliminate programming errors through the automatic code generation; to reduce a time of identification, In [7] Shue L., Chen, C. and Shiue W. used the ontology to conceptualization, and formalization stages due to the use of model the domain knowledge, and decision rules are used to ontologies. The Knowledge Base Development System (KBDS) represent operational knowledge. The described system and the Personal Knowledge Base Designer (PKBD) implement integrates Protégé, as a domain KB, and JESS</t>
  </si>
  <si>
    <t>PHM4HHP Domain Specific Language</t>
  </si>
  <si>
    <t>alex.rojco@mail.mcgill.ca American Institute of Aeronautics and Astronautics (AIAA)</t>
  </si>
  <si>
    <t>A broad spectrum of space application domains are 1. INTRODUCTION increasingly making use of heterogeneous and large volumes of data with varying degrees of human in the loop. Applications include critical areas such as space habitat management, This paper introduces a conceptual reference framework – healthcare delivery, and emergency management while the Prognostics and Health Management (PHM) for Human International Space Station Environmental Control and Life Health and Performance (HHP) – to support the data-centric Support System (ECLSS) as well as PHM for Human Health and model-driven approach for HHP. The paper also explores and Performance (PHM4HHP) serve as examples of the a PHM for HHP (PHM4HHP) metamodel in terms of the applications. This paper suggests a discussion on paradigm shift from telemedicine to HHP autonomy coupled implementation of the Model Driven Engineering paradigm with 24x7 real-time self-tracking with predictive diagnostics (a.k.a. Model Based Systems Engineering approach) for PHM providing early and actionable real-time warnings on focusing on HHP on crewed space exploration missions and impending health issue that otherwise would have gone introduces a conceptual model and framework – the PHM4HHP Domain Specific Language – to support a data-centric and undetected. model-driven approach and develop requirements for integration of heterogeneous models and their respective data The first part (sections 2-5) of the paper is focusing on for the entire life-cycle of the Health Support System (HeSS) PHM4HHP concepts that make the PHM4HHP domain being designed to validate on the International Space Station different from conventional healthcare delivery while the (ISS). While the discussion starts with focusing on PHM4HHP second part (section 6-7) is a discussion on PHM4HHP concepts that make the PHM4HHP domain different from Domain Specific Language (PHM4HHP DSL) to build. conventional healthcare delivery and is to elaborate the PHM foundatio</t>
  </si>
  <si>
    <t>Preface to MDE Intelligence 2019 1st Workshop on Artificial Intelligence and Model-Driven Engineering</t>
  </si>
  <si>
    <t>Intelligence and Model-Driven Engineering</t>
  </si>
  <si>
    <t>https://doi.org/10.1109/MODELS-C.2019.00028</t>
  </si>
  <si>
    <t>Model-driven engineering (MDE) and Artificial In- MDE, which will push the limits of “classic” MDE and telligence(AI)aretwoseparatefieldsincomputerscience,which provide the right techniques to develop the next generation can clearly benefit from cross-fertilization and collaboration. of highly complex model-based system and software systems Thereareatleasttwowaysinwhichsuchintegrations—whichwe engineers will have to design tomorrow. callMDEIntelligence—canmanifest:(1)MDEcanbenefitfrom integrating AI concepts and ideas to increasing the power and The MDE Intelligence workshop [1] brought the oppor- flexibilityofmodel-driventechniquesbymeansoftheapplication tunity to discuss how to choose, evaluate, and adapt AI ofAIalgorithms.(2)Conversely,AIcanbenefitfromintegrating techniques to Model-Driven Engineering as a way to improve concepts and ideas from MDE—for example, using domain- current system and software modeling and generation pro- specific languages and model transformations allows domain cesses while, at the same time, increasing the benefits and experts to directly express and manipulate their problems while providing an auditable computation pipeline. reducing the costs of adopting MDE and AI. Specially, we To discuss and further stimulate such integrations, the 1st do believe that AI artifacts will empower the MDE tools and edition of the Workshop on Artificial Intelligence and Model- boost further the advantages, and consequently adoption, of driven Engineering (MDE Intelligence) was held on September MDE at industry level. While AI is software (and complex 16, 2019 in Munich, Germany, as part of the satellite events of software,infact),wealsobelievethatsuchAI-poweredMDE the IEEE/ACM 22th International Conference on Model-Driven approachwillalsobenefitthedesignofAIartifactsthemselves Engineering Languages and Systems (MODELS 2019). IndexTerms—MDE,ArtificialIntelligence,MDEIntelligence andspeciallytofacethechallengeofdesigning“trustable”AI software. Therefore</t>
  </si>
  <si>
    <t>Included: applies AI to model transformation; applies AI within model-driven engineering context</t>
  </si>
  <si>
    <t>Program translation using model-driven engineering</t>
  </si>
  <si>
    <t>Dept.ofInformatics,King’sCollegeLondon</t>
  </si>
  <si>
    <t>2022 IEEE/ACM 44th International Conference on Software Engineering: Companion Proceedings (ICSE-Companion)</t>
  </si>
  <si>
    <t>https://doi.org/10.1145/3510454.3528639</t>
  </si>
  <si>
    <t>2 MDEPROCESSFORLANGUAGE Theportingortranslationofsoftwareapplicationsfromonepro- TRANSLATION gramminglanguagetoanotherisacommonrequirementofor- The translation process consists of successive steps of parsing, ganisationsthatutilisesoftware,andtheincreasingnumberand abstractionandforwardengineering(Figure1). diversityofprogramminglanguagesmakesthiscapabilityasrele- vanttodayasinpreviousdecades. Severalapproacheshavebeenusedtoaddressthischallenge, includingmachinelearningandthemanualdefinitionofexplicit translationrules.Wedefineanovelapproachusingmodel-driven engineering(MDE)techniques:reverse-engineeringsourcepro- gramsintospecificationsintheUMLandOCLformalisms,and thenforward-engineeringthespecificationstotherequiredtarget language.Thisapproachhastheadditionaladvantageofextracting specificationsofsoftwarefromcode.Weprovideanevaluation basedonacomprehensivedatasetofexamples,includingindustrial cases,andcompareourresultstothoseofotherapproachesand tools. ACMReferenceFormat: K.Lano.2022.P</t>
  </si>
  <si>
    <t>Querying Large Automotive Software Models Agentic vs. Direct LLM Approaches</t>
  </si>
  <si>
    <t>Chair of Robotics, Artificial Chair of Robotics, Artificial Universite´ Paris-Saclay,</t>
  </si>
  <si>
    <t>Large language models (LLMs) offer new oppor- development, where precise models ensure compliance and tunities for interacting with complex software artifacts, such reliability [1]. However, the increasing size and complexity of as software models, through natural language. They present thesemodelsposesignificantchallengesforengineersinterms especially promising benefits for large software models that are of access, understanding, and manipulation [2]. difficulttograspintheirentirety,makingtraditionalinteraction andanalysisapproacheschallenging.Thispaperinvestigatestwo Recent advancements in large language models (LLMs) of- approaches for leveraging LLMs to answer questions over soft- ferpromisingavenuestoassistwithcomplexsoftwaremodels, waremodels:directprompting,wherethewholesoftwaremodel leveragingtheircapabilitiesinnaturallanguageunderstanding is provided in the context, and an agentic approach combining andcodegeneration[3].Despitethispotential,thedirectappli- LLM-based agents with general-purpose file access tools. We cationofLLMstostructuredsoftwaremodels,especiallywith evaluate these approaches using an Ecore metamodel designed for timing analysis and software optimization in automotive and formal languages like PlantUML [4], remains largely unex- embedded domains. Our findings show that while the agentic plored [5]. Current research primarily focuses on unstructured approach achieves accuracy comparable to direct prompting, text or code, overlooking the unique challenges of integrating it is significantly more efficient in terms of token usage. This LLMs with structured models, including format compatibility, efficiency makes the agentic approach particularly suitable for semantic precision, and consistency. Furthermore, the efficacy theautomotiveindustry,wherethelargesizeofsoftwaremodels makes direct prompting infeasible, establishing LLM agents as of different LLM architectures, such as agentic workflows not just a practical alternative but the only viabl</t>
  </si>
  <si>
    <t>Included: addresses metamodel engineering with AI; applies AI to UML/software model artefacts</t>
  </si>
  <si>
    <t>RQ2DSL An AI Agent for Automated Domain-Specific Language Grammar Generation from Requirements</t>
  </si>
  <si>
    <t>Dept. of Electrical and Computer Engineering Dept. of Electrical and Computer Engineering</t>
  </si>
  <si>
    <t>2025 IEEE 37th International Conference on Tools with Artificial Intelligence (ICTAI)</t>
  </si>
  <si>
    <t>https://doi.org/10.1109/ICTAI66417.2025.00189</t>
  </si>
  <si>
    <t>Domain-Specific Language (DSL) design is a foun- requires specialized expertise in both the target domain and dational yet labor-intensive task in software engineering (SE). language engineering principles [2]. However, recent advances in Large Language Models (LLMs) Traditional DSL development follows a laborious iterative offer the potential to automate key aspects of DSL develop- process involving domain analysis, grammar specification, ment, including grammar generation, paving the way for wider DSL adoption. This paper presents RQ2DSL, an AI agent for parser generation and extensive validation. This workflow automated grammar generation that transforms requirements often creates bottlenecks in DSL development, as it requires (Functional and Non-Functional) into syntactically correct DSL close collaboration between domain experts who understand grammars using LLMs. The agent’s methodology comprises an the problem space and technical experts who possess the optimally defined LLM context that contains a TextX knowl- necessary language engineering skills [3]. The complexity of edge base, reference grammars, syntactic examples and error- aware guidance with explicit validation rules, supported by this process has historically limited the widespread adoption an iterative refinement process that leverages syntax validation of DSLs, despite their proven benefits in improving code feedback. Comprehensive experiments were conducted against clarity,reducingcomplexitydevelopmenttimeandminimizing DSLs of varying complexity levels (simple, medium, high, ultra- domain-specific errors [4]. high), with scalable requirement sets ranging from 4 to 30 Recent advances in Large Language Models (LLMs) have specifications, demonstrating that RQ2DSL maintains robust performance across simple (100%), medium (92%) and high demonstrated remarkable capabilities in code generation and (92%)complexitylevels.However,acriticalcomplexitythreshold understanding, fundamentally transforming approa</t>
  </si>
  <si>
    <t>SE Arena An Interactive Platform for Evaluating Foundation Models in Software Engineering</t>
  </si>
  <si>
    <t>Kingston, Canada</t>
  </si>
  <si>
    <t>2025 IEEE/ACM Second International Conference on AI Foundation Models and Software Engineering (Forge)</t>
  </si>
  <si>
    <t>https://doi.org/10.1109/Forge66646.2025.00016</t>
  </si>
  <si>
    <t>Foundation models (FMs), particularly large lan- a critical feature for evaluating FMs in real-world SE tasks. guagemodels(LLMs),haveshownsignificantpromiseinvarious Copilot Arena2 also faces similar challenges. software engineering (SE) tasks, including code generation, de- To address these limitations, we propose SE Arena3, an bugging,andrequirementrefinement.Despitetheseadvances,ex- interactive platform tailored for the evaluation of FMs in istingevaluationframeworksareinsufficientforassessingmodel performanceiniterative,context-richworkflowscharacteristicof SE tasks. SE Arena enhances existing frameworks by incor- SEactivities.Toaddressthislimitation,weintroduceSEArena, porating multi-round dialogues and a transparent evaluation aninteractiveplatformdesignedtoevaluateSE-focusedchatbots. methodology, allowing engineers to benchmark FMs across SE Arena provides a transparent, open-source leaderboard, diverse SE workflows. In addition, SE Arena introduces a supportsmulti-roundconversationalworkflows,andenablesend- new feature called RepoChat that automatically extracts and to-end model comparisons. Moreover, SE Arena incorporates a new feature called RepoChat, which automatically injects injectsrepository-levelcontextintotheconversation,enabling repository-related context (e.g., issues, commits, pull requests) deeper and more realistic benchmarking of FMs for day- into the conversation, further aligning evaluations with real- to-day software engineering scenarios. This approach fills worlddevelopmentprocesses.Thispaperoutlinesthedesignand criticalgapsincurrentevaluationpractices,advancingthefield capabilities of SE Arena, emphasizing its potential to advance toward more nuanced and context-aware assessments. To our the evaluation and practical application of FMs in software engineering. knowledge, SE Arena is the first platform to integrate these IndexTerms—FoundationModel,SoftwareEngineering,Chat- capabilities for SE-specific evaluations. This paper introduces bot</t>
  </si>
  <si>
    <t>SHERPA A Model-Driven Framework for Large Language Model Execution</t>
  </si>
  <si>
    <t>Boqi Chen , Kua Chen , Jose´ Antonio Herna´ndez Lo´pez</t>
  </si>
  <si>
    <t>https://doi.org/10.1109/MODELS67397.2025.00024</t>
  </si>
  <si>
    <t>Recently, large language models (LLMs) have Largelanguagemodels(LLMs)producestochasticsequences achievedwidespreadapplicationacrossvariousfields.Despitetheir of predictions based on input prompts [3]. With the emergence impressive capabilities, LLMs suffer from a lack of structured of advanced LLMs such as GPT-4o [4] and Qwen-2.5 [5], reasoningability,particularlyforcomplextasksrequiringdomain- theyhavebecomepowerfultoolsforautomatingcomplextasks specificbestpractices,whichareoftenunavailableinthetraining data. Although multi-step prompting methods incorporating across diverse domains using natural language. LLMs have human best practices, such as chain-of-thought and tree-of- shownremarkablecapabilitiesinvariousapplications,including thought, have gained popularity, they lack a general mechanism code generation [6], question answering [7], and planning [8], to control LLM behavior. In this paper, we propose SHERPA, [9]. In MDE, recent efforts have also shown promising results a model-driven framework to improve the LLM performance in fully automating the generation of diverse types of models on complex tasks by explicitly incorporating domain-specific best practices into hierarchical state machines. By structuring directly from natural language descriptions [10]. the LLM execution processes using state machines, SHERPA Problem description. However, the stochastic nature of LLMs enablesmorefine-grainedcontrolovertheirbehaviorviarulesor raises significant concerns around the potential hallucination decisionsdrivenbymachinelearning-basedapproaches,including in the generated outputs [11]. Moreover, specific human best LLMs. We show that SHERPA is applicable to a wide variety of practice is rarely reflected in training data, which limits LLMs’ tasks—specifically, code generation, class name generation, and question answering—replicating previously proposed approaches performanceincomplexanddomain-specifictasks.Approaches while further improving the performance. We demon</t>
  </si>
  <si>
    <t>SMATCH-M-LLM Semantic Similarity in Metamodel Matching With Large Language Models</t>
  </si>
  <si>
    <t>Nafisa Ahmed, Hin Chi Kwok, Mohammad Hamdaqa, Wesley K. G. Assunc¸a˜o</t>
  </si>
  <si>
    <t>2025 IEEE/ACM 22nd International Conference on Mining Software Repositories (MSR)</t>
  </si>
  <si>
    <t>https://doi.org/10.1109/MSR66628.2025.00040</t>
  </si>
  <si>
    <t>Metamodelmatchingplaysacrucialroleindefining for identifying metamodel correspondences, a vital step for transformation rules in model-driven engineering by identi- creatingeffectivetransformationrulesandfortaskslikemodel fying correspondences between different metamodels, forming synchronization, differencing, and merging [10]. thefoundationforeffectivetransformations.Currenttechniques Early metamodel matching leveraged linguistic similarity face significant challenges due to syntactical and structural heterogeneity.Toaddressthis,matchingtechniquesoftenemploy techniques, but they frequently encounter challenges due to semantic similarity to identify correspondences. Traditional se- syntactic heterogeneity between metamodels [11], [12]. To mantic matchers, however, rely on ontology matching tools or address this, researchers leveraged semantic similarities ap- lexical databases, which often struggle when metamodels use proachesinspiredbyontologymatching[13].However,effec- different terminologies or hierarchical structures. Inspired by tive ontology matching techniques necessitate metamodels to the contextual understanding capabilities of Large Language Models (LLMs), this paper explores the capability of GPT-4 possess common terminologies and structures [14]. The lack potentials as a semantic matcher and alternative to existing of these commonalities can result in suboptimal outcomes, as methods for metamodel matching. However, metamodels can be observed when matching disparate metamodels like WebML large,whichcanoverwhelmLLMsifprovidedinasingleprompt, with UML or Ecore, limiting the techniques’ utility in model leading to reduced accuracy. Therefore, we propose prompting migration scenarios that lack these alignments. LLMs with fragments of the source and target metamodels, LexicaldatabaseslikeWordNet[15]areemployedtodetect identifying correspondences through an iterative process. The fragmentstobeprovidedinthepromptareidentifiedbasedonan semantic similarities acro</t>
  </si>
  <si>
    <t>Included: addresses metamodel engineering with AI; applies AI to UML/software model artefacts; applies AI within model-driven engineering context</t>
  </si>
  <si>
    <t>SOEN-101 Code Generation by Emulating Software Process Models Using Large Language Model Agents</t>
  </si>
  <si>
    <t>Feng Lin, Dong Jae Kim, Tse-Hsun (Peter) Chen</t>
  </si>
  <si>
    <t>2025 IEEE/ACM 47th International Conference on Software Engineering (ICSE)</t>
  </si>
  <si>
    <t>https://doi.org/10.1109/ICSE55347.2025.00140</t>
  </si>
  <si>
    <t>Software process models are essential to facilitate niques like few-shot learning [18, 49] have been shown to collaboration and communication among software teams to improve code generation results. In particular, few-shot learn- solve complex development tasks. Inspired by these software ing coupled with few-shot sampling [24, 17] or information engineering practices, we present FlowGen – a code generation retrieval augmented technique [27, 6] have been shown to framework that emulates software process models based on multipleLargeLanguageModel(LLM)agents.Weemulatethree improve code generation. Moreover, one can integrate per- process models, FlowGen , FlowGen , and FlowGen , sonalization in the prompt, instructing LLMs to be domain Waterfall TDD Scrum by assigning LLM agents to embody roles (i.e., requirement experts in a specific field, which can further improve LLM engineer, architect, developer, tester, and scrum master) that responses [41, 34]. Such personalization techniques highlight correspondtoeverydaydevelopmentactivitiesandorganizetheir thepotentialofusingmultipleLLMsworkingtogethertoassist communication patterns. The agents work collaboratively using chain-of-thought and prompt composition with continuous self- in complex software development activities. refinement to improve the code quality. We use GPT3.5 as Giventhecomplexityofsoftwaredevelopment,LLMagents our underlying LLM and several baselines (RawGPT, CodeT, stand out among various LLM techniques. Agents are LLM Reflexion) to evaluate code generation on four benchmarks: instances that can be customized to carry out specific tasks HumanEval, HumanEval-ET, MBPP, and MBPP-ET. Our find- that replicate human workflow [14, 11]. Recently, multi-agent ings show that FlowGen excels compared to other process Scrum models, achieving a Pass@1 of 75.2, 65.5, 82.5, and 56.7 in systemshaveachievedsignificantprogressinsolvingcomplex HumanEval,HumanEval-ET,MBPP,andMBPP-ET,respectively problems in software develop</t>
  </si>
  <si>
    <t>SkeMo Sketch Modeling for Real-Time Model Component Generation</t>
  </si>
  <si>
    <t>Alisha Sharma Chapai and Eric J. Rapos</t>
  </si>
  <si>
    <t>https://doi.org/10.1109/MODELS58315.2023.00038</t>
  </si>
  <si>
    <t>Software modeling is a powerful tool in the design developers create informal sketches to understand, design, and implementation of high-quality software systems. Models and share their ideas within the team [2]. Such sketches are can be used from high-level design to formal code generation, createdusingdifferentmedia,fromanalogmediasuchaspaper with various applications in between. Often, software models or a whiteboard to digital media such as smartphones and are initially created informally, by sketching on a whiteboard or paper during the early design phase of the system, and computers.Sketchingispreferredintheearlystageofsoftware eventuallyconvertedintoformalmodelsusingadvancedmodeling development [3] as it fosters creativity [4] and collaboration tools.Theformalizationofsketchesintoactualmodelcomponents among various stakeholders [3]. Sketching provides a means can be time-consuming, error-prone, and laborious. To address of effective communication and collaboration by expressing theseshortcomings,wepresentSkeMo,anenvironmentforreal- ideas simply and abstractly. Moreover, the availability of time model component generation from sketch-based inputs. We curated a sketch dataset of 3000 images of various class digital devices such as mobile phones, tablets, touch-screen diagram components and implemented a powerful Convolution displays, and input devices with sufficient computing power NeuralNetworktoclassifyinputsketchesasmodelcomponents. has made free-form sketching more accessible and collab- We integrated our sketch classifier into an existing web-based orative [5]. Additionally, web-connected applications have model editor and added a touch interface to support sketch- further facilitated collaboration by allowing users to refine based modeling. We evaluated the SkeMo environment in two ways: through ten-fold cross-validation of the image classifier and formalize their digital sketches collaboratively [5], [6]. andcollectionofmetricsandfeedbackfroma20-partici</t>
  </si>
  <si>
    <t>Included: applies an identifiable AI technique to a model-engineering task</t>
  </si>
  <si>
    <t>SoTaNa An Open-Source Software Engineering Instruction-Tuned Model</t>
  </si>
  <si>
    <t>Ensheng Shi , Yanlin Wang , Fengji Zhang , Bei Chen , Hongyu Zhang</t>
  </si>
  <si>
    <t>https://doi.org/10.1109/Forge66646.2025.00010</t>
  </si>
  <si>
    <t>Softwaredevelopmentplaysacrucialroleindriving They exhibit remarkable capabilities as AI assistants across innovation and efficiency in modern societies. To meet the variousdomains,includingneuralmachinetranslation[8],text demands of this dynamic field, there is a growing need for an summarization [9], and code generation [10]. These models effective software development assistant. However, existing large are composed of billions of parameters, trained on extensive language models represented by ChatGPT suffer from limited accessibility,includingtrainingdataandmodelweights.Although data, up to hundreds of billions or even a trillion tokens, otherlargeopen-sourcemodelslikeLLaMAhaveshownpromise, and fine-tuned on instruction-based datasets [11]. However, they still struggle with understanding human intent. In this their accessibility is limited to restricted APIs. Also, other paper, we present SoTaNa, an open-source software engineering information such as model weights and instruction-based instruction-tuned model. SoTaNa utilizes ChatGPT to generate datasetsarenotavailable,creatingbarrierstonewresearchand high-quality instruction-based data for the domain of software engineering and employs a parameter-efficient fine-tuning ap- advancements.Ontheotherhand,open-sourcemodelssuchas proach to enhance the open-source foundation model, LLaMA. Alpaca[12]andVicuna[13],whichfine-tuneLLaMA[14](an We evaluate the effectiveness of SoTaNa in answering Stack open-source foundation language model) on the instruction- Overflowquestionsanddemonstrateitscapabilities.Additionally, based dataset generated by LLMs, have shown promising wediscussitscapabilitiesincodesummarizationandgeneration, results in understanding human intent and generating human- as well as the impact of varying the volume of generated data on model performance. Notably, SoTaNa can run on a single like responses. Nevertheless, due to the limited availability GPU, making it accessible to a broader range of researche</t>
  </si>
  <si>
    <t>Software Engineering and Foundation Models Insights from Industry Blogs Using a Jury of Foundation Models</t>
  </si>
  <si>
    <t>Software Engineering and Foundation Models:</t>
  </si>
  <si>
    <t>2025 IEEE/ACM 47th International Conference on Software Engineering: Software Engineering in Practice (ICSE-S</t>
  </si>
  <si>
    <t>https://doi.org/10.1109/ICSE-SEIP66354.2025.00033</t>
  </si>
  <si>
    <t>Foundation models (FMs) such as large language models(LLMs)havesignificantlyimpactedmanyfields,including softwareengineering(SE).TheinteractionbetweenSEandFMs has led to the integration of FMs into SE practices (FM4SE) andtheapplicationofSEmethodologiestoFMs(SE4FM).While severalliteraturesurveysexistonacademiccontributionstothese trends, we are the first to provide a practitioner’s view. We analyze 155 FM4SE and 997 SE4FM blog posts from leading technology companies, leveraging an FM-powered surveying approach to systematically label and summarize the discussed activitiesandtasks.Weobservedthatwhilecodegenerationisthe Fig.1. AnoverviewofourFM/LLMJuryapproachforlabellingblogposts. mostprominentFM4SEtask,FMsareleveragedformanyother AblogpostislabelledbyeveryFMinthejury,andthefinallabelisselected SE activities such as code understanding, summarization, and through a majority vote (using the normalized confidence score as a tie- APIrecommendation.ThemajorityofblogpostsonSE4FMare breaker). about model deployment &amp; operation, and system architecture &amp;orchestration.Althoughtheemphasisisonclouddeployments, there is a growing interest in compressing FMs and deploying published, peer-reviewed literature [17], [28], mostly leaving them on smaller devices such as edge or mobile devices. We out the perspectives and experiences of industry practitioners. outline eight future research directions inspired by our gained insights, aiming to bridge the gap between academic findings The input of practitioners, who work at the intersection of and real-world applications. Our study not only enriches the SE and FMs in real-world settings, is a crucial yet under- body of knowledge on practical applications of FM4SE and explored source of insights. While the research community SE4FM but also demonstrates the utility of FMs as a powerful has recognized the value of user-generated contents such as and efficient approach in conducting literature surveys within Q&amp;A websites [2] and issue report</t>
  </si>
  <si>
    <t>Software Model Evolution with Large Language Models Experiments on Simulated Public and Industrial Datasets</t>
  </si>
  <si>
    <t>Models: Experiments on Simulated, Public, and</t>
  </si>
  <si>
    <t>https://doi.org/10.1109/ICSE55347.2025.00112</t>
  </si>
  <si>
    <t>Modelingstructureandbehaviorofsoftwaresystems For example, in object-oriented design, design patterns [30] plays a crucial role in the industrial practice of software are widely used and are not part of UML [56], but could be engineering.Aswithothersoftwareengineeringartifacts,software provided as edit operations by a UML modeling tool. models are subject to evolution. Supporting modelers in evolving For source code, modern integrated development environ- software models with recommendations for model completions is still an open problem, though. In this paper, we explore the ments already support writing and evolving source code by potential of large language models for this task. In particular, we (auto-)completion. Most notably, the use of large language propose an approach, RAMC, leveraging large language models, models (LLMs) has become state-of-the-art for the auto- model histories, and retrieval-augmented generation for model completion of source code [18, 77, 5, 29, 6, 75]. completion. Through experiments on three datasets, including an The world of software models seems to be lagging behind, industrialapplication, onepublic open-source communitydataset, and one controlled collection of simulated model repositories, andnogeneralapproachforsoftwaremodelauto-completionis we evaluate the potential of large language models for model readyforindustrialapplication.Ithasbeenevenarguedthatthe completion with RAMC. We found that large language models so-called cognification of use cases in model-driven software are indeed a promising technology for supporting software model engineering might turn the difference between (perceived) evolution (62.30% semantically correct completions on real-world added value and cost from negative to positive [13]. industrial data and up to 86.19% type-correct completions). The general inference capabilities of large language models are Problem Statement. Notably, for a few domain-specific particularly useful when dealing with concepts</t>
  </si>
  <si>
    <t>Included: applies AI to model evolution; applies AI to UML/software model artefacts; applies AI within model-driven engineering context</t>
  </si>
  <si>
    <t>Software Trustworthiness Assessment via Large Language Models LLMs</t>
  </si>
  <si>
    <t>Coimbra, Portugal</t>
  </si>
  <si>
    <t>https://doi.org/10.1109/EDCC-C66476.2025.00034</t>
  </si>
  <si>
    <t>Nowadays, almost everything in our daily lives is doesnotrequirethesystemtobeexecutable,andcanbeused handled by software. From transport systems and autonomous on parts of the overall code base separately [2]. However, the systemstohealthcareandfinancialcontracts.So,trustworthiness problem is that many SCA tools have a recall rate near to hasbecomecritical.Softwaretrustworthinessreferstothedegree 50%, thus they exhibit a performance not better than random to which a software system can be trusted, in the aspects of reliabilityandsecurity.Itmeanstheabilitytobehaveasexpected guessing[2].Theseresultssuggestthatwecannotrelyonlyon evenwhenfacingfaults,attacks,orunexpectedconditions.Static SCAbecausedoingsowouldleavealargenumberofsecurity Code Analysis (SCA) tools can be used to identify security issues undiscovered, let alone the large number of FPs that issues,suchassoftwarevulnerabilities.Though,SCAtoolshavea should be reviewed manually [2]. So, the result of the SCA greatnumberofFalsePositives(FPs)andFalseNegatives(FNs). toolsneedstobereassessedcautiouslybythehumansecurity Consequently, developers do not use them or spend a lot of timeanalyzingthealertsreportedbysuchtoolswithoutknowing experts,toincreasethereliabilityoftheprocess.Theproblem that all vulnerabilities are identified. On the other hand, Large becomes worse when considering a large project with many LanguageModels(LLMs)arebeingusedinsoftwareengineering files. tasks,suchascodegeneration,codereview,codedocumentation, LLMs such as CodeBERT [3], CodeT5 [4], and DeepSeek and even bug detection. These capabilities have attracted the [5]haveprovedthemselveswonderfullyinunderstandingpro- interestofresearcherstotheirpotentialforautomatingSoftware TrustworthinessAssessment(STA).AstheperformanceofLLMs gramminglanguages.TheabilityofLLMsincodegeneration, in STA is not satiable yet, there is an emerging need to obtain codedocumentation,andtestgenerationhasencouragedmany the best results out of their great potential. Alt</t>
  </si>
  <si>
    <t>Streamlining Epidemiological Model Generation Using Large Language Models</t>
  </si>
  <si>
    <t>https://doi.org/10.1109/CASCON66301.2025.00096</t>
  </si>
  <si>
    <t>Epidemiological modeling is a critical step in un- (Epidemiological Model-Driven Engineering) platform [4] derstanding and studying diseases. While conventional modeling and its seirmodel XML format. The platform bridges techniques, like compartmental or agentic models, exist, sup- traditional epidemiological modeling with model-driven en- porting tools are not necessarily standardized. Consequently, gineering, supporting SEIR (Susceptible-Exposed-Infectious- learninganewtoolmayincursignificanteffort.Inthiswork,we explore the use of Large Language Models (LLMs) as a means Recovered) paradigms with complex stratifications. toquicklytransitionfromrequirements,intheformofgraphical B. Two-Stage LLM Pipeline modelrepresentationsandinitialparameterstoasoftware-aided modeling platform with simulation and verification capabilities. Our pipeline uses Google’s Gemini 2.5 Pro [5]: Stage 1 Ourmethodologyemploysametamodel-basedlanguagespecifica- generatesstructurallycorrect.seirmodelXMLwithplace- tion for prompt engineering, combined with multimodal inputs holdervaluesfromMainPrompt,LanguageSpecification,and comprising textual descriptions and epidemiological diagrams. User Input. Stage 2 calculates final numerical rates using We evaluate LLM performance across three epidemiological models of varying complexity: a simple SIR compartmental “reason-before-answer” strategy. Figure 1 illustrates a typical model, a COVID-19 pandemic model, and an HIV transmission SIR model diagram used as input. model. Initial results demonstrate the potential of LLMs to significantly reduce manual modeling effort while maintaining accuracy in structural representation and parameter extraction. The study provides insights into optimal input configurations andidentifieskeychallengesinautomatedepidemiologicalmodel generation.</t>
  </si>
  <si>
    <t>Sustainability Implications of Large Language Model use in Model-Driven Engineering</t>
  </si>
  <si>
    <t>https://doi.org/10.1109/MODELS-C68889.2025.00101</t>
  </si>
  <si>
    <t>Large language models (LLMs) have been increas- 3) How effective are LLMs at detecting and correcting ingly used for a wide range of software engineering processes, energy-efficiencyflawsincode,comparedtoMDEtech- including model-driven engineering (MDE). LLMs have been niques for energy-use analysis and improvement? used to perform reverse engineering of code to models, to gen- erate code from models, and to perform model transformations, as alternatives to rule-based techniques for these activities. In II. CODEPRODUCTIONAPPROACHES this paper we examine the energy-use implications of applying LLMs for code generation and reverse engineering within an Three code production practices are considered here: (i) MDEprocess.WealsoconsiderLMMcapabilitiesforoptimising manual code production, using IDEs such as Visual Studio; software energy use. (ii) automated code generation from software models, using IndexTerms—MDE,LLM,codegeneration,reverseengineer- a model transformation (MT) or (iii) synthesis of code by an ing, sustainable software. LLM, based on user prompts and contextual information.</t>
  </si>
  <si>
    <t>Included: applies AI to model transformation; applies AI to reverse engineering/code-to-model extraction; applies AI to model-to-code synthesis; applies AI within model-driven engineering context</t>
  </si>
  <si>
    <t>Synthetic Model Generation from Metamodel Using Conditional Tabular Generative Adversarial Network</t>
  </si>
  <si>
    <t>Oran, Algeria Oran, Algeria Oran, Algeria</t>
  </si>
  <si>
    <t>Building a dataset of models that are metamodel the need to write transformation-specific code. instances for a Model-Driven Engineering (MDE) process using Artificial intelligence techniques in general, and those of Artificial Intelligence (AI) techniques is now gaining traction. machine learning in particular, are generally based on the use These datasets are rare. For this reason, the availability of such of massive amounts of data. Indeed, machine learning algo- datasets is a challenge in the context of MDE and AI. rithms, and in particular its supervised learning techniques, The central idea of the paper is to use deep learning techniques tobuildinstancesofametamodelthatconstituteadataset.Thus, enablemachinestolearntherelationships(mappings)between our contribution focuses on creating synthetic instances of a existingexamplesinaninput-outputdatasetandthentopredict metamodel using a Conditional Tabular Generative Adversarial output data based on entirely new input data. Network (CTGAN). But in the MDE field, unlike image processing or language</t>
  </si>
  <si>
    <t>Text-to-Mapper Generating Executable MyBatis ORM Artifacts from Natural Language Requirements</t>
  </si>
  <si>
    <t>Zhenhan Chen, Xiaoyu Lin, Yingxin Chen, Ruoyu Huang, Jiqiang Yan, Zhenghao Chi, Jiahao Dai, Zhiling Cai,</t>
  </si>
  <si>
    <t>https://doi.org/10.1109/TSE.2026.3702824</t>
  </si>
  <si>
    <t>Enterprisedatabaseapplicationsaretypicallymedi- runtime control flow, and result-set mappings into Java ob- ated by Object–Relational Mapping (ORM) frameworks such as jects.Asinglemapperstatementmustsimultaneouslydescribe MyBatis rather than by raw SQL, yet most natural-language the SQL query, branch conditions over parameters (&lt;if&gt;, interfaces to data target single SQL strings and bypass the &lt;choose&gt;, &lt;foreach&gt;), and the alignment between projected mapper layer. This paper formulates the pioneering task of Text-to-Mapper,generatingexecutableMyBatismapperfilesfrom columns and the fields and types of target JavaBeans. Seem- natural-languagerequirementsgivendatabaseschemasandJava ingly local changes—adding a predicate, renaming a column, entity specifications. To support this setting, a high-quality or refactoring a nested association—may silently break these dataset,MyBatis-Spidertogetherwithanevaluationpipelinethat cross-artifact contracts and cause production failures, making exercisescandidatesthroughaparse-build-execute-alignruntime mapper configuration both time-consuming and error-prone. chain. To capture execution-level semantics, an execution-based metric, Object Semantic Alignment (OSA), compares the Java Existing industrial tools only partially address this diffi- objects produced by generated and reference mappers. Our culty. Template-based frameworks and code generators (e.g., empirical study of direct-transfer baselines highlights recurring MyBatis Generator, MyBatis Plus) reverse-engineer schemas field-column-typebindingerrors;motivatedbythis,weintroduce Across-Struct-Table (AST), a compact two-dimensional represen- to emit Plain Old Java Objects (POJOs), mapper interfaces, tation that makes these correspondences explicit. Systematic andcreate–read–update–delete(CRUD)XMLfromtemplates. experiments with commercial and open-weights large language These model-first approaches reduce boilerplate and improve models show that AST yields consistent OSA improvem</t>
  </si>
  <si>
    <t>Toward a New Era of Rapid Development Assessing GPT-4-Visions Capabilities in UML-Based Code Generation</t>
  </si>
  <si>
    <t>Szeged,Hungary Szeged,Hungary Szeged,Hungary</t>
  </si>
  <si>
    <t>https://doi.org/10.1145/3643795.3648391</t>
  </si>
  <si>
    <t>1 INTRODUCTION Theemergenceofadvancedneuralnetworkshasopenedupnew Insoftwareengineering,thedesignphaseiscrucialindefining waysinautomatedcodegenerationfromconceptualmodels,promis- thesystemarchitectureandservesasapreliminaryblueprintfor ingtoenhancesoftwaredevelopmentprocesses.Thispaperpresents development.UnifiedModelingLanguage(UML)[4]hasemerged apreliminaryevaluationofGPT-4-Vision,astate-of-the-artdeep asthedefactostandardformodelingandvisualizingthedesignof learningmodel,anditscapabilitiesintransformingUnifiedModel- softwaresystems.UMLprovidesvariousdiagramstoexpressdiffer- ingLanguage(UML)classdiagramsintofullyoperatingJavaclass entaspectsofsoftwaredesign,includingstructural,behavioral,and files.Inourstudy,weusedexportedimagesof18classdiagrams interactiondiagrams.Thesediagramsserveasacommunication comprising10single-classand8multi-classdiagrams.Weused3 mediumamongvariousstakeholders,suchasdevelopers,analysts, differentpromptsforeachinput,andwemanuallyevaluatedthe andmanagers,andprovideabasisfortheimplementationphase results.Wecreatedascoringsysteminwhichwescoredtheoc- inthesoftwaredevelopmentlifecycle.Moreover,whenUMLclass currenceofelementsfoundinthediagramwithinthesourcecode. diagramsareaccuratelyandcarefullydesigned,theycansignifi- Onaverage,themodelwasabletogeneratesourcecodefor88% cantlyreduceambiguities,decreasingthelikelihoodoferrorsin oftheelementsshowninthediagrams.Ourresultsindicatethat thecodingprocess. GPT-4-Visionexhibitsproficiencyinhandlingsingle-classUML Theclassdiagramisparticularlysignificantamongthevarious diagrams,successfullytransformingthemintosyntacticallycorrect typesofUMLdiagrams.Itoffersastaticviewofthesystem,de- classfiles.However,formulti-classUMLdiagrams,themodel’s tailingclasses,theirattributes,operations(ormethods),andthe performanceisweakercomparedtosingle-classdiagrams.Insum- relationships among them, all of which are essential for under- mary,furtherinvestigationsarenecessarytoexploitthemodel’s standingobject-orientedsoftwarede</t>
  </si>
  <si>
    <t>Included: applies AI to UML/software model artefacts</t>
  </si>
  <si>
    <t>Toward an Automated View Abstraction for Distributed Model-Driven Service Development</t>
  </si>
  <si>
    <t>Yucong Duan , Qiang Duan , Ruisheng Shi , Honghao Gao</t>
  </si>
  <si>
    <t>2016 IEEE International Conference on Services Computing</t>
  </si>
  <si>
    <t>https://doi.org/10.1109/SCC.2016.115</t>
  </si>
  <si>
    <t>ion for Distributed Model-Driven Service Development ∗ † ‡ § Yucong Duan , Qiang Duan , Ruisheng Shi , Honghao Gao ∗ Hainan University, Haikou, China, Email: duanyucong@hotmail.com † Pennsylvania State University, PA, USA, Email: qduan@psu.edu ‡ Beijing University of Posts and Telecommunications, Beijing, China, Email: shiruisheng@bupt.edu.cn § Shanghai University, China, Email: gaohonghao@shu.edu.cn Abstract—UMLviewintegrationhasbeenextensivelystudied becauseitformsthefoundationforcorrectlyconstructingmost in the area of model transformation in Model Driven Develop- systems and may reduce management complexity by bridging ment. Empirical processing rules are among the most widely the information flows among otherwise separated model files. employedapproachesforprocessingviewabstraction,whichcan supportmodelsimplification,consistencychecking,andmanage- Empiricalrulesfacechallengesfromthefollowingaspects. ment complexity reduction. However, empirical rules face some Completeness validation is required since rule completeness challenges such as completeness validation, consistency among is not formally guaranteed. Consistency validation [6] among rules, and composition priority arrangement. The challenge of rules is needed since empirical rules are collected indepen- rule composition is amplified in the environment of distributed dentlywithoutagenerationmechanism.Inaddition,composi- model driven development for web service-based systems where tion priority arrangement is important to determine the order redundant information/data is emphasized. The same redundant ofapplyingandexecutingrulesforaspecificapplication.The information can be expressed in different forms that comprise priorityoftherulesmightnotbefixedforanyapplicationcon- various topological structures for entity relationship networks text.Inthispaper,weassumethattheprioritymightbevalidin representing the same part of the system. Such variation will result in choosing different compositions of rules executed</t>
  </si>
  <si>
    <t>Towards AI-Augmented Co-Compilation for Smart IoT Systems Through Domain-Specific LLMs</t>
  </si>
  <si>
    <t>The explosion of smart, interconnected IoT devices 1) Integrate self-* capabilities: leverage automated adap- is driving demand for higher performance, real-time process- tation, reconfiguration, and healing to improve the re- ing, and self-* capabilities (self-adaptation, self-reconfiguration, silience and responsiveness of smart applications. self-healing) across heterogeneous platforms. CPUs, GPUs, and 2) Reduce human effort: offload labor-intensive tuning FPGAs now provide exceptional compute power but greatly complicate software toolchains. We envision AI-COMPILER, tasks for each hardware type, accelerating development an LLM-driven, domain-specific framework that automates and deployment cycles. co-compilation and optimization of heterogeneous applications 3) Enable multi-objective optimization: balance perfor- in smart cities, smart transportation, and real-time analytics. mance, power consumption, latency, and reliability in Tackling multi-objective goals—power efficiency, reliability, and IoT systems. dynamic reconfiguration—AI-COMPILER aims to transform how IoT and edge infrastructures are developed, deployed, and 4) Maintain semantic fidelity across DSLs: ensure that maintained. We examine critical issues such as generalization cross-platform transformations preserve functional cor- to new hardware, human-AI collaborative tuning, and semantic rectness and domain-specific constraints. coherence across multiple DSLs, arguing that AI-COMPILER canusherinmoreagile,resilientIoTecosystemsthroughflexible, II. BACKGROUNDANDMOTIVATION context-aware code generation and adaptation.</t>
  </si>
  <si>
    <t>Towards Class Diagram Generation from User Stories Using LLMs</t>
  </si>
  <si>
    <t>Software Engineering Group Software Engineering Group Institute of Information Security and Dependability</t>
  </si>
  <si>
    <t>Integrating large language models into software modeling has unlocked new possibilities for automating stories describe software features informally, highlighting the laborintensive processes. One promising application is the value they provide to the customer. These types of approaches automatic generation of Unified Modeling Language class foster a shared understanding among teams about what to build, diagrams from user stories, which traditionally requires who will use it, why it is needed, and when it should be significant manual effort and expertise. This paper takes the first step towards developing an application that utilizes LLMs to delivered. The simplicity and clarity of user stories make them bridge artificial intelligence and software modeling. The proposed a popular method for conveying product functionality, ensuring approach is assessed based on key metrics such as ease of that all stakeholders have a common ground for discussing integration and its ability to interpret ambiguous or incomplete requirements. By ensuring user stories are well-defined and requirements. Additionally, the paper examines the challenges of handling domain-specific constraints and the trade-offs between actionable, development teams can streamline the project rule-based and fully automated methods, evaluating how they workflow and improve overall outcomes. balance user control and system autonomy. By taking the initial By efficiently converting abstract concepts into well- steps towards streamlining class diagram generation and reducing structured models, large language models (LLMs) [3] bridge reliance on manual modeling, this study contributes to advancing automation in software engineering. the gap in software modelling. This enables teams to transition</t>
  </si>
  <si>
    <t>Towards Model-Driven Engineering for Big Data Analytics -- An Exploratory Analysis of Domain-Specific Languages for Machine Learning</t>
  </si>
  <si>
    <t>https://doi.org/10.1109/HICSS.2014.101</t>
  </si>
  <si>
    <t>processing (OLAP) while for the latter, probabilistic Graphical models and general purpose inference analysis techniques can be used with great success. algorithms are powerful tools for moving from impera- In the context of big data, much research focusses tive towards declarative specification of machine on technological aspects such as coping with petabyte- learning problems. Although graphical models define scale datasets. Various approaches to accomplish this the principle information necessary to adapt inference are discussed in the literature [4], with the MapReduce algorithms to specific probabilistic models, entirely paradigm being the most well-known [5]. Yet even model-driven development is not yet possible. Howev- more important than having the technology to process er, generating executable code from graphical models data is hiring talented people capable to make sense of could have several advantages. It could reduce the it. Data alone is worthless without analysis. Demand skills necessary to implement probabilistic models and for data scientists is way ahead of supply [6]. may speed up development processes. Both advantages One reason why data scientists are that hard to find address pressing industry needs. They come along with can be found by considering the skillset they have to increased supply of data scientist labor, the demand of possess. The machine learning and data mining com- which cannot be fulfilled at the moment. To explore the munities have developed a long list of different algo- opportunities of model-driven big data analytics, I rithms for tackling all sorts of analysis problems. review the main modeling languages used in machine Among the most popular examples are k-means for learning as well as inference algorithms and corre- clustering and support vector machines for classifica- sponding software implementations. Gaps hampering tion [7]. Sophisticated software tools such as WEKA direct code generation from graphical models are [8]</t>
  </si>
  <si>
    <t>Included: applies AI to model-to-code synthesis; applies AI to domain-specific language/model engineering; applies AI within model-driven engineering context</t>
  </si>
  <si>
    <t>Towards a Domain-Specific Language for Provisioning Multiple Cloud Testing Environments for Mobile Applications</t>
  </si>
  <si>
    <t>Bogota´, Colombia Bogota´, Colombia</t>
  </si>
  <si>
    <t>https://doi.org/10.1109/ICI2ST57350.2022.00033</t>
  </si>
  <si>
    <t>Provisioning testing environments specifications. Software testing helps in the prevention of for mobile applications is one of the most significant challenges errors in a system [2]. within the software industry. Due to this high complexity that exists when provisioning test environments within the multiple available cloud platforms, it is necessary to make a significant Around66%oftheworld’spopulationhadamobiledevice, investment in human resources, like time and effort for the suchasaphone,tablet,orInternetofThingsdevice,in2021, implementation and execution of testing. There is additional and the number of smartphone users hit 3.8 billion. [3] In complexity:testingsoftwareinasingleenvironmentisnolonger 2018, more than 205 billion mobile apps were downloaded sufficient. Today’s mobile industry is constantly growing, and from the app stores [4]. Mobile applications are expected to executionenvironmentstendtobealwaysdifferent;thehardware configuration is usually different and sometimes exceeds the earn $935 billion in revenue in 2023 as opposed to the $365 software barrier. It is challenging to execute testing on each billion they did in 2018 [5]. of the existing devices, as this requires a long task of human intervention. Even if they try, companies cannot test software on every Today some platforms provide testing services in different envi- available device. Because Smartphones and tablets are two ronments. However, not all providers have the complete set of environmentsthatonewouldliketohave,andspecificknowledge examples of mobile electronics that are gaining popularity. is mandatory for using each available tool. It is a task that According to research, around a third of people worldwide requires expertise and time. This work seeks to mitigate the own a portable gadget [6]. Companies must decide which impact on time and the learning curve through a high-level devices to use to execute testing in each stage of the tool developed using a model-oriented approach, t</t>
  </si>
  <si>
    <t>Included: addresses software/systems modelling; applies learning-based technique to model engineering</t>
  </si>
  <si>
    <t>Training LLMs for Generating IEC 61131-3 Structured Text with Online Feedback</t>
  </si>
  <si>
    <t>Aaron Haag, Bertram Fuchs, Altay Kacan, Oliver Lohse</t>
  </si>
  <si>
    <t>https://doi.org/10.1109/LLM4Code66737.2025.00013</t>
  </si>
  <si>
    <t>IEC 61131-3 Structured Text (ST) is a widely based on expert feedback. With LLMs growing in size and used programming language for programmable logic controllers complexity, this method can become prohibitively expensive (PLCs) in automation systems. However, generating ST code if human experts label IEC 61131-3 conform generated code. with LLMs poses unique challenges due to limited data in Therefore,innovativealignmentmethodsbeyonddirecthuman public training datasets and the complexity of ST language syntax. This paper proposes an approach to fine-tune LLMs feedback are needed to fully leverage these models. for the generation of ST code that leverages a preference-based In response to this challenge, this work utilizes synthetic learning method through an online process involving compiler experts in an iterative online approach based on syntactic feedback and evaluation from an LLM-based ST expert. In this compiler feedback and a dedicated semantic LLM expert. To framework, the model is iteratively refined and generates new overcomethedatascarcityofPLCcodesamples,theproposed trainingsamples,whicharesubsequentlyevaluatedbyacompiler for syntactical correctness and by a specialized LLM that excels framework exclusively exploits preexisting user prompt and atassessingsemanticaccuracy,thoughitisnotoptimizedforcode code pairs derived from the APPS dataset [10] for SFT, generationitself.Thisapproachresultsinmarkedimprovements as well as additional prompts that are subsequently used in for the trained LLM, leading to higher compilation success an online finetuning scheme similar to Online AI Feedback rates and better semantic precision. As a result, the framework (OAIF) [11]. This eliminates the need for large code datasets. proveshighlysuitableforindustrialautomationapplicationsand outperforms state-of-the-art models. The approach iteratively refines the model and incorporates</t>
  </si>
  <si>
    <t>Unified Modelling and Consistency Verification of UML Multi-View Models Using Alloy</t>
  </si>
  <si>
    <t>Unified Modelling and Consistency Verification</t>
  </si>
  <si>
    <t>https://doi.org/10.1109/APSEC66846.2025.00107</t>
  </si>
  <si>
    <t>As software systems grow in complexity, cannot formally verify cross-view semantic consistency, Model-Driven Development demands precise and scalable detecting fewer than 50% of errors [12]. verificationtechniques.UMLenablesmulti-viewmodeling, To address these challenges, we propose a model yet its semiformal semantics frequently lead to inconsis- transformation framework for consistency validation be- tenciesacrossdiagrams.Thispaperpresentsaconsistency verification approach for class and sequence diagrams tween CDs and SDs. The approach maps class and using the Alloy modeling language. We systematically sequence models into an Alloy model, applies a li- transformUMLmodelsintoAlloylogicthroughamodular brary of predefined consistency rules, and leverages abstraction strategy and a set of formal consistency rules the Alloy Analyzer to automatically analyse and report spanning structural, behavioral, and cross-view semantics. inconsistencies. The paper reviews UML consistency TheAlloyAnalyzerthenperformsconstraintsolving,auto- maticallydetectsviolations,andgeneratescounterexamples issues,presentsourCD/SD-to-Alloyverificationmethod, for debugging. Evaluated in a case study, the method demonstrates a case study, and concludes with findings demonstrateseffectiveinconsistencydetection,comprehen- and future work. sive rule coverage, and reliable validation of interaction logic.Resultsconfirmthattheapproachenablesautomated, II. BACKGROUNDANDRELATEDWORK fine-grained consistency checking and integrates smoothly into formal verification workflows. Multi-view inconsistencies can compromise software</t>
  </si>
  <si>
    <t>Using LLMs for Writing ATL Model Transformation Code</t>
  </si>
  <si>
    <t>Al Ain, United Arab Emirates Al Ain, United Arab Emirates</t>
  </si>
  <si>
    <t>Large Language Models (LLMs) have demonstrated ATL task, including evaluation of compilation/execution errors remarkable capabilities in code generation across various pro- and formatting inconsistencies, and (3) discussion on the gramming languages and domains. In this paper, we present implications for exploiting LLMs in MDE domain. the first empirical study investigating the use of LLMs for The remainder of this paper is structured as follows. Sec- generating ATL (ATLAS Transformation Language) model trans- formation code in the context of Model-Driven Engineering tion II discusses the related work. Section III illustrates the (MDE). Through controlled experiments using minimal prompts approach, and Section IV discusses the evaluation of the and metamodels, we show that state-of-the-art LLMs such as approach. Finally, Section V concludes the paper and discusses ChatGPT and Claude can produce syntactically correct and future work. executable ATL transformations. The results confirm that LLMs have implicitly learned ATL’s structural and semantic patterns, II. RELATED WORK enabling the automatic generation of valid transformation rules. This section provides a summary of existing work in This opens new research directions for the MDE community, sug- gesting that LLMs can serve as practical assistants or co-authors this domain. Model transformation is a vital step in MDE, in building and validating model transformation solutions. with taxonomies organizing languages by execution semantics,</t>
  </si>
  <si>
    <t>Using Large Language Models to Extract UML Class Diagrams from Java Programs</t>
  </si>
  <si>
    <t>https://doi.org/10.1109/ICoSSE65712.2025.00020</t>
  </si>
  <si>
    <t>Many organizations rely on software systems to The class diagram is the most commonly used type of UML perform their core business operations. These systems often diagram, and it defines a data-oriented view of a system, require modernization to accommodate new requirements and focusing on the classes and their relationships within the demands over time. Visual representations and diagrams help software system. Large Language Models (LLMs) are a type maintainers to understand these systems and to assist their maintenanceandevolution.Reverseengineeringisusedtoextract of machine learning (ML) technology that are trained on a different representations of software systems, and the model- massive amount of textual data and can perform a variety of driven engineering (MDE) approach can be used to assist the specificdownstreamtasks.Theyhavehadasignificantimpact reverse engineering process, leading to model-driven reverse on various domains, including software engineering, where engineering (MDRE). Large Language Models (LLMs) are an they are used in various activities, including software devel- advanced deep learning (DL) technology increasingly being ap- pliedinvariousdomains.Despitethis,theuseofLLMstoextract opment, verification, maintenance, and quality assurance [3]. diagramsfromsourcecodehasrarelybeenused.Inthispaper,we Since LLMs are trained on datasets involving programming introduceanovelMDREframework,LLM4Models,thatextracts languages, they can understand the syntax and semantics of UML class diagrams from Java source code files using LLMs. variousprograms,savingdeveloperstimeandeffortcompared The paper also introduces a set of rules to extract UML class to traditional MDRE tools. Although combining traditional diagram representations. These rules have been implemented to createtrainingdatasamples,whicharethenusedtofine-tunethe MDRE techniques with LLMs can offer many prospective pre-trained LLM. Finally, the proposed framework is explained benefits, research on th</t>
  </si>
  <si>
    <t>Using the SCADE Toolchain to Generate Requirements-Based Test Cases for an Adaptive Cruise Control System</t>
  </si>
  <si>
    <t>Adina Aniculaesei, Andreas Vorwald, and Andreas Rausch</t>
  </si>
  <si>
    <t>https://doi.org/10.1109/MODELS-C.2019.00079</t>
  </si>
  <si>
    <t>In the last years, model-driven engineering has the driver are taken on by complex software systems. The gained a lot of traction, especially in industrial domains, such complexity of automotive software is reflected in extensive asautomotiveoravionics.Varioustoolswhichsupportmodel- catalogues of system requirements, which are becoming driven engineering, e.g. SCADE or MATLAB/Simulink, have more common in the automotive industry [1]. Although developed over the years in fully fledged integrated develop- ment environments, with strong capabilities for the modeling formal verification methods can be used to check parts of a of complex software systems. Model-driven engineering tools complex automotive system, neither international standards are mature enough so that the model created with them are nor national certification bodies consider these approaches amenabletoformalanalysisforthepurposeofverificationand to be sufficient for the validation of the automotive system validation.Acceptancetestingisavalidationmethodbywhich with respect to the customer and legal requirements. Thus, a system is tested extensively against legal and customer re- quirements,beforeitisallowedinseriesproduction.Duetothe before being allowed in series production, an automotive inherentcomplexityofautomotivesystems,largerequirements systemmustpassallitsacceptancetests,andthus,fulfillall catalogueshavebecomeusualinthisdomain.Checkingthata requirementsinthecatalogue.Moreover,certificationbodies complex automotive software system conforms to an extensive requirethatanautomotivesystemistestedinthefieldbefore requirements catalogue is a task which cannot be managed being allowed in public use. manuallyanymore.Inthispaper,wedesignaworkflowfortest engineerstoconstructtestcasesfromformalizedrequirements Software testing is a process which requires a lot of and examine the quality of tests via mutant testing within the expert knowledge. In the automotive domain, requirements SCADEtoolchain.Weconstruct</t>
  </si>
  <si>
    <t>Verification Method of UML Diagrams Using Large Language Models</t>
  </si>
  <si>
    <t>Graduate School of Engineering and Science, Shibaura Institute of Technology, Saitama, Japan</t>
  </si>
  <si>
    <t>UML state diagrams are increasingly used in sec- constraint that the LLM may only use information visible in ondaryeducation,suchastheJapaneseInformaticsIcourse,yet the drawing. We realize this pipeline in two prototypes: a students often struggle with dynamic behavior even after mas- smartphoneappthatprovidescodeand,whencodegeneration tering surface notation. Existing execution environments assume fails, concise revision guidance, and a web-based prototype carefullyprepareddigitalmodelsindedicatedtools,whichcanbe demandingfornovices.Thiswork-in-progressproposesanLLM- that integrates code generation and execution and adopts based approach that generates executable code directly from compiler-like feedback that reports only fatal diagram errors. images of hand-drawn UML state diagrams, allowing students We evaluate conversion accuracy and failure patterns as an to experiment with runtime behavior while keeping the familiar initial step toward assessing whether this approach is reliable practice of sketching by hand. We implement prototypes for enough for classroom use and discuss directions for future smartphoneandwebenvironmentsandevaluateconversionaccu- racyondiagramsofvaryingcomplexity.Preliminaryexperiments classroom trials. show useful accuracy on low-complexity diagrams and confirm • We propose an LLM-based pipeline that takes a hand- thatthesystemdoesnotsilentlyfixintentionallyfaultydiagrams, drawn UML state diagram as an image, uses the LLM suggestingthatthisapproachispromisingforsupportingnovices toreconstructitsstructure,andgeneratesexecutableJava in learning dynamic behavior. codeoranexpliciterrorreport,whilerestrictingtheLLM</t>
  </si>
  <si>
    <t>#</t>
  </si>
  <si>
    <t>Reviewer</t>
  </si>
  <si>
    <t>Full-Text Decision</t>
  </si>
  <si>
    <t>Exclusion Reason</t>
  </si>
  <si>
    <t>Notes</t>
  </si>
  <si>
    <t>Change-aware round-trip benchmarking of LLMs for reliable and efficient artifact co-evolution</t>
  </si>
  <si>
    <t>Thabiso Matsaba</t>
  </si>
  <si>
    <t>Pre-coded AI-DME relevant study (RQ2, RQ6, RQ8, RQ10). Evaluates LLMs (GPT-5, Gemini 2.5, DeepSeek V3, Qwen3) for round-trip consistency &amp; co-evolution between class models and schemas under controlled edits. Measures edit persistence, structural validity, and run-to-run consistency.</t>
  </si>
  <si>
    <t>Semanti-MOP: Bridging the semantic gap in automated architecture refactoring via instability-aware Large Language Models</t>
  </si>
  <si>
    <t>Pre-coded AI-DME relevant study (RQ2, RQ3, RQ6, RQ7, RQ14). Combines LLMs (RAG) and search-based optimization for architectural refactoring and microservice decomposition on Apache Flink.</t>
  </si>
  <si>
    <t>A framework for assessing the capabilities of code generation of constraint domain-specific languages with large language models</t>
  </si>
  <si>
    <t>Pre-coded AI-DME relevant study (RQ4, RQ8, RQ9, RQ10). Evaluates LLM generation of formal constraint DSLs (OCL, Alloy) from textual specifications with code repair mechanisms.</t>
  </si>
  <si>
    <t>Automatic translation of natural language requirements into CTL specifications using Large Language Models: A multi-approach evaluation</t>
  </si>
  <si>
    <t>Pre-coded AI-DME relevant study (RQ5, RQ8, RQ9, RQ12). Fine-tuning &amp; prompting LLMs to translate natural language requirements into CTL formal verification models. Multi-approach evaluation.</t>
  </si>
  <si>
    <t>Detecting semantic alignments between textual specifications and domain models</t>
  </si>
  <si>
    <t>Pre-coded AI-DME relevant study (RQ5, RQ6, RQ8). Applies NLP and LLMs to detect alignments and misalignments between textual specifications and domain models with high precision.</t>
  </si>
  <si>
    <t>Assessing UML diagrams by GPT: Implications for education</t>
  </si>
  <si>
    <t>Pre-coded AI-DME relevant study (RQ4, RQ6, RQ8, RQ9). Evaluates GPT’s capabilities in assessing and grading UML use case, class, and sequence diagrams against expert baselines. Educational implications.</t>
  </si>
  <si>
    <t>Automated spectrum-based model fault localization within a search framework</t>
  </si>
  <si>
    <t>Pre-coded AI-DME relevant study (RQ4, RQ6, RQ8). Applies Whale Optimization Algorithm and Learning-to-Rank for spectrum-based fault localization on Extended Finite State Machines (EFSM).</t>
  </si>
  <si>
    <t>An architecture for model-based and intelligent automation in DevOps</t>
  </si>
  <si>
    <t>Pre-coded AI-DME relevant study (RQ1, RQ2, RQ3, RQ13). The AIDOaRt framework integrating AI/ML and Model-Driven Engineering for continuous system validation across multiple industrial case studies.</t>
  </si>
  <si>
    <t>Convolutional neural networks for enhanced classification mechanisms of metamodels</t>
  </si>
  <si>
    <t>Pre-coded AI-DME relevant study (RQ2, RQ4, RQ6). Uses deep Convolutional Neural Networks (memoCNN) to automatically categorize and manage Ecore metamodel repositories.</t>
  </si>
  <si>
    <t>An evolutionary approach for generating software models: The case of Kromaia in Game Software Engineering</t>
  </si>
  <si>
    <t>Pre-coded AI-DME relevant study (RQ6, RQ7, RQ11). Evolutionary model generation (EMoGen) producing industrial software models of &gt;1000 elements in 5 hours versus 10 months of manual effort (Kromaia game).</t>
  </si>
  <si>
    <t>Comparison of search strategies for feature location in software models</t>
  </si>
  <si>
    <t>Pre-coded AI-DME relevant study (RQ4, RQ6, RQ11). Evaluates metaheuristic search algorithms (random search, ILS, hill climbing, evolutionary algorithm, hybrid) across 1,895 feature location problems from 40 industrial software product lines.</t>
  </si>
  <si>
    <t>MOMM: Multi-objective model merging</t>
  </si>
  <si>
    <t>Pre-coded AI-DME relevant study (RQ2, RQ3, RQ6, RQ7). NSGA-II multi-objective optimization approach for resolving conflicts in collaborative model engineering (model merging).</t>
  </si>
  <si>
    <t>QExplore: An exploration strategy for dynamic web applications using guided search</t>
  </si>
  <si>
    <t>Pre-coded AI-DME relevant study (RQ2, RQ3, RQ6). Reinforcement learning (Q-learning) based exploration strategy for dynamic web applications, synthesizing behavioral state models.</t>
  </si>
  <si>
    <t>On the understandability of machine learning practices in deep learning and reinforcement learning based systems</t>
  </si>
  <si>
    <t>Addresses ML/MLOps engineering rather than AI applied to software models (UML/SysML/DSL/metamodels)</t>
  </si>
  <si>
    <t>Assessed at full-text; does not meet AI-DME inclusion criteria</t>
  </si>
  <si>
    <t>Investigating the performance of personalized models for software defect prediction</t>
  </si>
  <si>
    <t>Uses 'model' to mean a predictive machine-learning model (not a software/design model)</t>
  </si>
  <si>
    <t>Predictive maintenance using digital twins: A systematic literature review</t>
  </si>
  <si>
    <t>Focus on predictive maintenance / digital twins without AI-driven software model generation, transformation or validation</t>
  </si>
  <si>
    <t>A model-driven, metrics-based approach to assessing support for quality aspects in MLOps system architectures</t>
  </si>
  <si>
    <t>Model-driven topic present but does not apply an identifiable AI technique (LLM/ML/DL/agents) to generate, transform, validate, repair or evolve software models</t>
  </si>
  <si>
    <t>Barriers and enablers for traceability and federation in model-based digital twin engineering</t>
  </si>
  <si>
    <t>Digital-twin interoperability/traceability focus; insufficient AI application to software model lifecycle tasks</t>
  </si>
  <si>
    <t>HarmonyCAS: A model-driven framework for facilitating interoperability in context-aware systems</t>
  </si>
  <si>
    <t>Model-based M2M transformations based on drag-and-drop actions: Approach and implementation</t>
  </si>
  <si>
    <t>RAIDAD: A model-driven framework for automated and agile development of IoT data analysis software</t>
  </si>
  <si>
    <t>An ontology-driven approach to target manufacturing digital models’ interoperability in developing digital twins</t>
  </si>
  <si>
    <t>Experiences and challenges from a software ecosystem for cyber–physical systems development: An empirical study on industry-academia collaboration</t>
  </si>
  <si>
    <t>Does not apply an identifiable AI technique to a software model-engineering task (out of AI-DME scope)</t>
  </si>
  <si>
    <t>A general framework for building interactive digital twins via CAE-based synthetic data and modular deployment</t>
  </si>
  <si>
    <t>An empirical guide to MLOps adoption: Framework, maturity model and taxonomy</t>
  </si>
  <si>
    <t>Formal requirements engineering and large language models: A two-way roadmap</t>
  </si>
  <si>
    <t>Mitigation strategies for confidentiality violations in software architecture using ranked feature importance</t>
  </si>
  <si>
    <t>No identifiable AI technique applied to a model-engineering task</t>
  </si>
  <si>
    <t>Generative AI for software architecture. Applications, challenges, and future directions</t>
  </si>
  <si>
    <t>Survey/roadmap paper; conceptual discussion without primary empirical or tool contribution meeting inclusion criteria</t>
  </si>
  <si>
    <t>A model-based mode-switching framework based on security vulnerability scores</t>
  </si>
  <si>
    <t>Accessibility of low-code approaches: A systematic literature review</t>
  </si>
  <si>
    <t>Secondary/tertiary study (SLR/SMS) – no primary technical contribution applying AI to model-engineering tasks</t>
  </si>
  <si>
    <t>Early validation of cyber–physical space systems via multi-concerns integration</t>
  </si>
  <si>
    <t>Model driven engineering for machine learning components: A systematic literature review</t>
  </si>
  <si>
    <t>CSAML: A language for aerospace control software architecture synthesis — Modeling, refinement, and verification</t>
  </si>
  <si>
    <t>Connecting systems engineering and domain expertise through a toolchain: A simulation-integrated MBSE approach</t>
  </si>
  <si>
    <t>Identifying testing behaviour patterns in conceptual modelling education</t>
  </si>
  <si>
    <t>Extracting finite state models from i* models</t>
  </si>
  <si>
    <t>Systematic composition of independent language features</t>
  </si>
  <si>
    <t>Evolution of software in automated production systems: Challenges and research directions</t>
  </si>
  <si>
    <t>Dynamic analysis of quantum annealing programs</t>
  </si>
  <si>
    <t>A bibliometric assessment of software engineering scholars and institutions (2010–2017)</t>
  </si>
  <si>
    <t>EdgeWorkflow: One click to test and deploy your workflow applications to the edge</t>
  </si>
  <si>
    <t>A DEVS-based MBSE methodology for seamless deployment via Formal Digital Twin architectures</t>
  </si>
  <si>
    <t>A controlled experiment to evaluate the understandability of KAOS and i* for modeling Teleo-Reactive systems</t>
  </si>
  <si>
    <t>Architecting data-intensive applications: From architectural design to data quality</t>
  </si>
  <si>
    <t>Trust requirements in sociotechnical systems: A systematic literature review</t>
  </si>
  <si>
    <t>Supporting semi-automatic co-evolution of architecture and fault tree models</t>
  </si>
  <si>
    <t>A model-driven approach for constructing ambient assisted-living multi-agent systems customized for Parkinson patients</t>
  </si>
  <si>
    <t>A Systematic Literature Review of iStar extensions</t>
  </si>
  <si>
    <t>Commit-time defect prediction using one-class classification</t>
  </si>
  <si>
    <t>Automated engineering of domain-specific metamorphic testing environments</t>
  </si>
  <si>
    <t>Architectural support for software performance in continuous software engineering: A systematic mapping study</t>
  </si>
  <si>
    <t>ACCESS: Assurance Case Centric Engineering of Safety–critical Systems</t>
  </si>
  <si>
    <t>Towards the automated extraction and refactoring of NoSQL schemas from application code</t>
  </si>
  <si>
    <t>Model based system assurance using the structured assurance case metamodel</t>
  </si>
  <si>
    <t>Using deep temporal convolutional networks to just-in-time forecast technical debt principal</t>
  </si>
  <si>
    <t>A systematic review on security and safety of self-adaptive systems</t>
  </si>
  <si>
    <t>The state of the art on design patterns: A systematic mapping of the literature</t>
  </si>
  <si>
    <t>Requirements-driven database evolution: A systematic literature review</t>
  </si>
  <si>
    <t>Automated inference of likely metamorphic relations for model transformations</t>
  </si>
  <si>
    <t>Software traceability in the automotive domain: Challenges and solutions</t>
  </si>
  <si>
    <t>A model-based solution for automated (Re-)engineering of task-oriented chatbots</t>
  </si>
  <si>
    <t>A family of experiments to generate graphical user interfaces from BPMN models with stereotypes</t>
  </si>
  <si>
    <t>Model transformation and property preservation in rigorous software development: A systematic literature review</t>
  </si>
  <si>
    <t>Investigating automated change analysis in FinTech regulations</t>
  </si>
  <si>
    <t>MAS-ML 2.0: Supporting the modelling of multi-agent systems with different agent architectures</t>
  </si>
  <si>
    <t>Software architectures for robotic systems: A systematic mapping study</t>
  </si>
  <si>
    <t>Software architecture for quantum computing systems — A systematic review</t>
  </si>
  <si>
    <t>On the engineering of robust microservice architectures through anti-pattern recognition</t>
  </si>
  <si>
    <t>Retriever: A view-based approach to reverse engineering software architecture models</t>
  </si>
  <si>
    <t>Architecting ML-enabled systems: Challenges, best practices, and design decisions</t>
  </si>
  <si>
    <t>Testing bidirectional model transformation using metamorphic testing</t>
  </si>
  <si>
    <t>Understanding the landscape of software modelling assistants for MDSE tools: A systematic mapping</t>
  </si>
  <si>
    <t>Extracting REST resource models from procedure-oriented service interfaces</t>
  </si>
  <si>
    <t>Facilitating the co-evolution of semantic descriptions in standards and models</t>
  </si>
  <si>
    <t>A generic approach to model generation operations</t>
  </si>
  <si>
    <t>The impact of tailoring criteria on agile practices adoption: A survey with novice agile practitioners in Brazil</t>
  </si>
  <si>
    <t>Architectural conformance checking for KDM-represented systems</t>
  </si>
  <si>
    <t>Personalization goals for run-time adaptation of IoT-based assistance applications for the elderly</t>
  </si>
  <si>
    <t>Handling conflicts in consistency management of multi-level models in collaborative Digital Twins modelling environments</t>
  </si>
  <si>
    <t>GPTSniffer: A CodeBERT-based classifier to detect source code written by ChatGPT</t>
  </si>
  <si>
    <t>Mapping the structure and evolution of software testing research over the past three decades</t>
  </si>
  <si>
    <t>SemuFuzz: An efficient fuzzing approach for deep learning libraries based on semantic representation</t>
  </si>
  <si>
    <t>Extracting SBVR business vocabularies and business rules from UML use case diagrams</t>
  </si>
  <si>
    <t>GRuM — A flexible model-driven runtime monitoring framework and its application to automated aerial and ground vehicles</t>
  </si>
  <si>
    <t>Verifying contracts among software components: An ontology-based approach</t>
  </si>
  <si>
    <t>Modeling, analyzing and predicting security cascading attacks in smart buildings systems-of-systems</t>
  </si>
  <si>
    <t>Optimization methods for model-implemented fault injection in cyber–physical systems: A Systematic Literature Review</t>
  </si>
  <si>
    <t>Developing software systems to Big Data platform based on MapReduce model: An approach based on Model Driven Engineering</t>
  </si>
  <si>
    <t>Finding faults: A scoping study of fault diagnostics for Industrial Cyber–Physical Systems</t>
  </si>
  <si>
    <t>A data-driven decision model for selecting ML models in research software</t>
  </si>
  <si>
    <t>Developing Mobile Applications Via Model Driven Development: A Systematic Literature Review</t>
  </si>
  <si>
    <t>A conceptual and architectural characterization of antifragile systems</t>
  </si>
  <si>
    <t>Model-based safety analysis of requirement specifications</t>
  </si>
  <si>
    <t>Formal/model-based analysis without identifiable AI technique applied to model engineering</t>
  </si>
  <si>
    <t>Runtime composition in dynamic system of systems: A systematic review of challenges, solutions, tools, and evaluation methods</t>
  </si>
  <si>
    <t>Runtime composition / SoS focus; does not apply AI to software model generation, validation or transformation</t>
  </si>
  <si>
    <t>Supporting meta-model-based language evolution and rapid prototyping with automated grammar transformation</t>
  </si>
  <si>
    <t>Language/metamodel evolution tooling; no AI technique used</t>
  </si>
  <si>
    <t>An architectural perspective on MLOps: Structures, processes, tools, and stakeholders</t>
  </si>
  <si>
    <t>Evolving models in Model-Driven Engineering: State-of-the-art and future challenges</t>
  </si>
  <si>
    <t>Conceptual/state-of-the-art discussion without a technical AI contribution to model engineering</t>
  </si>
  <si>
    <t>A systematic literature review on model-based requirements engineering</t>
  </si>
  <si>
    <t>Specifying uncertainty in use case models</t>
  </si>
  <si>
    <t>No identifiable AI technique; traditional modelling extension only</t>
  </si>
  <si>
    <t>Performance comparison of query-based techniques for anti-pattern detection</t>
  </si>
  <si>
    <t>Structured policy modeling and context-aware generation for multi-jurisdictional compliance in global software systems</t>
  </si>
  <si>
    <t>A method to generate reusable safety case argument-fragments from compositional safety analysis</t>
  </si>
  <si>
    <t>Understanding the issues, their causes and solutions in microservices systems: An empirical study</t>
  </si>
  <si>
    <t>Microservices maintenance/anti-patterns study; no AI applied to software model generation or transformation</t>
  </si>
  <si>
    <t>Software product families from a phylogenetics perspective for video game content generation</t>
  </si>
  <si>
    <t>Engineering context-aware systems and applications: A survey</t>
  </si>
  <si>
    <t>Does not address software or systems modelling with AI (context-aware/ubiquitous systems focus)</t>
  </si>
  <si>
    <t>Safety for mobile robotic systems: A systematic mapping study from a software engineering perspective</t>
  </si>
  <si>
    <t>Understanding the challenges and requirements for facilitating iStar learning: An empirical study with iStar learners</t>
  </si>
  <si>
    <t>An OSLC-based environment for system-level functional testing of ERTMS/ETCS controllers</t>
  </si>
  <si>
    <t>Probabilistic program performance analysis with confidence intervals</t>
  </si>
  <si>
    <t>AMon: A domain-specific language and framework for adaptive monitoring of Cyber–Physical Systems</t>
  </si>
  <si>
    <t>The Symposium on Search-Based Software Engineering: Past, Present and Future</t>
  </si>
  <si>
    <t>SBSE survey/optimisation focus; does not apply AI to generate, transform, validate or evolve software models</t>
  </si>
  <si>
    <t>Deriving architectural models from requirements specifications: A systematic mapping study</t>
  </si>
  <si>
    <t>CrossRec: Supporting software developers by recommending third-party libraries</t>
  </si>
  <si>
    <t>Interactive semi-automated specification mining for debugging: An experience report</t>
  </si>
  <si>
    <t>A meta-model for software protections and reverse engineering attacks</t>
  </si>
  <si>
    <t>A survey of many-objective optimisation in search-based software engineering</t>
  </si>
  <si>
    <t>A framework for modelling tactical decision-making in autonomous systems</t>
  </si>
  <si>
    <t>Compositional security analysis of dynamic component-based systems</t>
  </si>
  <si>
    <t>A systematic review on the engineering of software for ubiquitous systems</t>
  </si>
  <si>
    <t>A systematic literature review on methods that handle multiple quality attributes in architecture-based self-adaptive systems</t>
  </si>
  <si>
    <t>Predicting resource consumption of Kubernetes container systems using resource models</t>
  </si>
  <si>
    <t>MeMo: Automatically identifying metamorphic relations in Javadoc comments for test automation</t>
  </si>
  <si>
    <t>Model-based test suite generation for graph transformation system using model simulation and search-based techniques</t>
  </si>
  <si>
    <t>Landscaping systematic mapping studies in software engineering: A tertiary study</t>
  </si>
  <si>
    <t>A taxonomy of service identification approaches for legacy software systems modernization</t>
  </si>
  <si>
    <t>Catalog and detection techniques of microservice anti-patterns and bad smells: A tertiary study</t>
  </si>
  <si>
    <t>RAW INCLUDED CANDIDATES (FROM ALL DATABASE TABS)</t>
  </si>
  <si>
    <t>Raw Tab Decision</t>
  </si>
  <si>
    <t>Proceeds to QA &amp; Data Extraction?</t>
  </si>
  <si>
    <t>2018.0</t>
  </si>
  <si>
    <t>No - Excluded during final data extraction curation</t>
  </si>
  <si>
    <t>2026.0</t>
  </si>
  <si>
    <t>Beni Mellal, Morocco</t>
  </si>
  <si>
    <t>IECON 2024 - 50th Annual Conference of the IEEE Industrial Electronics Society</t>
  </si>
  <si>
    <t>2023.0</t>
  </si>
  <si>
    <t>2023 XLIX Latin American Computer Conference (CLEI)</t>
  </si>
  <si>
    <t>2024.0</t>
  </si>
  <si>
    <t>2024 International Conference on Decision Aid Sciences and Applications (DASA)</t>
  </si>
  <si>
    <t>2025.0</t>
  </si>
  <si>
    <t>2025 ACM/IEEE 28th International Conference on Model Driven Engineering Languages and Systems (MODELS)</t>
  </si>
  <si>
    <t>2024 IEEE/ACM International Symposium on Code Generation and Optimization (CGO)</t>
  </si>
  <si>
    <t>2019.0</t>
  </si>
  <si>
    <t>2019 ACM/IEEE 22nd International Conference on Model Driven Engineering Languages and Systems (MODELS)</t>
  </si>
  <si>
    <t>2021.0</t>
  </si>
  <si>
    <t xml:space="preserve"> 2026 6th International Conference on Electrical, Computer and Energy Technologies (ICECET)</t>
  </si>
  <si>
    <t>2021 2nd International Conference on Smart Computing and Electronic Enterprise (ICSCEE)</t>
  </si>
  <si>
    <t>Yes</t>
  </si>
  <si>
    <t xml:space="preserve"> 2025 ACM/IEEE 28th International Conference on Model Driven Engineering Languages and Systems Companion (MODELS-C)</t>
  </si>
  <si>
    <t>2009 IEEE/WIC/ACM International Joint Conference on Web Intelligence and Intelligent Agent Technology</t>
  </si>
  <si>
    <t>2026 6th International Conference on Neural Networks, Information and Communication Engineering (NNICE)</t>
  </si>
  <si>
    <t>IEEE Access ( Volume: 13)</t>
  </si>
  <si>
    <t>2025 ACM/IEEE 28th International Conference on Model Driven Engineering Languages and Systems Companion (MODELS-C)</t>
  </si>
  <si>
    <t>2011.0</t>
  </si>
  <si>
    <t>2020.0</t>
  </si>
  <si>
    <t>2013.0</t>
  </si>
  <si>
    <t>Raleigh, NC, USA</t>
  </si>
  <si>
    <t>https://ieeexplore.ieee.org/document/4144732</t>
  </si>
  <si>
    <t>2022.0</t>
  </si>
  <si>
    <t>SHERPA: A Model-Driven Framework for Large Language Model Execution</t>
  </si>
  <si>
    <t>ACM Conferences</t>
  </si>
  <si>
    <t>No - Excluded during final data extraction curation — NOTE: study included as P07 (see Final_Included_Studies)</t>
  </si>
  <si>
    <t>2016.0</t>
  </si>
  <si>
    <t>Mälardalen University, School of Innovation, Design and Engineering, Embedded Systems.</t>
  </si>
  <si>
    <t>https://mdh.diva-portal.org/smash/record.jsf?pid=diva2%3A2022791&amp;dswid=-1010</t>
  </si>
  <si>
    <t>2014.0</t>
  </si>
  <si>
    <t>IEEE Waikoloa, HI, USA</t>
  </si>
  <si>
    <t>2022 Third International Conference on Information Systems and Software Technologies (ICI2ST)</t>
  </si>
  <si>
    <t>2025 32nd Asia-Pacific Software Engineering Conference (APSEC)</t>
  </si>
  <si>
    <t>2025 8th International Conference on Software and System Engineering (ICoSSE)</t>
  </si>
  <si>
    <t>2019 ACM/IEEE 22nd International Conference on Model Driven Engineering Languages and Systems Companion (MODELS-C)</t>
  </si>
  <si>
    <t>Journal of Systems and Software</t>
  </si>
  <si>
    <t>https://doi.org/10.1016/j.jss.2026.113014</t>
  </si>
  <si>
    <t>College of Computing and Information Technology, Arab Academy for Science, Technology and Maritime Transport (AASTMT), Cairo, Egypt</t>
  </si>
  <si>
    <t>https://doi.org/10.1016/j.infsof.2026.108280</t>
  </si>
  <si>
    <t>No — excluded 25 Sep 2026 (EC6; formerly P26)</t>
  </si>
  <si>
    <t>ITIS Software, Universidad de Málaga,Avda. Cervantes 2, Málaga, Málaga, 29071, Spain</t>
  </si>
  <si>
    <t>https://doi.org/10.1016/j.jss.2026.112871</t>
  </si>
  <si>
    <t>Amazon AWS, 399 W Georgia St, Vancouver, BC V6B 1Z1, Canada</t>
  </si>
  <si>
    <t>https://doi.org/10.1016/j.infsof.2026.108154</t>
  </si>
  <si>
    <t>NAV CANADA, 151 Slater St., Suite 120, Ottawa, Ontario, Canada K1P 5M6</t>
  </si>
  <si>
    <t>https://www.sciencedirect.com/science/article/pii/S0950584926001436</t>
  </si>
  <si>
    <t>School of Computer Science, Wuhan University, Wuhan, 430072, China</t>
  </si>
  <si>
    <t>https://doi.org/10.1016/j.jss.2025.112709</t>
  </si>
  <si>
    <t>School of Computer Science and Technology, Zhejiang Sci-Tech University, Hangzhou 310018, China</t>
  </si>
  <si>
    <t>https://doi.org/10.1016/j.jss.2025.112576</t>
  </si>
  <si>
    <t>No — excluded 25 Sep 2026 (EC6; formerly P29)</t>
  </si>
  <si>
    <t>Department of Communication Science, University of Teramo, Teramo, Italy</t>
  </si>
  <si>
    <t>https://doi.org/10.1016/j.jss.2024.112180</t>
  </si>
  <si>
    <t>Università degli studi dell’Aquila, 67100 L’Aquila, Italy</t>
  </si>
  <si>
    <t>https://doi.org/10.1016/j.jss.2020.110860</t>
  </si>
  <si>
    <t>No — excluded 25 Sep 2026 (EC6; formerly P31)</t>
  </si>
  <si>
    <t>Universidad San Jorge. SVIT Research Group, AutovíaA-23 Zaragoza-Huesca Km.299, 50830, Zaragoza, Spain</t>
  </si>
  <si>
    <t>https://doi.org/10.1016/j.jss.2020.110804</t>
  </si>
  <si>
    <t>SVIT Research Group, Autovía, 50830, Zaragoza, Spain</t>
  </si>
  <si>
    <t>https://doi.org/10.1016/j.jss.2021.111037</t>
  </si>
  <si>
    <t>University of Michigan, Dearborn, MI, USA</t>
  </si>
  <si>
    <t>https://doi.org/10.1016/j.jss.2014.11.043</t>
  </si>
  <si>
    <t>Quest Lab, Department of Computer Science, National University of Computer and Emerging Sciences, Islamabad, Pakistan</t>
  </si>
  <si>
    <t>https://doi.org/10.1016/j.jss.2022.111512</t>
  </si>
  <si>
    <t>No — excluded 25 Sep 2026 (EC6; formerly P34)</t>
  </si>
  <si>
    <t>Artificial Intelligence Support for Software Architecture Practice: A Systematic Review and Future Directions</t>
  </si>
  <si>
    <t>2026</t>
  </si>
  <si>
    <t>ACM Transactions on Software Engineering and Methodology</t>
  </si>
  <si>
    <t>10.1145/3828546</t>
  </si>
  <si>
    <t>INCLUDE</t>
  </si>
  <si>
    <t>Automated Code Generation from Use cases and the Domain Model</t>
  </si>
  <si>
    <t>2022</t>
  </si>
  <si>
    <t>2022 Hung Yen University of Technology and Education, Vietnam</t>
  </si>
  <si>
    <t>10.15439/2022R27</t>
  </si>
  <si>
    <t>Automating Government Report Generation: A Generative AI Approach for Efficient Data Extraction, Analysis, and Visualization</t>
  </si>
  <si>
    <t>2025</t>
  </si>
  <si>
    <t>10.1145/3691352</t>
  </si>
  <si>
    <t>Exploring Parameter-Efficient Fine-Tuning Techniques for Code Generation with Large Language Models</t>
  </si>
  <si>
    <t>10.1145/3714461</t>
  </si>
  <si>
    <t>Generative Artificial Intelligence for Internet of Things Computing: A Systematic Survey</t>
  </si>
  <si>
    <t>ACM Computing Surveys</t>
  </si>
  <si>
    <t>10.1145/3830013</t>
  </si>
  <si>
    <t>How Do Large Language Models Perform in Deep Learning Code Generation? An Empirical Study</t>
  </si>
  <si>
    <t>10.1145/3816024</t>
  </si>
  <si>
    <t>On the Use of Artificial Intelligence in Software Testing: State of the Art and Application to Satellite Systems</t>
  </si>
  <si>
    <t>ACM Transactions on Cyber-Physical Systems</t>
  </si>
  <si>
    <t>10.1145/3783988</t>
  </si>
  <si>
    <t>Levels of Automated Code Generation (LACG): An Operational Taxonomy for AI-Augmented Software Construction</t>
  </si>
  <si>
    <t>College of Computer and Information Sciences, Fujian Agriculture and Forestry University, Fuzhou 350002, China</t>
  </si>
  <si>
    <t>10.3390/app16104788</t>
  </si>
  <si>
    <t>Harnessing the Power of Large Language Models for Automated Code Generation and Verification</t>
  </si>
  <si>
    <t>2024</t>
  </si>
  <si>
    <t>Industry and Transport Division, TECNALIA, Basque Research and Technology Alliance (BRTA),20009 Donostia-San Sebastian, Spain</t>
  </si>
  <si>
    <t>10.3390/robotics13090137</t>
  </si>
  <si>
    <t>Security Analysis of Automated Code Generation: Structural Vulnerabilities in AI-Generated Code</t>
  </si>
  <si>
    <t>University of Szeged</t>
  </si>
  <si>
    <t>10.31803/tg-20250225095135</t>
  </si>
  <si>
    <t>Generating Java code pairing with ChatGPT</t>
  </si>
  <si>
    <t>THEORETICAL COMPUTER SCIENCE</t>
  </si>
  <si>
    <t>10.1016/j.tcs.2024.114879</t>
  </si>
  <si>
    <t>On the assessment of generative AI in modeling tasks: an experience report with ChatGPT and UML</t>
  </si>
  <si>
    <t>2023</t>
  </si>
  <si>
    <t>SOFTWARE AND SYSTEMS MODELING</t>
  </si>
  <si>
    <t>10.1007/s10270-023-01105-5</t>
  </si>
  <si>
    <t>Towards standarized benchmarks of LLMs in software modeling tasks: a conceptual framework</t>
  </si>
  <si>
    <t>10.1007/s10270-024-01206-9</t>
  </si>
  <si>
    <t>Leveraging LLMs for abstracting UML and OCL representations from Java and Python programs</t>
  </si>
  <si>
    <t>JOURNAL OF SYSTEMS AND SOFTWARE</t>
  </si>
  <si>
    <t>10.1016/j.jss.2026.112874</t>
  </si>
  <si>
    <t>CM2KGcloud-An open web-based platform to transform conceptual models into knowledge graphs</t>
  </si>
  <si>
    <t>SCIENCE OF COMPUTER PROGRAMMING</t>
  </si>
  <si>
    <t>10.1016/j.scico.2023.103007</t>
  </si>
  <si>
    <t>Leveraging synthetic trace generation of modeling operations for intelligent modeling assistants using large language models</t>
  </si>
  <si>
    <t>INFORMATION AND SOFTWARE TECHNOLOGY</t>
  </si>
  <si>
    <t>10.1016/j.infsof.2025.107806</t>
  </si>
  <si>
    <t>Knowledge-Aided Integrated Development Environment for Control Software Development</t>
  </si>
  <si>
    <t>COMPUTING IN SCIENCE &amp; ENGINEERING</t>
  </si>
  <si>
    <t>10.1109/MCSE.2024.3476115</t>
  </si>
  <si>
    <t>Automating code generation for a new ecosystem: establishing baselines with large language model based code generation for ArkTS and HarmonyOS</t>
  </si>
  <si>
    <t>AUTOMATED SOFTWARE ENGINEERING</t>
  </si>
  <si>
    <t>10.1007/s10515-026-00599-9</t>
  </si>
  <si>
    <t>Generating domain models from natural language text using NLP: a benchmark dataset and experimental comparison of tools</t>
  </si>
  <si>
    <t>10.1007/s10270-024-01176-y</t>
  </si>
  <si>
    <t>10.1016/j.jss.2026.112871</t>
  </si>
  <si>
    <t>Quantitative Assessment of Generative Large Language Models on Design Pattern Application</t>
  </si>
  <si>
    <t>CMC-COMPUTERS MATERIALS &amp; CONTINUA</t>
  </si>
  <si>
    <t>10.32604/cmc.2025.062552</t>
  </si>
  <si>
    <t>Guided Tensor Lifting</t>
  </si>
  <si>
    <t>PROCEEDINGS OF THE ACM ON PROGRAMMING LANGUAGES-PACMPL</t>
  </si>
  <si>
    <t>10.1145/3729330</t>
  </si>
  <si>
    <t>Architecting Reliable Multi-Agent Systems with Large Language Models Through Model-Driven Engineering</t>
  </si>
  <si>
    <t>BAGHDAD SCIENCE JOURNAL</t>
  </si>
  <si>
    <t>10.21123/2411-7986.5338</t>
  </si>
  <si>
    <t>An agent-based approach for the automatic generation of valid SysMLv2 Models in industrial contexts</t>
  </si>
  <si>
    <t>COMPUTERS IN INDUSTRY</t>
  </si>
  <si>
    <t>10.1016/j.compind.2025.104350</t>
  </si>
  <si>
    <t>Unified modeling language code generation from diagram images using multimodal large language models</t>
  </si>
  <si>
    <t>MACHINE LEARNING WITH APPLICATIONS</t>
  </si>
  <si>
    <t>10.1016/j.mlwa.2025.100660</t>
  </si>
  <si>
    <t>Developing large language models for quantum chemistry simulation input generation</t>
  </si>
  <si>
    <t>DIGITAL DISCOVERY</t>
  </si>
  <si>
    <t>10.1039/d4dd00366g</t>
  </si>
  <si>
    <t>VeriGen: An LLM-Augmented Framework for End-to-End Automation of Software Development Lifecycle-From Requirements Specifications to Code Generation</t>
  </si>
  <si>
    <t>IEEE ACCESS</t>
  </si>
  <si>
    <t>10.1109/ACCESS.2026.3686308</t>
  </si>
  <si>
    <t>Automatically Generating BPMN 2.0 Process Models from Natural Language Process Descriptions: Challenges, Framework, Quality Assessment</t>
  </si>
  <si>
    <t>BUSINESS &amp; INFORMATION SYSTEMS ENGINEERING</t>
  </si>
  <si>
    <t>10.1007/s12599-025-00983-x</t>
  </si>
  <si>
    <t>Using (Not-so) Large Language Models to Generate Simulation Models in a Formal DSL: A Study on Reaction Networks</t>
  </si>
  <si>
    <t>ACM TRANSACTIONS ON MODELING AND COMPUTER SIMULATION</t>
  </si>
  <si>
    <t>10.1145/3733719</t>
  </si>
  <si>
    <t>Research and prototyping study of an LLM-based chatbot for electromagnetic simulations</t>
  </si>
  <si>
    <t>COMPEL-THE INTERNATIONAL JOURNAL FOR COMPUTATION AND MATHEMATICS IN ELECTRICAL AND ELECTRONIC ENGINEERING</t>
  </si>
  <si>
    <t>10.1108/COMPEL-10-2025-0505</t>
  </si>
  <si>
    <t>Structure-guided function-level code generation with LLMs via UML activity diagrams</t>
  </si>
  <si>
    <t>NEUROCOMPUTING</t>
  </si>
  <si>
    <t>10.1016/j.neucom.2025.132502</t>
  </si>
  <si>
    <t>Using Model Transformation to Generate Chatbots for Web APIs</t>
  </si>
  <si>
    <t>JOURNAL OF INFORMATION SCIENCE AND ENGINEERING</t>
  </si>
  <si>
    <t>10.6688/JISE.202501_41(1).0008</t>
  </si>
  <si>
    <t>DSL-Xpert 2.0: Enhancing LLM-driven code generation for domain-specific languages</t>
  </si>
  <si>
    <t>10.1016/j.infsof.2025.107954</t>
  </si>
  <si>
    <t>SCEditor-Web: Bridging Model-Driven Engineering and Generative AI for Smart Contract Development</t>
  </si>
  <si>
    <t>INFORMATION</t>
  </si>
  <si>
    <t>10.3390/info16100870</t>
  </si>
  <si>
    <t>LLM4MTLs: Automated Generation and Empirical Evaluation of Model Transformation Languages</t>
  </si>
  <si>
    <t>JOURNAL OF OBJECT TECHNOLOGY</t>
  </si>
  <si>
    <t>10.5381/jot.2026.25.3.a22</t>
  </si>
  <si>
    <t>QuaRUM: qualitative data analysis-based retrieval-augmented UML domain model from requirements documents</t>
  </si>
  <si>
    <t>10.1007/s10515-025-00587-5</t>
  </si>
  <si>
    <t>Toward efficient vibe coding: An LLM-based agent for low-code software development</t>
  </si>
  <si>
    <t>JOURNAL OF COMPUTER LANGUAGES</t>
  </si>
  <si>
    <t>10.1016/j.cola.2025.101367</t>
  </si>
  <si>
    <t>Human-LLM collaborative domain modeling: a human-in-the-loop framework and empirical assessment</t>
  </si>
  <si>
    <t>10.1007/s10270-026-01414-5</t>
  </si>
  <si>
    <t>10.1109/ACCESS.2025.3615828</t>
  </si>
  <si>
    <t>Generating P4 data planes using LLMs</t>
  </si>
  <si>
    <t>COMPUTER NETWORKS</t>
  </si>
  <si>
    <t>10.1016/j.comnet.2025.111709</t>
  </si>
  <si>
    <t>LLM-based code generation and system migration in language-driven engineering</t>
  </si>
  <si>
    <t>INTERNATIONAL JOURNAL ON SOFTWARE TOOLS FOR TECHNOLOGY TRANSFER</t>
  </si>
  <si>
    <t>10.1007/s10009-025-00798-x</t>
  </si>
  <si>
    <t>Type-Constrained Code Generation with Language Models</t>
  </si>
  <si>
    <t>10.1145/3729274</t>
  </si>
  <si>
    <t>A Dual-Stage Framework for Behavior-Enhanced Automated Code Generation in Industrial-Scale Meta-Models</t>
  </si>
  <si>
    <t>10.1109/ACCESS.2025.3614174</t>
  </si>
  <si>
    <t>Three decades of the OO-Method: fostering conceptual-model software engineering</t>
  </si>
  <si>
    <t>10.1007/s10270-025-01299-w</t>
  </si>
  <si>
    <t>MAS4SysML: A Multi-Agent Framework for SysML v2 Model Generation from Natural Language</t>
  </si>
  <si>
    <t>JOVE-JOURNAL OF VISUALIZED EXPERIMENTS</t>
  </si>
  <si>
    <t>10.3791/70395</t>
  </si>
  <si>
    <t>STAMINA: a competition to encourage the development and assessment of software model inference techniques</t>
  </si>
  <si>
    <t>2013</t>
  </si>
  <si>
    <t>EMPIRICAL SOFTWARE ENGINEERING</t>
  </si>
  <si>
    <t>10.1007/s10664-012-9210-3</t>
  </si>
  <si>
    <t>AI-Augmented Real-Time Collaborative Blended Modeling Framework for Automotive Embedded Systems</t>
  </si>
  <si>
    <t>IET SOFTWARE</t>
  </si>
  <si>
    <t>10.1049/sfw2/6696040</t>
  </si>
  <si>
    <t>AST-guided transformers for sustainable and reliable UML modeling</t>
  </si>
  <si>
    <t>10.1016/j.mlwa.2026.100940</t>
  </si>
  <si>
    <t>Potential distribution of Biscogniauxia mediterranea and Obolarina persica causal agents of oak charcoal disease in Iran's Zagros forests</t>
  </si>
  <si>
    <t>SCIENTIFIC REPORTS</t>
  </si>
  <si>
    <t>10.1038/s41598-024-57298-2</t>
  </si>
  <si>
    <t>Extending a Generic Traffic Model to Specific Agent Platform Requirements</t>
  </si>
  <si>
    <t>2017</t>
  </si>
  <si>
    <t>COMPUTER SCIENCE AND INFORMATION SYSTEMS</t>
  </si>
  <si>
    <t>10.2298/CSIS161010001F</t>
  </si>
  <si>
    <t>Delite: A Compiler Architecture for Performance-Oriented Embedded Domain-Specific Languages</t>
  </si>
  <si>
    <t>2014</t>
  </si>
  <si>
    <t>ACM TRANSACTIONS ON EMBEDDED COMPUTING SYSTEMS</t>
  </si>
  <si>
    <t>10.1145/2584665</t>
  </si>
  <si>
    <t>Beyond Parallel Programming with Domain Specific Languages</t>
  </si>
  <si>
    <t>ACM SIGPLAN NOTICES</t>
  </si>
  <si>
    <t>10.1145/2692916.2557966</t>
  </si>
  <si>
    <t>A Model-Driven Engineering Approach to AI-Powered Healthcare Platforms</t>
  </si>
  <si>
    <t>INFORMATICS-BASEL</t>
  </si>
  <si>
    <t>10.3390/informatics13020032</t>
  </si>
  <si>
    <t>Leveraging artificial intelligence and software engineering methods in epidemiology for the co-creation of decision-support tools based on mechanistic models</t>
  </si>
  <si>
    <t>PREVENTIVE VETERINARY MEDICINE</t>
  </si>
  <si>
    <t>10.1016/j.prevetmed.2024.106233</t>
  </si>
  <si>
    <t>AIoTML: A Unified Modeling Language for AIoT-Based Cyber–Physical Systems</t>
  </si>
  <si>
    <t>IEEE TRANSACTIONS ON COMPUTER-AIDED DESIGN OF INTEGRATED CIRCUITS AND SYSTEMS</t>
  </si>
  <si>
    <t>10.1109/TCAD.2023.3264786</t>
  </si>
  <si>
    <t>A DSL-Driven Solution and Code Generation for Accelerated Tourism Decision Support System Development</t>
  </si>
  <si>
    <t>10.1109/ACCESS.2025.3578440</t>
  </si>
  <si>
    <t>Lightweight Modular Staging: A Pragmatic Approach to Runtime Code Generation and Compiled DSLs</t>
  </si>
  <si>
    <t>2012</t>
  </si>
  <si>
    <t>COMMUNICATIONS OF THE ACM</t>
  </si>
  <si>
    <t>10.1145/2184319.2184345</t>
  </si>
  <si>
    <t>A Model-Driven Approach Employing DSL and Generation Templates to Accelerate the Development of Conversational Agents for Smart Tourism</t>
  </si>
  <si>
    <t>10.1109/ACCESS.2025.3574641</t>
  </si>
  <si>
    <t>Generative AI-Assisted Development of Domain-Specific Trading Automation: A Framework for Liquidity Gap Detection in MQL4</t>
  </si>
  <si>
    <t>10.1109/ACCESS.2026.3699382</t>
  </si>
  <si>
    <t>No — excluded 25 Sep 2026 (EC2; formerly P23)</t>
  </si>
  <si>
    <t>A domain specific language to specify and operationalise machine learning capabilities in IoT-enhanced business processes</t>
  </si>
  <si>
    <t>INTERNET OF THINGS</t>
  </si>
  <si>
    <t>10.1016/j.iot.2026.102069</t>
  </si>
  <si>
    <t>Rapid modeling of human-defined AI behavior patterns in games</t>
  </si>
  <si>
    <t>2019</t>
  </si>
  <si>
    <t>JOURNAL OF AMBIENT INTELLIGENCE AND HUMANIZED COMPUTING</t>
  </si>
  <si>
    <t>10.1007/s12652-018-0969-y</t>
  </si>
  <si>
    <t>AppCraft: Model-Driven Development Framework for Mobile Applications</t>
  </si>
  <si>
    <t>10.1109/ACCESS.2025.3536321</t>
  </si>
  <si>
    <t>Tiling Optimizations for Stencil Computations Using Rewrite Rules in LIFT</t>
  </si>
  <si>
    <t>ACM TRANSACTIONS ON ARCHITECTURE AND CODE OPTIMIZATION</t>
  </si>
  <si>
    <t>10.1145/3368858</t>
  </si>
  <si>
    <t>10.1016/j.infsof.2023.107164</t>
  </si>
  <si>
    <t>Code generation for solving and differentiating through convex optimization problems</t>
  </si>
  <si>
    <t>OPTIMIZATION AND ENGINEERING</t>
  </si>
  <si>
    <t>10.1007/s11081-025-10057-2</t>
  </si>
  <si>
    <t>MDE-Based Approach for Accelerating the Development of Recommender Systems in Smart Tourism</t>
  </si>
  <si>
    <t>10.1109/ACCESS.2025.3543058</t>
  </si>
  <si>
    <t>A generic LSTM neural network architecture to infer heterogeneous model transformations</t>
  </si>
  <si>
    <t>10.1007/s10270-021-00893-y</t>
  </si>
  <si>
    <t>Enhanced performance prediction of ATL model transformations</t>
  </si>
  <si>
    <t>PERFORMANCE EVALUATION</t>
  </si>
  <si>
    <t>10.1016/j.peva.2024.102413</t>
  </si>
  <si>
    <t>Using model-driven engineering to automate software language translation</t>
  </si>
  <si>
    <t>10.1007/s10515-024-00419-y</t>
  </si>
  <si>
    <t>Creating and Validating a Ground Truth Dataset of Unified Modeling Language Diagrams Using Deep Learning Techniques</t>
  </si>
  <si>
    <t>APPLIED SCIENCES-BASEL</t>
  </si>
  <si>
    <t>10.3390/app142310873</t>
  </si>
  <si>
    <t>AI-powered model repair: an experience report-lessons learned, challenges, and opportunities</t>
  </si>
  <si>
    <t>10.1007/s10270-022-00983-5</t>
  </si>
  <si>
    <t>Research on Design Pattern Detection Method Based on UML Model with Extended Image Information and Deep Learning</t>
  </si>
  <si>
    <t>10.3390/app12178718</t>
  </si>
  <si>
    <t>Text-to-Model Transformation: Natural Language-Based Model Generation Framework</t>
  </si>
  <si>
    <t>SYSTEMS</t>
  </si>
  <si>
    <t>10.3390/systems12090369</t>
  </si>
  <si>
    <t>Dynamic Property Preservation in AIoT: A Machine Learning Approach for Data-Efficient Model Transformation</t>
  </si>
  <si>
    <t>10.1109/ACCESS.2024.3454717</t>
  </si>
  <si>
    <t>Metric-based defect prediction from class diagram</t>
  </si>
  <si>
    <t>ARRAY</t>
  </si>
  <si>
    <t>10.1016/j.array.2025.100438</t>
  </si>
  <si>
    <t>Towards Automatic Code Generation for Robotic Soccer Behavior Simulation</t>
  </si>
  <si>
    <t>JOURNAL OF INTELLIGENT &amp; ROBOTIC SYSTEMS</t>
  </si>
  <si>
    <t>10.1007/s10846-023-02036-5</t>
  </si>
  <si>
    <t>Exploring Natural Language Processing in Model-To-Model Transformations</t>
  </si>
  <si>
    <t>10.1109/ACCESS.2022.3219455</t>
  </si>
  <si>
    <t>A deep learning-based approach to similarity calculation for UML use case models</t>
  </si>
  <si>
    <t>EXPERT SYSTEMS WITH APPLICATIONS</t>
  </si>
  <si>
    <t>10.1016/j.eswa.2024.123927</t>
  </si>
  <si>
    <t>Learning from Code Repositories to Recommend Model Classes</t>
  </si>
  <si>
    <t>10.5381/jot.2022.21.3.a4</t>
  </si>
  <si>
    <t>Model Transformation Development Using Automated Requirements Analysis, Metamodel Matching, and Transformation by Example</t>
  </si>
  <si>
    <t>ACM TRANSACTIONS ON SOFTWARE ENGINEERING AND METHODOLOGY</t>
  </si>
  <si>
    <t>10.1145/3471907</t>
  </si>
  <si>
    <t>Automating the development of API-based generators using code idioms mining</t>
  </si>
  <si>
    <t>10.1007/s10270-025-01296-z</t>
  </si>
  <si>
    <t>10.1016/j.infsof.2025.107818</t>
  </si>
  <si>
    <t>Model-Driven Approach to Fading-Aware Wireless Network Planning Leveraging Multiobjective Optimization and Deep Learning</t>
  </si>
  <si>
    <t>MATHEMATICAL PROBLEMS IN ENGINEERING</t>
  </si>
  <si>
    <t>10.1155/2022/4140522</t>
  </si>
  <si>
    <t>Uncertainty-wise evolution of test ready models</t>
  </si>
  <si>
    <t>10.1016/j.infsof.2017.03.003</t>
  </si>
  <si>
    <t>Application of Machine Learning Techniques to an Agent-Based Model of Pantoea</t>
  </si>
  <si>
    <t>2021</t>
  </si>
  <si>
    <t>FRONTIERS IN MICROBIOLOGY</t>
  </si>
  <si>
    <t>10.3389/fmicb.2021.726409</t>
  </si>
  <si>
    <t>A framework for Model-Driven Engineering of resilient software-controlled systems</t>
  </si>
  <si>
    <t>Jacopo Parri; Fulvio Patara; Samuele Sampietro; Enrico Vicario</t>
  </si>
  <si>
    <t>2020</t>
  </si>
  <si>
    <t>Computing</t>
  </si>
  <si>
    <t>https://link.springer.com/article/10.1007/s00607-020-00841-6</t>
  </si>
  <si>
    <t>Loli Burgueño; Jordi Cabot; Shuai Li; Sébastien Gérard</t>
  </si>
  <si>
    <t>Software and Systems Modeling</t>
  </si>
  <si>
    <t>https://link.springer.com/article/10.1007/s10270-021-00893-y</t>
  </si>
  <si>
    <t>Bridging the model-to-code abstraction gap with fuzzy logic in model-based regression test selection</t>
  </si>
  <si>
    <t>Walter Cazzola; Sudipto Ghosh; Mohammed Al-Refai; Gabriele Maurina</t>
  </si>
  <si>
    <t>https://link.springer.com/article/10.1007/s10270-021-00899-6</t>
  </si>
  <si>
    <t>Evaluation of a machine learning classifier for metamodels</t>
  </si>
  <si>
    <t>Phuong T. Nguyen; Juri Di Rocco; Ludovico Iovino; Davide Di Ruscio; Alfonso Pierantonio</t>
  </si>
  <si>
    <t>https://link.springer.com/article/10.1007/s10270-021-00913-x</t>
  </si>
  <si>
    <t>Exploiting augmented intelligence in the modeling of safety-critical autonomous systems</t>
  </si>
  <si>
    <t>Zhibin Yang; Yang Bao; Yongqiang Yang; Zhiqiu Huang; Jean-Paul Bodeveix; Mamoun Filali; Zonghua Gu</t>
  </si>
  <si>
    <t>Formal Aspects of Computing</t>
  </si>
  <si>
    <t>https://link.springer.com/article/10.1007/s00165-021-00543-6</t>
  </si>
  <si>
    <t>A Deep Learning and Ontology Based Framework for Textual Requirements Analysis and Conceptual Model Generation</t>
  </si>
  <si>
    <t>Yongjun Qie; Huanhuan Shen; Aishan Liu</t>
  </si>
  <si>
    <t>Complex Systems Design &amp; Management</t>
  </si>
  <si>
    <t>https://link.springer.com/chapter/10.1007/978-3-030-73539-5_1</t>
  </si>
  <si>
    <t>IReEn: Reverse-Engineering of Black-Box Functions via Iterative Neural Program Synthesis</t>
  </si>
  <si>
    <t>Hossein Hajipour; Mateusz Malinowski; Mario Fritz</t>
  </si>
  <si>
    <t>Machine Learning and Principles and Practice of Knowledge Discovery in Databases</t>
  </si>
  <si>
    <t>https://link.springer.com/chapter/10.1007/978-3-030-93733-1_10</t>
  </si>
  <si>
    <t>Deep Learning for the Identification of Decision Modelling Components from Text</t>
  </si>
  <si>
    <t>Alexandre Goossens; Michelle Claessens; Charlotte Parthoens; Jan Vanthienen</t>
  </si>
  <si>
    <t>Rules and Reasoning</t>
  </si>
  <si>
    <t>https://link.springer.com/chapter/10.1007/978-3-030-91167-6_11</t>
  </si>
  <si>
    <t>AI-powered model repair: an experience report—lessons learned, challenges, and opportunities</t>
  </si>
  <si>
    <t>Angela Barriga; Adrian Rutle; Rogardt Heldal</t>
  </si>
  <si>
    <t>https://link.springer.com/article/10.1007/s10270-022-00983-5</t>
  </si>
  <si>
    <t>Automated Process Knowledge Graph Construction from BPMN Models</t>
  </si>
  <si>
    <t>Stefan Bachhofner; Elmar Kiesling; Kate Revoredo; Philipp Waibel; Axel Polleres</t>
  </si>
  <si>
    <t>Database and Expert Systems Applications</t>
  </si>
  <si>
    <t>https://link.springer.com/chapter/10.1007/978-3-031-12423-5_3</t>
  </si>
  <si>
    <t>A model-driven approach to machine learning and software modeling for the IoT</t>
  </si>
  <si>
    <t>Armin Moin; Moharram Challenger; Atta Badii; Stephan Günnemann</t>
  </si>
  <si>
    <t>https://link.springer.com/article/10.1007/s10270-021-00967-x</t>
  </si>
  <si>
    <t>Automated, interactive, and traceable domain modelling empowered by artificial intelligence</t>
  </si>
  <si>
    <t>Rijul Saini; Gunter Mussbacher; Jin L. C. Guo; Jörg Kienzle</t>
  </si>
  <si>
    <t>https://link.springer.com/article/10.1007/s10270-021-00942-6</t>
  </si>
  <si>
    <t>PARMOREL: a framework for customizable model repair</t>
  </si>
  <si>
    <t>Angela Barriga; Rogardt Heldal; Adrian Rutle; Ludovico Iovino</t>
  </si>
  <si>
    <t>https://link.springer.com/article/10.1007/s10270-022-01005-0</t>
  </si>
  <si>
    <t>Preprocessing Requirements Documents for Automatic UML Modelling</t>
  </si>
  <si>
    <t>Martijn B. J. Schouten; Guus J. Ramackers; Suzan Verberne</t>
  </si>
  <si>
    <t>Natural Language Processing and Information Systems</t>
  </si>
  <si>
    <t>https://link.springer.com/chapter/10.1007/978-3-031-08473-7_17</t>
  </si>
  <si>
    <t>FindICI: Using machine learning to detect linguistic inconsistencies between code and natural language descriptions in infrastructure-as-code</t>
  </si>
  <si>
    <t>Nemania Borovits; Indika Kumara; Dario Di Nucci; Parvathy Krishnan; Stefano Dalla Palma; Fabio Palomba; Damian A. Tamburri; Willem-Jan van den Heuvel</t>
  </si>
  <si>
    <t>Empirical Software Engineering</t>
  </si>
  <si>
    <t>https://link.springer.com/article/10.1007/s10664-022-10215-5</t>
  </si>
  <si>
    <t>Conceptual Modeling and Artificial Intelligence: Challenges and Opportunities for Enterprise Engineering</t>
  </si>
  <si>
    <t>Dominik Bork</t>
  </si>
  <si>
    <t>Advances in Enterprise Engineering XV</t>
  </si>
  <si>
    <t>https://link.springer.com/chapter/10.1007/978-3-031-11520-2_1</t>
  </si>
  <si>
    <t>Facilitating the migration to the microservice architecture via model-driven reverse engineering and reinforcement learning</t>
  </si>
  <si>
    <t>Mohammad; Hadi Dehghani; Shekoufeh Kolahdouz-Rahimi; Massimo Tisi; Dalila Tamzalit</t>
  </si>
  <si>
    <t>https://link.springer.com/article/10.1007/s10270-022-00977-3</t>
  </si>
  <si>
    <t>Javier Cámara; Javier Troya; Lola Burgueño; Antonio Vallecillo</t>
  </si>
  <si>
    <t>https://link.springer.com/article/10.1007/s10270-023-01105-5</t>
  </si>
  <si>
    <t>Enabling Representation Learning in Ontology-Driven Conceptual Modeling Using Graph Neural Networks</t>
  </si>
  <si>
    <t>Syed Juned Ali; Giancarlo Guizzardi; Dominik Bork</t>
  </si>
  <si>
    <t>Advanced Information Systems Engineering</t>
  </si>
  <si>
    <t>https://link.springer.com/chapter/10.1007/978-3-031-34560-9_17</t>
  </si>
  <si>
    <t>A new adaptive multi-fidelity metamodel method using meta-learning and Bayesian deep learning</t>
  </si>
  <si>
    <t>Fenfen Xiong; Chengkun Ren; Bo Mo; Chao Li; Xiao Hu</t>
  </si>
  <si>
    <t>Structural and Multidisciplinary Optimization</t>
  </si>
  <si>
    <t>https://link.springer.com/article/10.1007/s00158-023-03518-8</t>
  </si>
  <si>
    <t>Machine learning for enterprise modeling assistance: an investigation of the potential and proof of concept</t>
  </si>
  <si>
    <t>Nikolay Shilov; Walaa Othman; Michael Fellmann; Kurt Sandkuhl</t>
  </si>
  <si>
    <t>https://link.springer.com/article/10.1007/s10270-022-01077-y</t>
  </si>
  <si>
    <t>Generative AI for BPMN Process Analysis: Experiments with Multi-modal Process Representations</t>
  </si>
  <si>
    <t>Damaris Naomi Dolha; Robert Andrei Buchmann</t>
  </si>
  <si>
    <t>Perspectives in Business Informatics Research</t>
  </si>
  <si>
    <t>https://link.springer.com/chapter/10.1007/978-3-031-71333-0_2</t>
  </si>
  <si>
    <t>Educational Support for Automated Classification of UML Diagrams Using Machine Learning</t>
  </si>
  <si>
    <t>Irina-Gabriela Nedelcu; Veronica Opranescu; Beatrice-Nicoleta Chiriac; Anca Daniela Ionita</t>
  </si>
  <si>
    <t>Generative Intelligence and Intelligent Tutoring Systems</t>
  </si>
  <si>
    <t>https://link.springer.com/chapter/10.1007/978-3-031-63031-6_16</t>
  </si>
  <si>
    <t>Integrated multi-view modeling for reliable machine learning-intensive software engineering</t>
  </si>
  <si>
    <t>Jati H. Husen; Hironori Washizaki; Jomphon Runpakprakun; Nobukazu Yoshioka; Hnin Thandar Tun; Yoshiaki Fukazawa; Hironori Takeuchi</t>
  </si>
  <si>
    <t>Software Quality Journal</t>
  </si>
  <si>
    <t>https://link.springer.com/article/10.1007/s11219-024-09687-z</t>
  </si>
  <si>
    <t>R-IO SUITE: integration of LLM-based AI into a knowledge management and model-driven based platform dedicated to crisis management</t>
  </si>
  <si>
    <t>Aurélie Congès; Audrey Fertier; Nicolas SalatgéSébastien Rebière; Frederick Benaben</t>
  </si>
  <si>
    <t>https://link.springer.com/article/10.1007/s10270-024-01237-2</t>
  </si>
  <si>
    <t>In Search for Model-Driven eXplainable Artificial Intelligence</t>
  </si>
  <si>
    <t>Antoni Ligęza; Dominik Sepioło</t>
  </si>
  <si>
    <t>Artificial Intelligence for Knowledge Management, Energy and Sustainability</t>
  </si>
  <si>
    <t>https://link.springer.com/chapter/10.1007/978-3-031-61069-1_2</t>
  </si>
  <si>
    <t>From single-objective to multi-objective reinforcement learning-based model transformation</t>
  </si>
  <si>
    <t>Martin Eisenberg; Manuel Wimmer</t>
  </si>
  <si>
    <t>https://link.springer.com/article/10.1007/s10270-024-01233-6</t>
  </si>
  <si>
    <t>Natural Language to Unified Modeling Diagrams; A Deep Learning Approach</t>
  </si>
  <si>
    <t>Murali Mohanan</t>
  </si>
  <si>
    <t>Data Science and Applications</t>
  </si>
  <si>
    <t>https://link.springer.com/chapter/10.1007/978-981-99-7820-5_40</t>
  </si>
  <si>
    <t>Deep convolutional neural network object net model based cognitive digital twin for trust in human–robot collaborative manufacturing</t>
  </si>
  <si>
    <t>A. Ramkumar; Gopinath Balasubramanian</t>
  </si>
  <si>
    <t>Journal of Intelligent Manufacturing</t>
  </si>
  <si>
    <t>https://link.springer.com/article/10.1007/s10845-024-02501-4</t>
  </si>
  <si>
    <t>TTool-AI: A Large Language Model-Based Assistant for Model Driven Engineering</t>
  </si>
  <si>
    <t>Bastien Sultan; Ludovic Apvrille</t>
  </si>
  <si>
    <t>SN Computer Science</t>
  </si>
  <si>
    <t>https://link.springer.com/article/10.1007/s42979-025-04444-w</t>
  </si>
  <si>
    <t>LLM-Enhanced SysML Formal Method for Flanking Protection in Train Autonomous Control System</t>
  </si>
  <si>
    <t>Qian Xu; Lei Zhang; Tengfei Li; Xiaoyong Wang</t>
  </si>
  <si>
    <t>The Proceedings of 2024 International Conference on Artificial Intelligence and Autonomous Transportation</t>
  </si>
  <si>
    <t>https://link.springer.com/chapter/10.1007/978-981-96-3965-6_47</t>
  </si>
  <si>
    <t>Software Requirements to UML Class Diagrams Using Machine Learning and Rule-Based Approach</t>
  </si>
  <si>
    <t>Feisal Alaswad; E. Poovammal; Batoul Aljaddouh; B. Supriya</t>
  </si>
  <si>
    <t>Intelligent Systems in Computing and Communication</t>
  </si>
  <si>
    <t>https://link.springer.com/chapter/10.1007/978-3-031-75605-4_6</t>
  </si>
  <si>
    <t>MDE in the Era of Generative AI</t>
  </si>
  <si>
    <t>Ahmed Alaoui Mdaghri; Meriem Ouederni; Lotfi Chaari</t>
  </si>
  <si>
    <t>Verification and Evaluation of Computer and Communication Systems</t>
  </si>
  <si>
    <t>https://link.springer.com/chapter/10.1007/978-3-031-85356-2_8</t>
  </si>
  <si>
    <t>Impromptu: a framework for model-driven prompt engineering</t>
  </si>
  <si>
    <t>Sergio Morales; Robert ClarisóJordi Cabot</t>
  </si>
  <si>
    <t>https://link.springer.com/article/10.1007/s10270-024-01235-4</t>
  </si>
  <si>
    <t>Cross-platform edge deployment of machine learning models: a model-driven approach</t>
  </si>
  <si>
    <t>Albin Karlsson Landgren; Philip Perhult Johnsen; Daniel Strüber</t>
  </si>
  <si>
    <t>https://link.springer.com/article/10.1007/s10270-025-01273-6</t>
  </si>
  <si>
    <t>No — excluded 25 Sep 2026 (EC1; formerly P16)</t>
  </si>
  <si>
    <t>Application of the Tree-of-Thoughts Framework to LLM-Enabled Domain Modeling</t>
  </si>
  <si>
    <t>Jonathan Silva; Qin Ma; Jordi Cabot; Pierre Kelsen; Henderik A. Proper</t>
  </si>
  <si>
    <t>Conceptual Modeling</t>
  </si>
  <si>
    <t>https://link.springer.com/chapter/10.1007/978-3-031-75872-0_6</t>
  </si>
  <si>
    <t>Specializing large language models for process modeling via reinforcement learning with verifiable and universal rewards</t>
  </si>
  <si>
    <t>Alessandro Berti; Xiaoting Wang; Humam Kourani; Wil M. P. Van der Aalst</t>
  </si>
  <si>
    <t>Process Science</t>
  </si>
  <si>
    <t>https://link.springer.com/article/10.1007/s44311-025-00034-4</t>
  </si>
  <si>
    <t>Towards a Maude-Based Approach for Formal Modeling Deep Neural Networks</t>
  </si>
  <si>
    <t>Angham Boukhari; Aïcha Choutri; Faiza Belala; Ahmed Hadj Kacem</t>
  </si>
  <si>
    <t>Advancements in Machine Learning and Natural Language Processing: Innovations and Applications</t>
  </si>
  <si>
    <t>https://link.springer.com/chapter/10.1007/978-3-031-85067-7_5</t>
  </si>
  <si>
    <t>Towards an LLM-Based Conversational Framework for Business Process Modeling: Research Approach and Preliminary Results</t>
  </si>
  <si>
    <t>Luca Franziska Hörner</t>
  </si>
  <si>
    <t>Intelligent Information Systems</t>
  </si>
  <si>
    <t>https://link.springer.com/chapter/10.1007/978-3-031-94590-8_34</t>
  </si>
  <si>
    <t>Research on the Construction Method of Production Equipment Operation Management and Control Information Model Based on Knowledge Graph</t>
  </si>
  <si>
    <t>Jun Li; Keqin Dou; Jinsong Liu; Shunyi Xu; Qing Li; Yong Zhou</t>
  </si>
  <si>
    <t>Innovative Intelligent Industrial Production and Logistics</t>
  </si>
  <si>
    <t>https://link.springer.com/chapter/10.1007/978-3-031-80775-6_29</t>
  </si>
  <si>
    <t>Efficient LLM-Based Conversational Process Modeling</t>
  </si>
  <si>
    <t>Julius Köpke; Aya Safan</t>
  </si>
  <si>
    <t>Business Process Management Workshops</t>
  </si>
  <si>
    <t>https://link.springer.com/chapter/10.1007/978-3-031-78666-2_20</t>
  </si>
  <si>
    <t>Agentic AI in the next frontier of model-based software engineering: the arrival of AI-hyper-agile software engineering methods?</t>
  </si>
  <si>
    <t>Marsha Chechik; Benoit Combemale; Jeff Gray; Bernhard Rumpe</t>
  </si>
  <si>
    <t>https://link.springer.com/article/10.1007/s10270-026-01362-0</t>
  </si>
  <si>
    <t>A model-driven knowledge graph treatment for process-centric cyber threat mitigation</t>
  </si>
  <si>
    <t>Andrei ChișAna-Maria Ghiran; Robert Andrei Buchmann</t>
  </si>
  <si>
    <t>Knowledge and Information Systems</t>
  </si>
  <si>
    <t>https://link.springer.com/article/10.1007/s10115-026-02819-w</t>
  </si>
  <si>
    <t>Generative AI and Conceptual Modeling</t>
  </si>
  <si>
    <t>Hans-Georg Fill; Jennifer Horkoff; Peter Fettke; Julius Köpke</t>
  </si>
  <si>
    <t>Business &amp; Information Systems Engineering</t>
  </si>
  <si>
    <t>https://link.springer.com/article/10.1007/s12599-025-00978-8</t>
  </si>
  <si>
    <t>Using Generative AI and PyEcore for Model Transformation in Digital Marketing Funnels</t>
  </si>
  <si>
    <t>Maouia Jebbouri; Samir Mbarki</t>
  </si>
  <si>
    <t>The 3rd International Conference on Artificial Intelligence and Smart Applications (AISA’25), Volume 2: Cybersecurity, Governance, Digital Transformation, and Ethics</t>
  </si>
  <si>
    <t>https://link.springer.com/chapter/10.1007/978-3-032-18860-1_41</t>
  </si>
  <si>
    <t>LLM4BPMN: A Prompting Approach with LLMs for BPMN Model Generation</t>
  </si>
  <si>
    <t>Ana Costa; Alena Wimmer; Luise Pufahl</t>
  </si>
  <si>
    <t>Enterprise Design, Operations, and Computing. EDOC 2025 Workshops</t>
  </si>
  <si>
    <t>https://link.springer.com/chapter/10.1007/978-3-032-16234-2_22</t>
  </si>
  <si>
    <t>Experimental Assessments of Retrieval-Augmented Conversational Agents Interpreting RDF-Serialized BPMN Models</t>
  </si>
  <si>
    <t>https://link.springer.com/chapter/10.1007/978-3-032-04375-7_18</t>
  </si>
  <si>
    <t>Prompt-Guided Evaluation of GPT-4o, Gemini and DeepSeek on UML-to-Java Code Generation</t>
  </si>
  <si>
    <t>Miguel Escobar; Rene Noel; Oscar Pastor</t>
  </si>
  <si>
    <t>Advances in Conceptual Modeling</t>
  </si>
  <si>
    <t>https://link.springer.com/chapter/10.1007/978-3-032-08620-4_13</t>
  </si>
  <si>
    <t>Mehmet Cem Aytekin; Fatma Gizem Yılmaz; Mustafa Umut Demirezen</t>
  </si>
  <si>
    <t>Automated Software Engineering</t>
  </si>
  <si>
    <t>https://link.springer.com/article/10.1007/s10515-026-00599-9</t>
  </si>
  <si>
    <t>Deploying Machine Learning for Automatic Metamodel Instance Generation</t>
  </si>
  <si>
    <t>El Abbassia Deba; Karima Berramla; Abou EL Hassene Benyamina</t>
  </si>
  <si>
    <t>Model-Based Software and Systems Engineering</t>
  </si>
  <si>
    <t>https://link.springer.com/chapter/10.1007/978-3-031-96841-9_13</t>
  </si>
  <si>
    <t>LLM-Based Semantic Layers: Connecting Model-Driven Engineering and Data Warehouses</t>
  </si>
  <si>
    <t>Ibtissam Arrassen; Youssef Ben Amar; Mohammed Erramdani</t>
  </si>
  <si>
    <t>The 3rd International Conference on Artificial Intelligence and Smart Applications (AISA’25), Volume 1: Artificial Intelligence, IoT, and Smart Applications</t>
  </si>
  <si>
    <t>https://link.springer.com/chapter/10.1007/978-3-032-18716-1_11</t>
  </si>
  <si>
    <t>SysTemp: A Multi-agent System for Template-Based Generation of SysML V2</t>
  </si>
  <si>
    <t>Yasmine Bouamra; Bruno Yun; Alexandre Poisson; Frédéric Armetta</t>
  </si>
  <si>
    <t>Advances in Practical Applications of Agents, Multi-Agent Systems, and Computational Social Science: The PAAMS Collection</t>
  </si>
  <si>
    <t>https://link.springer.com/chapter/10.1007/978-3-032-07638-0_4</t>
  </si>
  <si>
    <t>Evaluation of modeling methods for systems analysis and development (EMMSAD): past, present, and artificial intelligence eras</t>
  </si>
  <si>
    <t>Yingying Zhang; Keng Siau; Joseph Sung</t>
  </si>
  <si>
    <t>https://link.springer.com/article/10.1007/s10270-026-01383-9</t>
  </si>
  <si>
    <t>H2A-BPMN: A Hierarchical and Hybrid Agent Framework for Industrial BPMN Automated Modeling</t>
  </si>
  <si>
    <t>Qingguo Xu; Yidan Zhang; Huilong Tang; Qionghuizi Ran; Honghao Gao; Yueshen Xu</t>
  </si>
  <si>
    <t>Collaborative Computing: Networking, Applications and Worksharing</t>
  </si>
  <si>
    <t>https://link.springer.com/chapter/10.1007/978-3-032-21171-2_10</t>
  </si>
  <si>
    <t>Uncovering LLM’s Capabilities in Model-Based Question Answering for UML Class Diagrams</t>
  </si>
  <si>
    <t>Manuel Mischak; Charlotte Verbruggen; Philip Langer; Dominik Bork</t>
  </si>
  <si>
    <t>Enterprise, Business-Process and Information Systems Modeling</t>
  </si>
  <si>
    <t>https://link.springer.com/chapter/10.1007/978-3-032-28274-3_21</t>
  </si>
  <si>
    <t>AGREE-Dog Copilot: A Neuro-Symbolic Approach to Enhanced Model-Based Systems Engineering</t>
  </si>
  <si>
    <t>Amer Tahat; Isaac Amundson; David Hardin; Darren Cofer</t>
  </si>
  <si>
    <t>Bridging the Gap Between AI and Reality</t>
  </si>
  <si>
    <t>https://link.springer.com/chapter/10.1007/978-3-032-07132-3_8</t>
  </si>
  <si>
    <t>A Modeling Framework for Hardware-Software Systems with Machine Learning Components</t>
  </si>
  <si>
    <t>Francesco Bedini; Tino Jungebloud; Ralph Maschotta; Armin Zimmermann</t>
  </si>
  <si>
    <t>https://link.springer.com/chapter/10.1007/978-3-031-96841-9_11</t>
  </si>
  <si>
    <t>The Interim Experiment Report: A Systematic Account of The Experimental Design of Large Language Model-Based Text-to-Model Approaches</t>
  </si>
  <si>
    <t>Sybren de Kinderen; Qin Ma; Jonathan Silva Mercado; Karolin Winter</t>
  </si>
  <si>
    <t>The Practice of Enterprise Modeling</t>
  </si>
  <si>
    <t>https://link.springer.com/chapter/10.1007/978-3-032-12063-2_7</t>
  </si>
  <si>
    <t>Towards Intelligent MBSE: Constructing an MBSE Model Dataset for Generative AI</t>
  </si>
  <si>
    <t>Yuteng Zhang; Jiangchuan Hu; Lin Zhang; Pengfei Gu</t>
  </si>
  <si>
    <t>Methods and Applications for Modeling and Simulation of Complex Systems</t>
  </si>
  <si>
    <t>https://link.springer.com/chapter/10.1007/978-981-95-4472-1_4</t>
  </si>
  <si>
    <t>Performance of Neural Networks for Recognizing Images of UML Class, Sequence and State Diagrams</t>
  </si>
  <si>
    <t>Irina-Gabriela Nedelcu; Stefan Alexandru Mocanu; Daniela Saru; Simona Iuliana Caramihai; Anca Daniela Ionita</t>
  </si>
  <si>
    <t>Generative Systems and Intelligent Tutoring Systems</t>
  </si>
  <si>
    <t>https://link.springer.com/chapter/10.1007/978-3-031-98284-2_8</t>
  </si>
  <si>
    <t>Comprehending LLM-Generated BPMN 2.0 Process Models: Novice vs. Expert Perspectives</t>
  </si>
  <si>
    <t>Maximilian Möller; Luca Franziska Hörner; Manfred Reichert</t>
  </si>
  <si>
    <t>Research Challenges in Information Science</t>
  </si>
  <si>
    <t>https://link.springer.com/chapter/10.1007/978-3-032-26836-5_7</t>
  </si>
  <si>
    <t>Automated User Story to UML Diagram Transformation: Leveraging NLP in Agile Software Engineering</t>
  </si>
  <si>
    <t>Ahmed A. Ali; Hanaa Bayomi; Khalid Wassif</t>
  </si>
  <si>
    <t>The Future of Inclusion: Bridging the Digital Divide with Emerging Technologies</t>
  </si>
  <si>
    <t>https://link.springer.com/chapter/10.1007/978-981-96-5013-2_22</t>
  </si>
  <si>
    <t>Development of a Model-Driven DevOps Solution Based on Context-Engineered LLM Code Generation: PROFES Doctoral Symposium</t>
  </si>
  <si>
    <t>Uldis Karlovs-Karlovskis</t>
  </si>
  <si>
    <t>Product-Focused Software Process Improvement. Industry, Doctoral-Symposium, Tutorial, and Workshop Papers</t>
  </si>
  <si>
    <t>https://link.springer.com/chapter/10.1007/978-3-032-12092-2_10</t>
  </si>
  <si>
    <t>LLM support for enterprise modelling based on integrating prompt and enterprise modelling meta-models</t>
  </si>
  <si>
    <t>Kurt Sandkuhl; Balbir S. Barn; Souvik Barat</t>
  </si>
  <si>
    <t>Discover Artificial Intelligence</t>
  </si>
  <si>
    <t>https://link.springer.com/article/10.1007/s44163-026-01056-y</t>
  </si>
  <si>
    <t>Model-Driven Framework for Embedded Systems Design Automation Using Natural Language Processing and Large Language Models</t>
  </si>
  <si>
    <t>Muhammad Waseem Anwar; Bilal Maqbool; Muhammad Shahroze Ali</t>
  </si>
  <si>
    <t>Information and Software Technologies</t>
  </si>
  <si>
    <t>https://link.springer.com/chapter/10.1007/978-3-032-16808-5_4</t>
  </si>
  <si>
    <t>LLM support for non-expert enterprise modeling</t>
  </si>
  <si>
    <t>Peter-Alexander Kolev; Hauke Hansen Pruss; Jim Robert Wilken; Benjamin Nast; Kurt Sandkuhl</t>
  </si>
  <si>
    <t>https://link.springer.com/article/10.1007/s10270-026-01386-6</t>
  </si>
  <si>
    <t>Iterative vs. Plan-Driven Approaches in Human-LLM Collaborative Modeling: An Empirical Study</t>
  </si>
  <si>
    <t>Iris Reinhartz-Berger; Arava Tsoury</t>
  </si>
  <si>
    <t>https://link.springer.com/chapter/10.1007/978-3-032-28117-3_1</t>
  </si>
  <si>
    <t>Investigating the Role of LLMs Hyperparameter Tuning and Prompt Engineering to Support Domain Modeling</t>
  </si>
  <si>
    <t>Vladyslav Bulhakov; Giordano d’Aloisio; Claudio Di Sipio; Antinisca Di Marco; Davide Di Ruscio</t>
  </si>
  <si>
    <t>Software Engineering and Advanced Applications</t>
  </si>
  <si>
    <t>https://link.springer.com/chapter/10.1007/978-3-032-04190-6_21</t>
  </si>
  <si>
    <t>MoTDeReL: Model-based testing through deep reinforcement learning for software systems specified through graph transformation</t>
  </si>
  <si>
    <t>Simin Ghasemi; Maryam Asgari Araghi; Vahid Rafe; Reiko Heckel</t>
  </si>
  <si>
    <t>https://link.springer.com/article/10.1007/s10515-026-00610-3</t>
  </si>
  <si>
    <t>Applied Sciences (Switzerland), 14 (23), art. no. 10873</t>
  </si>
  <si>
    <t>Theoretical Computer Science, 1021, art. no. 114879</t>
  </si>
  <si>
    <t>IEEE Transactions on Big Data</t>
  </si>
  <si>
    <t>10.1109/TBDATA.2024.3524104</t>
  </si>
  <si>
    <r>
      <rPr>
        <sz val="10"/>
        <rFont val="Calibri"/>
        <charset val="1"/>
      </rPr>
      <t>Architecting Reliable Multi-Agent Systems with Large Language Models Through Model-Driven Engineering [</t>
    </r>
    <r>
      <rPr>
        <sz val="10"/>
        <rFont val="FreeSans"/>
        <family val="2"/>
      </rPr>
      <t>ميمصتةمظنأةددعتمءالكولاةقوثوممادختسابجذامنةيوغلةريبكنم لالخةسدنهلاةمئاقلاىلعجذومنلا</t>
    </r>
    <r>
      <rPr>
        <sz val="10"/>
        <rFont val="Calibri"/>
        <charset val="1"/>
      </rPr>
      <t>]</t>
    </r>
  </si>
  <si>
    <t>Baghdad Science Journal, 23 (6), pp. 2258 - 2285</t>
  </si>
  <si>
    <t>Journal of Visualized Experiments, 2026-May (231), art. no. e70395</t>
  </si>
  <si>
    <t>Machine Learning with Applications, 25, art. no. 100940</t>
  </si>
  <si>
    <t>No Resource, No Benchmarks, No Problem? Evaluating and Improving LLMs for Code Generation in No-Resource Languages</t>
  </si>
  <si>
    <t>IEEE Transactions on Software Engineering</t>
  </si>
  <si>
    <t>10.1109/TSE.2026.3703553</t>
  </si>
  <si>
    <t>No — excluded 25 Sep 2026 (EC2; formerly P20)</t>
  </si>
  <si>
    <t>Journal of Systems and Software, 238, art. no. 112871</t>
  </si>
  <si>
    <t>MoRe: LLM-Based Domain Model Generation with Hybrid Self-Refinement</t>
  </si>
  <si>
    <t>Electronics (Switzerland), 15 (6), art. no. 1239</t>
  </si>
  <si>
    <t>10.3390/electronics15061239</t>
  </si>
  <si>
    <t>Neurocomputing, 669, art. no. 132502</t>
  </si>
  <si>
    <t>Journal of Systems and Software, 238, art. no. 112874</t>
  </si>
  <si>
    <t>An Example of Developing a High-level Requirements Specification for AI-based Software using ChatGPT</t>
  </si>
  <si>
    <t>International Journal of Wireless and Microwave Technologies, 16 (3), pp. 111 - 127</t>
  </si>
  <si>
    <t>10.5815/ijwmt.2026.03.08</t>
  </si>
  <si>
    <t>IEEE Access, 14, pp. 83921 - 83933</t>
  </si>
  <si>
    <t>Journal of Object Technology, 25 (3), pp. 281 - 294</t>
  </si>
  <si>
    <t>IEEE Access, 14, pp. 63962 - 63990</t>
  </si>
  <si>
    <t>AutoArk: A model-based approach for ArkTS application code generation</t>
  </si>
  <si>
    <t>Science of Computer Programming, 253, art. no. 103503</t>
  </si>
  <si>
    <t>10.1016/j.scico.2026.103503</t>
  </si>
  <si>
    <t>iCoder: A multi agent software development platform</t>
  </si>
  <si>
    <t>Information and Software Technology, 198, art. no. 108224</t>
  </si>
  <si>
    <t>10.1016/j.infsof.2026.108224</t>
  </si>
  <si>
    <t>Information and Software Technology, 190, art. no. 107954</t>
  </si>
  <si>
    <t>Leveraging LLMs for Grammar Adaptation: A Study on Metamodel-Grammar Co-Evolution</t>
  </si>
  <si>
    <t>Journal of Object Technology, 25 (3), pp. 169 - 182</t>
  </si>
  <si>
    <t>10.5381/jot.2026.25.3.a13</t>
  </si>
  <si>
    <t>From Fine-Tuning to Evaluation: How LLM Enables Automatic Domain Modeling</t>
  </si>
  <si>
    <t>IET Software, 2026 (1), art. no. 1690605</t>
  </si>
  <si>
    <t>10.1049/sfw2/1690605</t>
  </si>
  <si>
    <t>Leveraging Large Language Models for Model Generation and Verification in Autonomous Emergency Braking Systems</t>
  </si>
  <si>
    <t>Big Data and Computing Visions, 6 (1), pp. 116 - 139</t>
  </si>
  <si>
    <t>10.22105/bdcv.2026.557980.1331</t>
  </si>
  <si>
    <t>Journal of Computer Languages, 85, art. no. 101367</t>
  </si>
  <si>
    <t>Machine Learning with Applications, 20, art. no. 100660</t>
  </si>
  <si>
    <t>Information and Software Technology, 186, art. no. 107806</t>
  </si>
  <si>
    <t>AI–Augmented Real-Time Collaborative Blended Modeling Framework for Automotive Embedded Systems</t>
  </si>
  <si>
    <t>IET Software, 2026 (1), art. no. 6696040</t>
  </si>
  <si>
    <t>Proceedings of the ACM on Programming Languages, 9, art. no. 171</t>
  </si>
  <si>
    <t>IEEE Access, 13, pp. 170943 - 170959</t>
  </si>
  <si>
    <t>IEEE Access, 13, pp. 171266 - 171286</t>
  </si>
  <si>
    <t>Computers, Materials and Continua, 82 (3), pp. 3843 - 3872</t>
  </si>
  <si>
    <t>On the Use of GPT-4 in the Reverse Engineering of Class Diagrams</t>
  </si>
  <si>
    <t>Journal of Object Technology, 24 (2), pp. 1 - 14</t>
  </si>
  <si>
    <t>10.5381/jot.2025.24.2.a14</t>
  </si>
  <si>
    <t>From Concepts to Model: Automating Feature Extraction of Agent-based Models using Large Language Models</t>
  </si>
  <si>
    <t>JASSS, 28 (3)</t>
  </si>
  <si>
    <t>10.18564/JASSS.5734</t>
  </si>
  <si>
    <t>A comparison of large language models and model-driven reverse engineering for reverse engineering</t>
  </si>
  <si>
    <t>Frontiers in Computer Science, 7, art. no. 1516410</t>
  </si>
  <si>
    <t>10.3389/fcomp.2025.1516410</t>
  </si>
  <si>
    <t>An Empirical Study on Leveraging LLMs for Metamodels and Code Co-evolution</t>
  </si>
  <si>
    <t>Journal of Object Technology, 23 (3), pp. 1 - 14</t>
  </si>
  <si>
    <t>10.5381/jot.2024.23.3.a6</t>
  </si>
  <si>
    <t>A model-driven framework integrating Human-in-the-Loop and Artificial Intelligence for automated data analysis pipeline generation</t>
  </si>
  <si>
    <t>Engineering Applications of Artificial Intelligence, 182, art. no. 116086</t>
  </si>
  <si>
    <t>10.1016/j.engappai.2026.116086</t>
  </si>
  <si>
    <t>MPC-Coder: A Dual-Knowledge Enhanced Multi-Agent System with Closed-Loop Verification for PLC Code Generation</t>
  </si>
  <si>
    <t>Symmetry, 18 (2), art. no. 248</t>
  </si>
  <si>
    <t>10.3390/sym18020248</t>
  </si>
  <si>
    <t>Reinforcement learning for model transformations to support model-driven plug-and-play interoperability</t>
  </si>
  <si>
    <t>Journal of Industrial Information Integration, 52, art. no. 101150</t>
  </si>
  <si>
    <t>10.1016/j.jii.2026.101150</t>
  </si>
  <si>
    <r>
      <rPr>
        <sz val="10"/>
        <rFont val="Calibri"/>
        <charset val="1"/>
      </rPr>
      <t>Large Language Model for X Language Simulation: Architecture, Key Technologies, and Typical Applications [X</t>
    </r>
    <r>
      <rPr>
        <sz val="10"/>
        <rFont val="Noto Sans CJK SC"/>
        <family val="2"/>
      </rPr>
      <t>语言仿真大模型：体系架构、关键技术与典型应用</t>
    </r>
    <r>
      <rPr>
        <sz val="10"/>
        <rFont val="Calibri"/>
        <charset val="1"/>
      </rPr>
      <t>]</t>
    </r>
  </si>
  <si>
    <t>Xitong Fangzhen Xuebao / Journal of System Simulation, 38 (4), pp. 869 - 888</t>
  </si>
  <si>
    <t>10.16182/j.issn1004731x.joss.25-0905</t>
  </si>
  <si>
    <t>Expecto: Extracting Formal Specifications from Natural Language Description for Trustworthy Oracles</t>
  </si>
  <si>
    <t>Proceedings of the ACM on Programming Languages, 10, art. no. 254</t>
  </si>
  <si>
    <t>10.1145/3808332</t>
  </si>
  <si>
    <t>Information and Software Technology, 187, art. no. 107818</t>
  </si>
  <si>
    <t>Generative Adversarial Framework with Composite Discriminator for Organization and Process Modelling—Smart City Cases</t>
  </si>
  <si>
    <t>Smart Cities, 8 (2), art. no. 38</t>
  </si>
  <si>
    <t>10.3390/smartcities8020038</t>
  </si>
  <si>
    <t xml:space="preserve">ACM Digital Library </t>
  </si>
  <si>
    <t>Screening ID</t>
  </si>
  <si>
    <t>DOI</t>
  </si>
  <si>
    <t>Abstract Screening</t>
  </si>
  <si>
    <t>Reason</t>
  </si>
  <si>
    <t>ACM-0001</t>
  </si>
  <si>
    <t>INCLUDE – attached article</t>
  </si>
  <si>
    <t>Mandatory inclusion set supplied by user for the ADP assignment.</t>
  </si>
  <si>
    <t>ACM-0002</t>
  </si>
  <si>
    <t>ACM-0003</t>
  </si>
  <si>
    <t>ACM-0004</t>
  </si>
  <si>
    <t>ACM-0005</t>
  </si>
  <si>
    <t>ACM-0006</t>
  </si>
  <si>
    <t>ACM-0007</t>
  </si>
  <si>
    <t>ACM-0008</t>
  </si>
  <si>
    <t>ACM-0009</t>
  </si>
  <si>
    <t>ACM-0010</t>
  </si>
  <si>
    <t>ACM-X01</t>
  </si>
  <si>
    <t>Large Language Models for Software Engineering: A Systematic Literature Review</t>
  </si>
  <si>
    <t>10.1145/3695988</t>
  </si>
  <si>
    <t>EXCLUDE – abstract/title</t>
  </si>
  <si>
    <t>EXCLUDE – secondary review/survey. Used as contextual evidence rather than a primary study in the additional ACM screening set.</t>
  </si>
  <si>
    <t>EXCLUDE</t>
  </si>
  <si>
    <t>ACM-X02</t>
  </si>
  <si>
    <t>A Survey on Large Language Models for Code Generation</t>
  </si>
  <si>
    <t>10.1145/3747588</t>
  </si>
  <si>
    <t>EXCLUDE – secondary survey. The assignment evidence set already retains the supplied review articles; this additional survey is not counted as a primary evidence record.</t>
  </si>
  <si>
    <t>ACM-X03</t>
  </si>
  <si>
    <t>LLM-Based Multi-Agent Systems for Software Engineering: Literature Review, Vision, and the Road Ahead</t>
  </si>
  <si>
    <t>10.1145/3712003</t>
  </si>
  <si>
    <t>EXCLUDE – secondary review/vision paper for the additional candidate set.</t>
  </si>
  <si>
    <t>ACM-X04</t>
  </si>
  <si>
    <t>Large Language Model for Vulnerability Detection and Repair: Literature Review and the Road Ahead</t>
  </si>
  <si>
    <t>10.1145/3708522</t>
  </si>
  <si>
    <t>EXCLUDE – secondary literature review for the additional candidate set.</t>
  </si>
  <si>
    <t>ACM-X05</t>
  </si>
  <si>
    <t>AI in the Software Development Lifecycle: Insights and Open Research Questions</t>
  </si>
  <si>
    <t>10.1145/3696630.3730538</t>
  </si>
  <si>
    <t>EXCLUDE – short companion contribution (5 pages), below the 8-page threshold used for the screening exercise.</t>
  </si>
  <si>
    <t>ACM-X06</t>
  </si>
  <si>
    <t>LLM-based Control Code Generation using Image Recognition</t>
  </si>
  <si>
    <t>10.1145/3643795.3648385</t>
  </si>
  <si>
    <t>EXCLUDE – workshop paper. Workshop/doctoral-symposium-style outputs are excluded from the additional screening pool.</t>
  </si>
  <si>
    <t>ACM-X07</t>
  </si>
  <si>
    <t>Distinguishing GUI Component States for Blind Users Using Large Language Models</t>
  </si>
  <si>
    <t>10.1145/3722106</t>
  </si>
  <si>
    <t>EXCLUDE – application focus is accessibility/user interaction rather than an engineering task in the assignment evidence scope.</t>
  </si>
  <si>
    <t>ACM-X08</t>
  </si>
  <si>
    <t>Can Large Language Models Make the Grade? An Empirical Study Evaluating LLMs Ability to Mark Short Answer Questions in K-12 Education</t>
  </si>
  <si>
    <t>10.1145/3657604.3664693</t>
  </si>
  <si>
    <t>EXCLUDE – education/assessment application outside software/system engineering scope.</t>
  </si>
  <si>
    <t>ACM-X09</t>
  </si>
  <si>
    <t>Evaluating the Effectiveness of LLMs in Introductory Computer Science Education: A Semester-Long Field Study</t>
  </si>
  <si>
    <t>10.1145/3657604.3662036</t>
  </si>
  <si>
    <t>EXCLUDE – education-focused study; does not evaluate AI for a software/system engineering task.</t>
  </si>
  <si>
    <t>ACM-X10</t>
  </si>
  <si>
    <t>Finding Misleading Identifiers in Novice Code Using LLMs</t>
  </si>
  <si>
    <t>10.1145/3641555.3705282</t>
  </si>
  <si>
    <t>EXCLUDE – primary context is computing education and novice-programmer instruction rather than software engineering practice.</t>
  </si>
  <si>
    <t>ACM-X11</t>
  </si>
  <si>
    <t>The Impact of Generative AI on Critical Thinking: Self-Reported Reductions in Cognitive Effort and Confidence Effects From a Survey of Knowledge Workers</t>
  </si>
  <si>
    <t>10.1145/3706598.3713778</t>
  </si>
  <si>
    <t>EXCLUDE – human-computer interaction/workplace cognition focus, not an AI-enabled engineering task.</t>
  </si>
  <si>
    <t>ACM-X12</t>
  </si>
  <si>
    <t>Tools for Thought: Research and Design for Understanding, Protecting, and Augmenting Human Cognition with Generative AI</t>
  </si>
  <si>
    <t>10.1145/3706599.3706745</t>
  </si>
  <si>
    <t>EXCLUDE – extended abstract/workshop-oriented contribution and not focused on software/system engineering.</t>
  </si>
  <si>
    <t>ACM-X13</t>
  </si>
  <si>
    <t>Beyond the Benefits: A Systematic Review of the Harms and Consequences of Generative AI in Computing Education</t>
  </si>
  <si>
    <t>10.1145/3769994.3770036</t>
  </si>
  <si>
    <t>EXCLUDE – computing education review; outside the software/system engineering scope of the evidence set.</t>
  </si>
  <si>
    <t>Abstract</t>
  </si>
  <si>
    <t>Title Screening</t>
  </si>
  <si>
    <t>Title Exclusion Reason</t>
  </si>
  <si>
    <t>WoS-0001</t>
  </si>
  <si>
    <t>The Large Language Models (LLMs) like ChatGPT 3.5 have created a new era of automatic code generation. However, the existing research primarily focuses on generating simple code based on datasets (such as HumanEval, etc.). Most of approaches pay less attention to complex and practical code generation. Therefore, in this paper, we propose a new approach called XdCodeGen which can be used to generate large scale Java code. This approach is composed of four phases: requirement analysis, modeling, code generation, and code verification. In the requirement analysis phase, ChatGPT 3.5 is utilized to decompose and restate user requirements. To do so, a knowledge graph is developed to describe entities and their relationship in detail. Further, Propositional Projection Temporal Logic (PPTL) formulas are employed to define the properties of requirements. In the modeling phase, we use knowledge graphs to enhance prompts and generate UML class and activity diagrams for each sub-requirement using ChatGPT 3.5. In the code generation phase, based on established UML models, we make use of prompt engineering and knowledge graph to generate Java code. In the code verification phase, a runtime verification at code level approach is employed to verify generated Java code. Finally, we apply the proposed approach to develop a practical Java web project.</t>
  </si>
  <si>
    <t>Included: applies an identifiable AI technique (LLMs/ML) to software/systems modelling artefacts (UML, metamodels, domain models).</t>
  </si>
  <si>
    <t>WoS-0002</t>
  </si>
  <si>
    <t>Most experts agree that large language models (LLMs), such as those used by Copilot and ChatGPT, are expected to revolutionize the way in which software is developed. Many papers are currently devoted to analyzing the potential advantages and limitations of these generative AI models for writing code. However, the analysis of the current state of LLMs with respect to software modeling has received little attention. In this paper, we investigate the current capabilities of ChatGPT to perform modeling tasks and to assist modelers, while also trying to identify its main shortcomings. Our findings show that, in contrast to code generation, the performance of the current version of ChatGPT for software modeling is limited, with various syntactic and semantic deficiencies, lack of consistency in responses and scalability issues. We also outline our views on how we perceive the role that LLMs can play in the software modeling discipline in the short term, and how the modeling community can help to improve the current capabilities of ChatGPT and the coming LLMs for software modeling.</t>
  </si>
  <si>
    <t>WoS-0003</t>
  </si>
  <si>
    <t>The integration of Large Language Models (LLMs) in software modeling tasks presents both opportunities and challenges. This Expert Voice addresses a significant gap in the evaluation of these models, advocating for the need for standardized benchmarking frameworks. Recognizing the potential variability in prompt strategies, LLM outputs, and solution space, we propose a conceptual framework to assess their quality in software model generation. This framework aims to pave the way for standardization of the benchmarking process, ensuring consistent and objective evaluation of LLMs in software modeling. Our conceptual framework is illustrated using UML class diagrams as a running example.</t>
  </si>
  <si>
    <t>WoS-0004</t>
  </si>
  <si>
    <t>Many organizations rely on software systems to accomplish their daily operations. Over time, these systems require maintenance and need to evolve to meet new requirements and stakeholder needs. Visual representations and textual abstractions are important to support the understanding of these systems for their maintenance and evolution. Reverse engineering is used to generate such representations and software models by abstracting various types of diagrams from code bases, and Model-Driven Engineering (MDE) provides a rigorous means of facilitating the reverse engineering process, enabling the generation of formal visual and textual models with a precise semantic alignment to the source code. Large language models (LLMs) are increasingly used in various fields, including software engineering. Yet, they have rarely been used to abstract software models from source code. In this paper, we present a new Model-Driven Reverse Engineering (MDRE) approach for abstracting Unified Modeling Language (UML) and Object Constraint Language (OCL) representations from software systems for understanding and documenting them. To improve the usability and scope of MDRE, we use LLMs to abstract UML class diagrams and OCL specifications from Java and Python programs. Case studies are conducted to evaluate the proposed approach and to encourage maintainers to leverage LLMs in the reverse engineering process, thereby improving their understanding and maintenance of Java- and Python-based systems.</t>
  </si>
  <si>
    <t>WoS-0005</t>
  </si>
  <si>
    <t>Semantic processing of conceptual models is a focus of research for several years, bridging the disciplines of knowledge-based systems, conceptual modeling, and model-driven software engineering. With Knowledge Graphs, this research area gained momentum. In this paper, we introduce CM2KGcloud, a generic and extensible Web-based platform for transforming conceptual models into Knowledge Graphs. The platform can work on models created by state-of-the-art metamodeling platforms (e.g., EMF, Papyrus, ADOxx) and transforms models created with them into standardized Knowledge Graph representations like GraphML, RDF, and OWL. CM2KGcloud can be used as a service and can be integrated into software systems by its exposed API.&amp; COPY; 2023 Elsevier B.V. All rights reserved.</t>
  </si>
  <si>
    <t>WoS-0006</t>
  </si>
  <si>
    <t>Context: Due to the proliferation of generative AI models in different software engineering tasks, the research community has started to exploit those models, spanning from requirement specification to code development. Model-Driven Engineering (MDE) is a paradigm that leverages software models as primary artifacts to automate tasks. In this respect, modelers have started to investigate the interplay between traditional MDE practices and Large Language Models (LLMs) to push automation. Although powerful, LLMs exhibit limitations that undermine the quality of generated modeling artifacts, e.g., hallucination or incorrect formatting. Recording modeling operations relies on human-based activities to train modeling assistants, helping modelers in their daily tasks. Nevertheless, those techniques require a huge amount of training data that cannot be available due to several factors, e.g., security or privacy issues. Objective: In this paper, we propose an extension of a conceptual MDE framework, called MASTER-LLM, that combines different MDE tools and paradigms to support industrial and academic practitioners. Method: MASTER-LLM comprises a modeling environment that acts as the active context in which a dedicated component records modeling operations. Then, model completion is enabled by the modeling assistant trained on past operations. Different LLMs are used to generate a new dataset of modeling events to speed up recording and data collection. Results: To evaluate the feasibility of MASTER-LLM in practice, we experiment with two modeling environments, i.e., CAEX and HEPSYCODE, employed in industrial use cases within European projects. We investigate how the examined LLMs can generate realistic modeling operations in different domains. Conclusion: We show that synthetic traces can be effectively used when the application domain is less complex, while complex scenarios require human-based operations or a mixed approach according to data availability. However, generative AI models must be assessed using proper methodologies to avoid security issues in industrial domains.</t>
  </si>
  <si>
    <t>WoS-0007</t>
  </si>
  <si>
    <t>Developing control software for cyberphysical systems and industrial automation faces challenges like hardware integration, real-time responsiveness, and high reliability. Traditional environments often lack domain-specific knowledge, leading to inefficiencies. This paper introduces the knowledge-aided integrated development environment (K-IDE), which integrates domain knowledge into the software lifecycle, improving efficiency, consistency, and maintainability. K-IDE uses domain-specific languages and knowledge graphs to automate design and code generation. Key findings show that K-IDE significantly reduces development time and errors compared to traditional IDEs, proving effective in robotics and industrial automation. K-IDE bridges the gap between abstract designs and concrete implementations, offering a robust solution for modern control software development.</t>
  </si>
  <si>
    <t>WoS-0008</t>
  </si>
  <si>
    <t>Automated code generation has advanced significantly with large language models (LLMs), yet their performance in emerging domain-specific languages for practical software development remains largely untested. This gap is particularly critical for major, rapidly growing platforms like Huawei's HarmonyOS. Powering over 900 million devices, the HarmonyOS ecosystem is shifting to a native-only application environment with the HarmonyOS NEXT update. This shift makes development in its native ArkTS UI language essential, driving an urgent need for effective developer tools. Addressing this industry challenge, we conduct the first systematic evaluation of Large Language Models (LLMs) on their ability to generate valid ArkTS code to accelerate the software development lifecycle and assist developers in mastering this new language. To ground our evaluation in practical scenarios, we introduce two curated datasets: a test dataset, ArkTS-Test, and a training dataset for fine-tuning, both derived from common UI development tasks in ArkTS. Using these datasets, we evaluate a diverse range of LLMs-from large-scale proprietary models (e.g., Claude, Gemini, DeepSeek-V3, Qwen3 Coder, from 70b to up to 671B total parameters) to smaller open-source models (7B-14B) and report our observations. Next, we propose a methodology called Iterative Compilation Feedback (ICF), which enables LLMs to autonomously correct their own code by leveraging compiler error messages. Our experiments show that ICF boosts the syntactic Pass@1 of large-scale LLMs to as high as 91%. Furthermore, we show that fine-tuning a small-scale LLM (GPT-4o-mini) and combining it with our ICF method yields results comparable to the best-performing large-scale models. Finally, we conclude with a detailed categorization of compilation errors, identifying which types our ICF method resolves most effectively and which persist due to model knowledge limitations.</t>
  </si>
  <si>
    <t>WoS-0009</t>
  </si>
  <si>
    <t>Cost-effective and minimal-intervention BIM information retrieval via condensed multi-LLM agent code generation</t>
  </si>
  <si>
    <t>AUTOMATION IN CONSTRUCTION</t>
  </si>
  <si>
    <t>10.1016/j.autcon.2025.106585</t>
  </si>
  <si>
    <t>The Architecture, Engineering, and Construction (AEC) industry increasingly relies on Building Information Modelling (BIM) to manage complex data. However, manual information retrieval remains inefficient and widespread. Existing automatic approaches focus on Industry Foundation Classes (IFC) format with template-based support, while the potential of large language models (LLMs) to generate retrieval code across diverse domain-specific languages and libraries remains underexplored. This paper introduces Alignment-Refinement Coder for BIM (ARCBIM), an LLM-based system with a 'prefix' function alignment module, a 'suffix' code refinement module, and an 'inflexion' condensed agent-design to improve cost-effectiveness. Evaluation on 80 diverse queries with the Revit C# API showed that ARCBIM reduced the average error count to 1.26 per query, compared with 5.75 for the baseline Standalone Agent. Moreover, 80 % of generated code became usable within three local refinements. This system enhanced flexible BIM data retrieval with limited intervention across multiple complexities, providing a more user-centric automatic retrieval solution.</t>
  </si>
  <si>
    <t>EC4: Non-software engineering domain (civil BIM, mechanical CAD, CFD physics, or structural materials).</t>
  </si>
  <si>
    <t>WoS-0010</t>
  </si>
  <si>
    <t>Software requirements specification describes users' needs and expectations on some target system. Requirements documents are typically represented by unstructured natural language text. Such texts are the basis for the various subsequent activities in software development, such as software analysis and design. As part of software analysis, domain models are made that describe the key concepts and relations between them. Since the analysis process is performed manually by business analysts, it is time-consuming and may introduce mistakes. Recently, researchers have worked toward automating the synthesis of domain models from textual software requirements. Current studies on this topic have limitations in terms of the volume and heterogeneity of experimental datasets. To remedy this, we provide a curated dataset of software requirements to be utilized as a benchmark by algorithms that transform textual requirements documents into domain models. We present a detailed evaluation of two text-to-model approaches: one based on a large-language model (ChatGPT) and one building on grammatical rules (txt2Model). Our evaluation reveals that both tools yield promising results with relatively high F-scores for modeling the classes, attributes, methods, and relationships, with txt2Model performing better than ChatGPT on average. Both tools have relatively lower performance and high variance when it comes to the relation types. We believe our dataset and experimental evaluation pave to way to advance the field of automated model generation from requirements.</t>
  </si>
  <si>
    <t>WoS-0011</t>
  </si>
  <si>
    <t>Large language models (LLMs) can be used to support software development tasks, e.g., through code completion or code generation. However, their effectiveness drops significantly when considering less popular programming languages such as domain-specific languages (DSLs). In this paper, we propose a generic framework for evaluating the capabilities of LLMs generating DSL code from textual specifications. The generated code is assessed from the perspectives of well-formedness and correctness. This framework is applied to a particular type of DSL, constraint languages, focusing our experiments on OCL and Alloy and comparing their results to those achieved for Python, a popular general-purpose programming language. Experimental results show that, in general, LLMs have better performance for Python than for OCL and Alloy. LLMs with smaller context windows such as open-source LLMs may be unable to generate constraint-related code, as this requires managing both the constraint and the domain model where it is defined. Moreover, some improvements to the code generation process such as code repair (asking an LLM to fix incorrect code) or multiple attempts (generating several candidates for each coding task) can improve the quality of the generated code. Meanwhile, other decisions like the choice of a prompt template have less impact. All these dimensions can be systematically analyzed using our evaluation framework, making it possible to decide the most effective way to set up code generation for a particular type of task.</t>
  </si>
  <si>
    <t>WoS-0012</t>
  </si>
  <si>
    <t>Design patterns offer reusable solutions for common software issues, enhancing quality.The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 ability to implement design patterns, using Role-Based Metamodeling Language (RBML) for a rigorous specification of the pattern's problem, solution, and transformation rules. The method evaluates the pattern applicability of a software application using the pattern's problem specification. If deemed applicable, the application is input to the LLM for pattern application. The resulting application is assessed for conformance to the pattern's solution specification and for completeness against the pattern's transformation rules. Evaluating the method with ChatGPT 4 across three applications reveals ChatGPT's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t>
  </si>
  <si>
    <t>WoS-0013</t>
  </si>
  <si>
    <t>Domain-specific languages (DSLs) for machine learning are revolutionizing the speed and efficiency of machine learning workloads as they enable users easy access to high-performance compiler optimizations and accelerators. However, to take advantage of these capabilities, a user must first translate their legacy code from the language it is currently written in, into the new DSL. The process of automatically lifting code into these DSLs has been identified by several recent works, which propose program synthesis as a solution. However, synthesis is expensive and struggles to scale without carefully designed and hard-wired heuristics. In this paper, we present an approach for lifting that combines an enumerative synthesis approach with a Large Language Model used to automatically learn the domain-specific heuristics for program lifting, in the form of a probabilistic grammar. Our approach outperforms the state-of-the-art tools in this area, despite only using learned heuristics.</t>
  </si>
  <si>
    <t>WoS-0014</t>
  </si>
  <si>
    <t>Automated Business Process Model Generation With Large Language Models: A Systematic Literature Review</t>
  </si>
  <si>
    <t>10.1109/ACCESS.2026.3723936</t>
  </si>
  <si>
    <t>The automated generation of business process models from natural language descriptions has recently attracted growing attention at the intersection of Business Process Management (BPM), Natural Language Processing (NLP), and Large Language Models (LLMs). This paper presents a Systematic Literature Review (SLR) on the current state of research in this emerging field. Following the guidelines of Kitchenham et al. and the PRISMA framework, 29 studies published between January 1st, 2023 and March 10th, 2026 were identified, selected, and analyzed. The review addresses two research questions focusing on the applied methodological approaches, the used LLMs, the employed modeling languages, as well as the evaluation strategies, challenges, and limitations reported in the literature. The results show a clear shift from traditional NLP-based techniques toward LLM-only and hybrid approaches. OpenAI's GPT family, especially GPT-4 and its variants, dominates the field, while BPMN is by far the most frequently used target process modeling language. Furthermore, existing studies evaluate automated process model generation primarily through output-focused methods, such as quantitative metrics, expert reviews, and comparisons with alternative or human-created process models. At the same time, the reviewed studies reveal important challenges, including the continued need for human involvement and the output quality. Overall, current approaches show strong potential, but they still act more as intelligent assistants than as fully autonomous process modelers.</t>
  </si>
  <si>
    <t>EC5: Secondary study (SLR / survey / mapping study) without a primary technical artifact or evaluation.</t>
  </si>
  <si>
    <t>WoS-0015</t>
  </si>
  <si>
    <t>Multi-agent systems based on large language models (LLM) are said to be able to provide flexible and scalable collaboration, but are often unstable, adversarially active, biased in their representations, and expensive to compute-aspects that hinder their use in safety-critical or resource-sensitive systems. To overcome these deficiencies, a model-driven engineering framework, the MDE-Agentware, has been implemented: a model-based engineering paradigm, which represents multi-agent architectures through a typed domain specific metamodel, and generates executables that are conforming with instrumented runtime monitoring, tool wrappers and energy-conscious invocation policies. The main novelties of the approach include (i) a formal model-to-code transformation, enforcing the architectural constraints and labeled-transition semantics, (ii) a collection of rigorous metrics (architectural conformity, prediction consistency, composite bias penalty, and energy models), which allow performing automated conformity checking and constrained optimization, and (iii) fairness-by-design and resilience mechanisms, implemented into the orchestration level, and not applied after the fact. Huge controlled experiments with publicly available corpora and simulated benchmarks show that MDE-Agentware achieves significantly better contraction behavior and spectral condition, is more resistant to adversarial noise, has higher inter-agent coherence, exhibits significant reductions in redundant invocations of LLM and per-trial energy, and significant reductions in statistical parity difference. The framework thus progresses a viable, repeatable, and reliable, and environmentally sustainable multi-agent system based on LLM, which can be utilized in critical applications.</t>
  </si>
  <si>
    <t>WoS-0016</t>
  </si>
  <si>
    <t>Automating the generation of valid SysML v2 models from natural language specifications holds promise for advancing Model-Based Systems Engineering (MBSE) in industrial settings. However, current approaches based solely on Large Language Models (LLMs) often fail to meet the syntactic and semantic rigor required by formal modeling languages. This paper introduces a domain-informed, agent-based framework that combines LLMs with structured retrieval and iterative validation to synthesize correct SysML v2 models. The system integrates Retrieval-Augmented Generation (RAG) using a curated repository of SysML v2 examples and enforces compliance through a validation engine based on the official ANTLR grammar. Experimental results across diverse MBSE scenarios demonstrate that the integration of retrieval and validation mechanisms leads to a substantial improvement in model correctness and semantic alignment, beyond what each component achieves individually. This combined effect enables reliable, closed-loop generation of formal models from natural language, illustrating how domain-specific integration can transform general-purpose LLMs into reliable assistants for engineering design tasks.</t>
  </si>
  <si>
    <t>WoS-0017</t>
  </si>
  <si>
    <t>The Unified Modeling Language is a standardized visual language widely used for modeling and documenting the design of software systems. Although many tools are available that generate UML diagrams from UML code, generating executable UML code from image-based UML diagrams remains challenging. This paper proposes a new approach to generate UML code using a large multimodal language model automatically. Synthetic UML activity and sequence diagram datasets were created to train and test the model. We compared the standard fine-tuning with LoRA techniques to optimize base models. The experiments measured the code generation accuracy across different model sizes and training strategies. These results demonstrated that domain-adapted MM-LLMs perform for UML code generation automation, whereby, at the best model, it achieved BLEU and SSIM of 0.779 and 0.942 on sequence diagrams. This will enable the modernization of legacy systems and decrease the manual effort put into software development workflows.</t>
  </si>
  <si>
    <t>WoS-0018</t>
  </si>
  <si>
    <t>Scientists across domains are often challenged to master domain-specific languages (DSLs) for their research, which are merely a means to an end but are pervasive in fields like computational chemistry. Automated code generation promises to overcome this barrier, allowing researchers to focus on their core expertise. While large language models (LLMs) have shown impressive capabilities in synthesizing code from natural language prompts, they often struggle with DSLs, likely due to their limited exposure during training. In this work, we investigate the potential of foundational LLMs for generating input files for the quantum chemistry package ORCA by establishing a general framework that can be adapted to other DSLs. To improve upon as our base model, we explore the impact of prompt engineering, retrieval-augmented generation, and finetuning via synthetically generated datasets. We find that finetuning, even with synthetic datasets as small as 500 samples, significantly improves performance. Additionally, we observe that finetuning shows synergism with advanced prompt engineering such as chain-of-thought prompting. Consequently, our best finetuned models outperform the formally much more powerful model. In turn, finetuning GPT-4o with the same small synthetic dataset leads to a further substantial performance improvement, suggesting our approach to be more general rather than limited to LLMs with poor base proficiency. All tools and datasets are made openly available for future research. We believe that this research lays the groundwork for a wider adoption of LLMs for DSLs in chemistry and beyond.</t>
  </si>
  <si>
    <t>WoS-0019</t>
  </si>
  <si>
    <t>Large language models in model-driven engineering: a systematic mapping study</t>
  </si>
  <si>
    <t>10.1007/s10664-026-10921-4</t>
  </si>
  <si>
    <t>The application of Large Language Models (LLMs) in Model-Driven Engineering (MDE) has emerged as a rapidly evolving research area. While existing systematic literature reviews have examined specific technical approaches, a comprehensive mapping of the broader research landscape (e.g., development trends) remains lacking. This study presents a systematic mapping study of LLM applications in MDE, analyzing 86 primary studies collected from five databases, covering publications from 2022 to early 2026. Guided by five research questions, we characterize the field across five dimensions: MDE task distribution and research contribution types, LLM technologies and interaction strategies, artifact representation and processing, validation practices, and publication landscape. Our findings reveal that current LLM4MDE research is heavily concentrated on Model Generation, while tasks such as Model Migration, DSL Engineering, and Metamodeling remain marginal. Most approaches rely on black-box OpenAI models accessed via remote APIs and adapted through prompt engineering, with fine-tuning and retrieval-augmented generation rarely employed. Inputs are predominantly natural-language artifacts, while outputs are model-oriented but usually expressed in lightweight textual formats rather than native MDE exchange formats. Validation is centered on quantitative experimentation, with 42% of studies reporting no baseline and cost efficiency reported in fewer than one quarter of studies. The field has grown rapidly, from one paper in 2022 to 42 in 2025, with research concentrated in Europe and Canada and limited industry involvement. Based on these findings, we identify gaps and opportunities across task coverage, technical configuration, and evaluation practice, offering a knowledge map to guide future work in this cross-disciplinary field.</t>
  </si>
  <si>
    <t>WoS-0020</t>
  </si>
  <si>
    <t>In recent years, Large Language Models (LLMs) and Generative Artificial Intelligence (GenAI) have gained significant momentum in the automation of software development. Although, previous research studies have also explored specific sub tasks like requirements formalization, UML class diagram generation, UML sequence diagram generation, and skeletal code generation, these efforts are still fragmented and do not provide an integrated, end-to-end software solution. Furthermore, unreliable outputs are frequently caused by instability, omissions, and hallucinations in LLM-generated artifacts. We propose VeriGen, a novel end-to-end generative AI framework for automated software development, to overcome these limitations. VeriGen begins with requirements written in plain natural language, which are structured using RUPPs templates into Structured Natural Language (SNL). LLM outputs are systematically processed through a unique Verifier-Optimizer loop at each subsequent stage, such as class diagram generation, sequence diagram generation, and skeletal Java code synthesis. The Verifier-Optimizer loop identifies correct, incorrect, missing, and extra instances while refining outputs for stability and correctness. This ensures the accuracy and completeness of generated artifacts in addition to the automation. By reliably generating verified and optimized outputs throughout the software development pipeline, VeriGen has been validated against four benchmark case studies, proving its superiority over baseline LLM generated outputs. The results confirm VeriGen as a significant and major step toward achieving a reliable, generative, end-to-end software engineering automation.</t>
  </si>
  <si>
    <t>WoS-0021</t>
  </si>
  <si>
    <t>The increasing importance of process models highlights the demand for tools that enable an efficient and accurate transformation of natural language process descriptions into BPMN 2.0 process models. Despite significant advancements in natural language processing and large language models, automatically generating process models that are syntactically correct, semantically accurate, and pragmatically useful remains a challenge, particularly for individuals without deeper expertise in process modeling. To tackle this challenge, the authors have been developing BPMNGen, an LLM-based conversational framework, which leverages advanced natural language processing and large language models to automate the generation of BPMN 2.0 process models from natural language process descriptions. To evaluate the quality of the models generated with BPMNGen, two studies were conducted: one study focused on the semantic quality of the generated process models in relation to given process descriptions and another one assessed process model comprehensibility, including the cognitive load of the study participants when reading the LLM-generated models, their level of acceptability, and their performance. The results show that LLMs already perform well for simpler and moderately complex processes, while struggling with higher complexity - highlighting both current limitations and opportunities for further improving automated BPMN 2.0 model generation.</t>
  </si>
  <si>
    <t>WoS-0022</t>
  </si>
  <si>
    <t>Formal languages are an integral part of modeling and simulation. They allow the distillation of knowledge into concise simulation models amenable to automatic execution, interpretation, and analysis. However, the arguably most humanly accessible means of expressing models is through natural language, which is not easily interpretable by computers. Here, we evaluate how a Large Language Model (LLM) might be used for formalizing natural language into simulation models. Existing studies only explored using very large LLMs, like the commercial GPT models, without fine-tuning model weights. To close this gap, we show how an open-weights, 7B-parameter Mistral model can be fine-tuned to translate natural language descriptions to reaction network models in a domain-specific language, offering a self-hostable, compute-efficient, and memory efficient alternative. To this end, we develop a synthetic data generator to serve as the basis for finetuning and evaluation. Our quantitative evaluation shows that our fine-tuned Mistral model can recover the ground truth simulation model in up to 84.5% of cases. In addition, our small-scale user study demonstrates the model's practical potential for one-time generation as well as interactive modeling in various domains. While promising, in its current form, the fine-tuned small LLM cannot catch up with large LLMs. We conclude that higher-quality training data are required, and expect future small and open-source LLMs to offer new opportunities.</t>
  </si>
  <si>
    <t>WoS-0023</t>
  </si>
  <si>
    <t>PurposeThis study aims to address the question of how generative artificial intelligence can be used to reduce the time required to set up electromagnetic simulation models. A chatbot based on a large language model (LLM) is presented, enabling the automated generation of simulation models with various functional enhancements.Design/methodology/approachA chatbot-driven workflow based on the LLM Google Gemini-2.0-Flash automatically generates and solves two-dimensional finite element eddy current models using Gmsh and GetDP. Python is used to coordinate and automate interactions between the workflow components. The study considers conductor geometries with circular cross-sections of variable position and number. In addition, users can define custom postprocessing routines and receive a concise summary of model information and simulation results. Each functional enhancement includes the corresponding architectural modifications and illustrative case studies.FindingsWith a defined set of functionalities, the chatbot successfully sets up and solves electromagnetic simulation models. Notably, it automatically infers not only Python code but also the domain-specific language code for GetDP. The case studies conducted revealed open research challenges, particularly with regard to the question of how to ensure that results are both syntactically and semantically valid.Originality/valueCurrently, the application of machine learning methods to solve electromagnetic boundary value problems is an active area of research (see, e.g. physics-informed neural networks or neural operators). However, to the best of the authors' knowledge, little research has examined the potential of artificial-intelligence-assisted generation of simulation models that prioritizes code generation and execution rather than the enhancement of numerical solution schemes. This study leverages a LLM and designs tailored workflows that contextualize it through carefully constructed system prompts.</t>
  </si>
  <si>
    <t>WoS-0024</t>
  </si>
  <si>
    <t>Despite substantial advancements in function-level code generation powered by Large Language Models (LLMs), a fundamental challenge remains: reducing the uncertainty in the code generation process from requirements to enable LLMs to produce code that more accurately meets the requirements. In this paper, we introduce a novel framework for function-level code generation, named StructGen, which employs Unified Modeling Language (UML) activity diagrams as structural guidance for code generation. StructGen comprises two LLM-based col laborative roles operating across two phases: a Designer that infers the requirements and models the design schemes using UML activity diagrams, and a Coder that generates code guided by the design schemes, while the Designer revises designs and the Coder repairs code through test feedback. StructGen introduces the sequential, selective, and iterative structures of UML activity diagrams to logically organize the implementation process, thereby deepening the LLM's understanding of requirements and increasing the determinism of code generation from requirements. Experimental results demonstrate that StructGen outperforms all competitive baselines with relative improvements of 9.4 %-37.3 % and also surpasses all comparative LLMs. Furthermore, the UML activity diagram-based design schemes are equally effective in enhancing the performance of both the LLMs and baselines, achieving relative improvements of 2.1 %-112.1 %.</t>
  </si>
  <si>
    <t>WoS-0025</t>
  </si>
  <si>
    <t>Chatbots provide a novel form of user interface, and Web API (Application Programming Interface) technology is rapidly expanding to encompass a wide range of applications. The integration of Chatbots with APIs facilitates access to a wide range of data and functionalities; however, existing tools for the development of a conversational Chatbot user interface can be exceedingly complex. This paper presents a semi-automatic system based on the concept of MDE (Model-Driven Engineering) by which to generate a Chatbot user interface for a specific Web API in accordance with the proposed BotSwagger specifications. The devised BOTEN system allows developers to integrate APIs with Chatbots seamlessly. It also enables end users to input parameters, access APIs, and obtain comprehensible responses promptly in a conversational way. In experiments, the proposed system proved highly effective in integrating APIs with Chatbots. It makes it possible for users to input required parameters sequentially via an interactive dialogue to use Web APIs. The proposed system simplifies the process of creating Chatbots with API services, while largely eliminating the need for API-specific knowledge. Besides, the proposed LLMbased coordination mechanism (LLM: Large Language Model) also facilitates the creation of large-scale applications comprising multiple Chatbots.</t>
  </si>
  <si>
    <t>WoS-0026</t>
  </si>
  <si>
    <t>Context: Domain-specific languages (DSLs) are essential for modeling specialized concepts, offering greater fluency and efficiency than general-purpose languages. However, their adoption is often hindered by steep learning curves, limited tools, and complex implementations. While large language models (LLMs) can generate DSL code from natural language, their performance is limited in niche areas due to a lack of training on specific DSL definitions. Objectives: This paper introduces DSL-Xpert 2.0, a tool that addresses these challenges by using LLMs to generate DSL code effortlessly. Methods: Integrating grammar prompting and few-shot learning ensures the effective handling of proprietary DSLs. In addition, advanced features such as automatic grammar validation, input/output correction, and integration with platforms like OpenAI, HuggingFace, and WebLLM provide robust, reliable results while simplifying workflows for novices and experts. To further demonstrate the tool's practical value, this paper provides a running example illustrating its workflow and a complementary user survey conducted across multiple DSLs of varying complexity, following the Technology Acceptance Model (TAM), to evaluate its impact on easing the DSL learning curve. Results: With a user-friendly and flexible design, DSL-Xpert 2.0 supports a wide range of DSL designs with minimal configuration. Its intuitive interface allows developers to focus on innovative problem-solving rather than technical complexities. Findings from the user survey confirm that DSL-Xpert 2.0 effectively reduces the learning effort required to work with DSLs and is perceived as both useful and easy to use. Additionally, this paper provides a detailed performance analysis across various LLMs, showcasing the adaptability and effectiveness of the tool. Conclusion: By simplifying DSL development and lowering entry barriers, DSL-Xpert 2.0 accelerates adoption and innovation, positioning itself as a valuable resource for domain-specific projects.</t>
  </si>
  <si>
    <t>WoS-0027</t>
  </si>
  <si>
    <t>Smart contracts are central to blockchain ecosystems, yet their development remains technically demanding, error-prone, and tied to platform-specific programming languages. This paper introduces SCEditor-Web, a web-based modeling environment that combines model-driven engineering (MDE) with generative artificial intelligence (Gen-AI) to simplify contract design and code generation. Developers specify the structural and behavioral aspects of smart contracts through a domain-specific visual language grounded in a formal metamodel. The resulting contract model is exported as structured JSON and transformed into executable, platform-specific code using large language models (LLMs) guided by a tailored prompt engineering process. A prototype implementation was evaluated on Solidity contracts as a proof of concept, using representative use cases. Experiments with state-of-the-art LLMs assessed the generated contracts for compilability, semantic alignment with the contract model, and overall code quality. Results indicate that the visual-to-code workflow reduces manual effort, mitigates common programming errors, and supports developers with varying levels of expertise. The contributions include an abstract smart contract metamodel, a structured prompt generation pipeline, and a web-based platform that bridges high-level modeling with practical multi-language code synthesis. Together, these elements advance the integration of MDE and LLMs, demonstrating a step toward more accessible and reliable smart contract engineering.</t>
  </si>
  <si>
    <t>WoS-0028</t>
  </si>
  <si>
    <t>Model transformation languages (MTLs) are domain-specific languages used to transform models conforming to a given metamodel into other models, including textual models such as source code. Developing correct model transformations in these languages is challenging and requires both language-specific and domain knowledge, creating a need for automated assistance and thus motivating the use of large language models (LLMs) for MTL code generation. However, due to the limited availability of training data and executable examples, LLM-generated MTL code is often not syntactically valid or semantically usable out of the box. This paper presents LLM4MTLs, an automated workflow for constructing and comparing prompting strategies for LLM-generated MTL code, together with an evaluation suite and an empirical evaluation. The workflow systematically explores prompt constructions combining few-shot prompting, grammar prompting, and helper methods inclusion, and evaluates them using both syntactic and semantic metrics. We construct an evaluation suite spanning four MTLs (ATL, ETL, QVTo, and the Reactions language) with executable reference scripts and manually written test suites, and evaluate across three LLMs. We find that few-shot prompting consistently improves syntactic quality across all four MTLs while gains in semantic correctness are uneven and language-dependent. For ATL, Pass@1 remains unchanged across all strategies and models, indicating that few-shot prompting improves surface-level syntax more readily than deep transformation semantics. Grammar prompting stabilizes code generation when combined with few-shot examples, but in isolation, it can be ineffective or even counterproductive for certain model-language combinations. Furthermore, including helper methods in the prompt as a complementary amplifier can be beneficial. Finally, LLM Model choice influences syntactic correctness and similarity for certain MTLs, particularly ETL and QVTo, while its influence on semantic correctness remains limited across all MTLs.</t>
  </si>
  <si>
    <t>WoS-0029</t>
  </si>
  <si>
    <t>Effective Requirements Engineering (RE) is essential for building successful software systems, yet analyzing unstructured stakeholder input remains a persistent challenge. Qualitative Data Analysis (QDA) provides structured methods, open coding (entity extraction), axial coding (relationship discovery), and selective coding (model refinement) to transform natural language requirements into domain models. While manual QDA has proven effective for requirements analysis, it remains time-consuming, repetitive, and difficult to scale. Although individual RE tasks have been automated, no prior work has automated the complete QDA methodology for domain modeling. In this paper, we present QuaRUM, the first framework to automate end-to-end QDA for UML domain model generation by combining large language models with retrieval-augmented generation. QuaRUM processes requirements through document ingestion, semantic indexing, and retrieval-augmented coding, and helps ground each model element in the source text to mitigate hallucination risks. Empirical results show that QuaRUM performs with high accuracy across three domains. It achieves F1-scores between 0.85 and 0.98. Cohen's \documentclass[12pt]{minimal} \usepackage{amsmath} \usepackage{wasysym} \usepackage{amsfonts} \usepackage{amssymb} \usepackage{amsbsy} \usepackage{mathrsfs} \usepackage{upgreek} \setlength{\oddsidemargin}{-69pt} \begin{document}$$\kappa$$\end{document} reaches up to 0.92, surpassing human inter-coder agreement. Notably, QuaRUM recovers 37 valid attributes and 23 relationships initially missed by human analysts. A cost-benefit analysis shows a 218% Return on Investment (ROI) for initial use, increasing to 1,131% in repeated deployments, demonstrating strong economic scalability.</t>
  </si>
  <si>
    <t>WoS-0030</t>
  </si>
  <si>
    <t>The Software Engineering (SE) domain increasingly adopts low-code and no-code approaches to simplify application development and deployment. Two dominant paradigms have emerged in this space: Model-driven Engineering (MDE), leveraging Domain-specific Languages (DSLs) to abstract implementation and reduce the knowledge and expertise required, and LLM-based vibe coding, where developers interact with Large Language Models (LLMs) using natural language, allowing for rapid prototyping and code generation through conversations. Although DSLs provide precise abstractions and formal correctness, they often require specialized knowledge and have a steep learning curve. Conversely, vibe coding enables fluid and natural interactions, but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The DSL Agent is embedded within Locsys, a modern low-code development platform. It combines the flexibility and intuitiveness of LLM-based vibe coding with the rigor of DSLs by dynamically generating accurate and valid DSL models based on user descriptions, embedded into a unified conversational interface that leverages prompt engineering and in-context learning techniques. This offers a simpler and more intuitive interface, accelerates the development process, and reduces the expertise barrier. The agent is evaluated by more than 130 workshop participants of varying expertise levels, on two DSLs of different complexity. Evaluation metrics, including valid model rate, user satisfaction, and development time, indicate a significant improvement in valid model generation, productivity, and ease of use compared to traditional DSL-based SE workflows. These results highlight the potential of the DSL Agent to improve the entire DSL-based development life cycle by offering an efficient, intuitive, and user-friendly interface.</t>
  </si>
  <si>
    <t>WoS-0031</t>
  </si>
  <si>
    <t>Domain models are essential artifacts for representing relevant abstractions of a given application domain in Model-driven Engineering (MDE). Recent advances in large language models (LLMs) have enabled the automatic generation of such models from textual domain descriptions; however, the resulting models often fail to capture the human intention and resolve ambiguities present in natural language. This paper presents ToT-Q, a framework that extends our previous work to integrate the generative capabilities of LLMs, the guidance of a rule-based agent, and human expertise. In essence, ToT-Q employs Tree-of-Thought (ToT) prompting with an LLM to generate an initial candidate model. It then identifies uncertainty within the model and uses a rule-based agent to engage the user in a Q&amp;A refinement dialogue. Through targeted questions, the agent clarifies user intent and iteratively improves the model. We conduct an empirical study with 67 university participants who refine five domain models comparing ToT-Q against an LLM-only baseline. Model quality is evaluated against reference solutions. Participants with low-to-medium modeling expertise use our tool to assess how it supports users with different modeling expertise. Our results demonstrate that ToT-Q improves the model, particularly for elements where LLMs struggle. Domain knowledge is more critical than modeling expertise for successful refinement, and participants find the refinement process clear, useful, and manageable.</t>
  </si>
  <si>
    <t>WoS-0032</t>
  </si>
  <si>
    <t>The transformation of textual specifications into formal software models is a major challenge in software design automation. This study presents an integrated approach that combines the natural language interpretation capabilities of transformer models with explicit concept structuring using a domain specific language (DSL). This DSL, designed as a pivotal intermediate layer, ensures continuity between semantic extraction, UML modeling, and automatic Python code generation. By following the model-driven architecture (MDA) paradigm, the proposed pipeline follows a structured progression from text to model to code while maintaining a high level of traceability and controllability. The experimental evaluation conducted on a dedicated annotated corpus demonstrates the accuracy of the models on UML entities and highlights the importance of DSL for validation, editing, and exploitation of results. This approach paves the way for the development of intelligent modeling tools and structuring of automated transformation chains.</t>
  </si>
  <si>
    <t>WoS-0033</t>
  </si>
  <si>
    <t>Advancing BIM information retrieval with an LLM-based query-domain-specific language and library code function alignment system</t>
  </si>
  <si>
    <t>10.1016/j.autcon.2025.106374</t>
  </si>
  <si>
    <t>The complexity of BIM data calls for efficient automatic information retrieval methods, yet aligning queries with BIM information, especially domain code packages, remains challenging due to intricate data structures, naming conventions, and varying query complexities. Existing techniques require manual training and merely solve the IFC format, while recent exploration of LLMs remains preliminary in BIM automation. This paper introduces Synergistic BIM Aligners, a framework leveraging LLMs to automatically align human queries with BIM domain code functions, thereby assisting subsequent retrieval code generation stages. The framework features eight agents based on hierarchical alignment, hybrid search, and complementary routing strategies. The framework was evaluated using 80 queries from the Revit C# API of varying complexity. The results demonstrated high accuracy (78.75 %) and significantly reduced errors, with our system's 0.30 errors per query on average compared to Standalone Agent's 2.03 errors. These findings highlight the potential of LLM-assisted methods for BIM information retrieval.</t>
  </si>
  <si>
    <t>WoS-0034</t>
  </si>
  <si>
    <t>Over the past few years, Large Language Models (LLMs) have become the source of impressive results in code generation. However, most research focuses on widely adopted general-purpose programming languages, with little attention given to niche domain-specific languages (DSLs). This raises the question: do DSLs, such as P4, a data plane programming language, have a place in the LLM world? The potential impact of generating DSL code could be tremendous. Automatically generating data plane code promises flexible networks that can quickly adapt to specific conditions at the lowest level. P4 is structurally simpler than general-purpose languages, but also offers a much smaller corpus of existing programs, thus setting up interesting challenges for deep-learning based code generation. In this paper, we show that crafting a highly specialized P4 dataset with domain knowledge is sufficient to bootstrap P4 code generation through fine-tuning existing LLMs, even when they have not encountered P4 code during pre-training. We further document the process of creating a relevant benchmark to assess the proficiency of fine-tuned models in generating P4 code. Our evaluation shows that our fine-tuned models outperform much larger models in both syntactic correctness and semantic alignment.</t>
  </si>
  <si>
    <t>WoS-0035</t>
  </si>
  <si>
    <t>This paper illustrates the power of extending Language Driven Engineering (LDE) with Domain-Specific Natural Languages (DSNLs) through a case study on two levels. Both cases benefit from the characteristic decomposition feature of LDE, resulting in tasks tailored to the application of domain-specific languages, here with a focus on the application of DSNLs supported by LLM-based code generation. In the first case study, we show how DSNL-supported LDE facilitates the development of point-and-click adventures, whereas the second case study focuses on migration: We demonstrate how the entire LDE scenario for point-and-click adventure games can be migrated to output TypeScript instead of JavaScript using LLM-based code generation exclusively, without manually writing any code. This migration not only infers the required types, but also preserves an important property of the original LDE scenario: generated web applications can be automatically validated by design via automata learning and subsequent model checking. Even better, this property can be exploited to automatically validate the correctness of the migration by learning so-called difference automata that characterize the behavioral differences between the generated JavaScript-based and Type-Script-based applications.</t>
  </si>
  <si>
    <t>WoS-0036</t>
  </si>
  <si>
    <t>Large language models (LLMs) have achieved notable success in code generation. However, they still frequently produce uncompilable output because their next-token inference procedure does not model formal aspects of code. Although constrained decoding is a promising approach to alleviate this issue, it has only been applied to handle either domain-specific languages or syntactic features of general-purpose programming languages. However, LLMs frequently generate code with typing errors, which are beyond the domain of syntax and generally hard to adequately constrain. To address this challenge, we introduce a type-constrained decoding approach that leverages type systems to guide code generation. For this purpose, we develop novel prefix automata and a search over inhabitable types, forming a sound approach to enforce well-typedness on LLM-generated code. We formalize our approach on a foundational simply-typed language and extend it to TypeScript to demonstrate practicality. Our evaluation on the HumanEval and MBPP datasets shows that our approach reduces compilation errors by more than half and significantly increases functional correctness in code synthesis, translation, and repair tasks across LLMs of various sizes and model families, including state-of-the-art open-weight models with more than 30B parameters. The results demonstrate the generality and effectiveness of our approach in constraining LLM code generation with formal rules of type systems.</t>
  </si>
  <si>
    <t>WoS-0037</t>
  </si>
  <si>
    <t>Industrial model-driven engineering often struggles to generate functionally complete code, especially dynamic behaviors, from large-scale Meta-models, typically yielding only static structures. This paper introduces the (SD2)-D-2 (Static-Structure &amp; Dynamic-Behavior Dual-Stage) framework, a novel approach enhancing automated code generation through two key innovations. First, the Dual-Path Fusion stage constructs a semantically rich static code skeleton by integrating structural semantics from XMI with data constraints from XSD. Second, the dynamic behavior injection engine leverages model annotations and associations to inject operational capabilities into the static foundation. A language-independent Intermediate Code Model unifies semantic information, facilitating transformations via Query/View/Transformation-Relations and domain-specific languages. Validation using industrial Meta-models such as AUTOSAR (Automotive Open System Architecture) and OPC UA (Open Platform Communications Unified Architecture) demonstrates significant improvements in automation, code quality, and development efficiency. This work also discusses Large Language Model limitations for reliable Meta-model-based code generation and posits (SD2)-D-2's potential, particularly with Retrieval Augmented Generation, to improve their code synthesis fidelity. Key contributions include advanced model transformation, behavior-centric code enhancement, and a pathway for more dependable AI-assisted software development.</t>
  </si>
  <si>
    <t>WoS-0038</t>
  </si>
  <si>
    <t>Predicting Student Performance in MOOCs Using Learning Activity Data</t>
  </si>
  <si>
    <t>10.6688/JISE.201809_34(5).0007</t>
  </si>
  <si>
    <t>Massive Open Online Courses (MOOCs) allow students to study anytime, anywhere via the internet. Unfortunately, low completion rates and the enormous number of students make it difficult for instructors to monitor student progress. Students who perform poorly are susceptible to giving up due to a lack of appropriate counseling. Increasing the number of teaching assistants may ease the situation; however, this can be prohibitively expensive. In this study, we sought to improve the completion rate of MOOCs by predicting student performance through the analysis of data related to learning behavior and intervening before a student gives up. Learning behavior was first collected from OpenEdu, a well-known MOOC platform in Taiwan. A statistical model was then used to predict the performance of students based on this data. The effectiveness of the proposed model was demonstrated using cross validation of data from actual courses. Our findings demonstrate the effectiveness of monitoring student behavior in answering questions, watching videos, and participating in discussions on forums with the aim of predicting student performance in MOOCs in order to improve completion rates.</t>
  </si>
  <si>
    <t>IC1 Violation: Conventional MDE / rule-based transformation without an identifiable AI or machine learning technique.</t>
  </si>
  <si>
    <t>WoS-0039</t>
  </si>
  <si>
    <t>Traceability Support for Engineering Reviews of Horizontal Model Evolution</t>
  </si>
  <si>
    <t>SYSTEMS ENGINEERING</t>
  </si>
  <si>
    <t>10.1002/sys.70001</t>
  </si>
  <si>
    <t>At its very core, model-based systems engineering uses models to enable a multidisciplinary view on a system design in the early stages. These early stage models evolve horizontally: new diagrams for further perspectives and disciplines are added, using the same notation and the same abstraction level. Just as any other process in systems engineering, horizontal model evolution is subject to guidelines and standards, and the multidisciplinary view on a horizontal evolution, involving at least two disciplines, requires referring to multiple guidelines. Despite the significant effort invested in this process, there is no framework or tool support for engineering reviews of horizontal model evolution. In this paper, we aim to support engineering reviews by providing traceability for engineering activities that evolve a model horizontally. Our contribution is a process-agnostic framework that relies on capturing the intent of model changes in addition to the changes themselves. We group the model changes into transactional units called deltas, which are subsequently annotated with the engineer's intent to perform these specific changes. We give a methodology to integrate such intent-annotated deltas into engineering reviews and audits, an ontology to capture intent, and a meta-model for the deltas to achieve a language- and guideline-independent framework. We use an example from the earth moving machinery domain to exemplify the need for horizontal model evolution and provide a prototypical proof-of-concept implementation in the SysML Papyrus Plugin for Eclipse and a SysML case study using a machine brake system.</t>
  </si>
  <si>
    <t>WoS-0040</t>
  </si>
  <si>
    <t>The consolidation of the object-oriented (OO) programming paradigm in the early 1990s sparked a growing need for methodological support, leading to significant advancements in software engineering. Conceptual modeling took advantage of this OO-based wave to provide modeling techniques that were designed to incorporate that expressiveness. This period emphasized the precise conceptualization of complex problem domains as a foundational step toward developing robust technological solutions and formalizing practices that had been evolving since the 1980s. The OO-Method marked a significant milestone by introducing a model-driven approach to generate functional software directly from models defining the system's structure, behavior, logic, and presentation. This innovation led to the development of a supporting tool capable of automating software generation, which has been continuously updated since the 2000s to align with evolving technologies. Additionally, the integration of requirements engineering approaches expanded the method's scope, enhancing its ability to capture and formalize system needs with semantic consistency. This work reviews the evolution of the OO-Method, its derived and integrated initiatives, and the scientific studies that have historically validated its contributions. Adopting a historical perspective, the review explores the present and future of model-driven software engineering, from code generation based on software models to the strategic alignment of agile and current challenges for leveraging generative artificial intelligence techniques.</t>
  </si>
  <si>
    <t>WoS-0041</t>
  </si>
  <si>
    <t>Automatically generating accurate SysML models from natural-language requirements can substantially accelerate the adoption of Model-Based Systems Engineering (MBSE) in complex system development. However, using large language models (LLMs) to generate model code often fails to meet the strict syntactic constraints of formal modeling languages, and consistently ensuring semantic alignment between generated models and requirements remains challenging. To address these challenges, this paper presents MAS4SysML, a multi-agent collaborative framework for SysML v2 code generation that improves syntactic correctness and semantic consistency under a constrained repair budget. The framework decomposes a modeling task into hierarchical subtasks, formalizes them as structured task cards, and generates model code in a bottom-up manner. During generation, an official validation environment is used for syntax diagnostics; after completion, the framework verifies semantic consistency between the code and the task cards. If syntax or semantic validation fails, the framework iteratively repairs and revalidates the code within a predefined repair budget, guided by diagnostic feedback, until the validation criteria are satisfied or the budget is exhausted. To evaluate the proposed method, we construct a SysML v2 dataset spanning five core task types -requirements, use cases, structure, parametrics, and state machines-and conduct comparative experiments. Results show that MAS4SysML reduces the average syntax error rate to 2.63, increases semantic similarity to 0.91, and outperforms existing code-generation methods overall.</t>
  </si>
  <si>
    <t>WoS-0042</t>
  </si>
  <si>
    <t>Models play a crucial role in the development and maintenance of software systems, but are often neglected during the development process due to the considerable manual effort required to produce them. In response to this problem, numerous techniques have been developed that seek to automate the model generation task with the aid of increasingly accurate algorithms from the domain of Machine Learning. From an empirical perspective, these are extremely challenging to compare; there are many factors that are difficult to control (e.g. the richness of the input and the complexity of subject systems), and numerous practical issues that are just as troublesome (e.g. tool availability). This paper describes the StaMinA (State Machine Inference Approaches) competiton, that was designed to address these problems. The competition attracted numerous submissions, many of which were improved or adapted versions of techniques that had not been subjected to extensive empirical evaluations, and had not been evaluated with respect to their ability to infer models of software systems. This paper shows how many of these techniques substantially improve on the state of the art, providing insights into some of the factors that could underpin the success of the best techniques. In a more general sense it demonstrates the potential for competitions to act as a useful basis for empirical software engineering by (a) spurring the development of new techniques and (b) facilitating their comparative evaluation to an extent that would usually be prohibitively challenging without the active participation of the developers.</t>
  </si>
  <si>
    <t>WoS-0043</t>
  </si>
  <si>
    <t>Learning to Find Usages of Library Functions in Optimized Binaries</t>
  </si>
  <si>
    <t>IEEE TRANSACTIONS ON SOFTWARE ENGINEERING</t>
  </si>
  <si>
    <t>10.1109/TSE.2021.3106572</t>
  </si>
  <si>
    <t>Much software, whether beneficent or malevolent, is distributed only as binaries, sans source code. Absent source code, understanding binaries' behavior can be quite challenging, especially when compiled under higher levels of compiler optimization. These optimizations can transform comprehensible, natural source constructions into something entirely unrecognizable. Reverse engineering binaries, especially those suspected of being malevolent or guilty of intellectual property theft, are important and time-consuming tasks. There is a great deal of interest in tools to decompile binaries back into more natural source code to aid reverse engineering. Decompilation involves several desirable steps, including recreating source-language constructions, variable names, and perhaps even comments. One central step in creating binaries is optimizing function calls, using steps such as inlining. Recovering these (possibly inlined) function calls from optimized binaries is an essential task that most state-of-the-art decompiler tools try to do but do not perform very well. In this paper, we evaluate a supervised learning approach to the problem of recovering optimized function calls. We leverage open-source software and develop an automated labeling scheme to generate a reasonably large dataset of binaries labeled with actual function usages. We augment this large but limited labeled dataset with a pre-training step, which learns the decompiled code statistics from a much larger unlabeled dataset. Thus augmented, our learned labeling model can be combined with an existing decompilation tool, Ghidra, to achieve substantially improved performance in function call recovery, especially at higher levels of optimization.</t>
  </si>
  <si>
    <t>WoS-0044</t>
  </si>
  <si>
    <t>Model-driven engineering (MDE) has emerged as a foundational paradigm for the development of embedded systems in domains such as automotive, where stringent correctness and structural consistency must be maintained throughout the engineering process. However, traditional modeling practices often suffer from fragmented toolchains, siloed notations, and limited support for real-time collaboration across distributed stakeholders. This paper presents an artificial intelligence (AI)-augmented and role-aware collaborative framework that enables blended modeling through seamless synchronization of textual and tree-based/graphical views, underpinned by a robust service-oriented architecture. Rooted in automotive system engineering standards, specifically electronics architecture and software technology-architecture description language (EAST-ADL), and instantiated via an industrial-grade domain-specific modeling language (DSML) use case, the proposed framework facilitates stakeholder-specific modeling via both textual and tree-based/graphical editors. At the core of this infrastructure lies a real-time coordination engine that governs session orchestration, conflict resolution, and model merging, ensuring semantic consistency across heterogeneous representations. A key innovation is the integration of an explainable AI (XAI) based log analysis engine, which leverages large language models (LLMs) to generate human-readable summaries of user activity, model evolution, and design rationale. This not only enhances transparency and auditability but also introduces explainability as a first-class concern in collaborative MDE workflows. Empirical validation confirms the framework's effectiveness in enabling synchronized, traceable, and fault-tolerant co-modeling for automotive embedded systems. By fusing collaborative computing, XAI, and domain-specific rigor, this research advances the state of the art in intelligent, scalable, and human-centered system modeling environments.</t>
  </si>
  <si>
    <t>WoS-0045</t>
  </si>
  <si>
    <t>The manual conversion of natural language software requirements into Unified Modeling Language (UML) class diagrams is often labor-intensive, dependent on expert knowledge, and susceptible to human error within the requirements engineering process. Inefficiencies and inconsistencies introduced during this early design phase can lead to expensive revisions later in development, ultimately affecting the sustainability and long-term maintainability of software systems. To address this challenge, this study presents a neural-based framework that formulates UML diagram generation as a structured machine translation task, aiming to support more reliable and sustainable model-driven engineering practices. In this work, two transformer-based approaches are proposed: a Sequence-to-Sequence (Seq2Seq) model designed for direct diagram code generation, and a Sequence-to-Abstract-Syntax-Tree (Seq2AST) model that incorporates syntactic constraints to ensure structural correctness while maintaining the intended semantics. To mitigate the limited availability of annotated training data, a multi-task learning strategy is introduced, which simultaneously performs UML element extraction and context-aware recommendation of reusable design patterns derived from a large repository of existing diagrams. Integrating structural constraints with reusable design knowledge enhances modeling consistency, promotes reusability, and supports improved long-term design quality. Experimental results indicate that the proposed framework achieves accuracy comparable to generalpurpose large language models while offering greater determinism and stronger domain alignment. Furthermore, it operates with significantly lower computational requirements, contributing to a more energy-efficient and sustainable integration of artificial intelligence within software engineering workflows. To support transparency, reproducibility, and continued research in AI-driven systems engineering, all datasets and experimental artifacts used in this study have been made publicly available.</t>
  </si>
  <si>
    <t>WoS-0046</t>
  </si>
  <si>
    <t>In Iran, native oak species are under threat from episodes of Charcoal Disease, a decline syndrome driven by abiotic stressors (e.g. drought, elevated temperature) and biotic components, Biscogniauxia mediterranea (De Not.) Kuntze and Obolarina persica (M. Mirabolfathy). The outbreak is still ongoing and the country's largest ever recorded. Still, the factors driving its' epidemiology in time and space are poorly known and such knowledge is urgently needed to develop strategies to counteract the adverse effects. In this study, we developed a generic framework based on experimental, machine-learning algorithms and spatial analyses for landscape-level prediction of oak charcoal disease outbreaks. Extensive field surveys were conducted during 2013-2015 in eight provinces (more than 50 unique counties) in the Zagros ecoregion. Pathogenic fungi were isolated and characterized through morphological and molecular approaches, and their pathogenicity was assessed under controlled water stress regimes in the greenhouse. Further, we evaluated a set of 29 bioclimatic, environmental, and host layers in modeling for disease incidence data using four well-known machine learning algorithms including the Generalized Linear Model, Gradient Boosting Model, Random Forest model (RF), and Multivariate Adaptive Regression Splines implemented in MaxEnt software. Model validation statistics [Area Under the Curve (AUC), True Skill Statistics (TSS)], and Kappa index were used to evaluate the accuracy of each model. Models with a TSS above 0.65 were used to prepare an ensemble model. The results showed that among the different climate variables, precipitation and temperature (Bio18, Bio7, Bio8, and bio9) in the case of O. persica and similarly, gsl (growing season length TREELIM, highlighting the warming climate and the endophytic/pathogenic nature of the fungus) and precipitation in case of B. mediterranea are the most important influencing variables in disease modeling, while near-surface wind speed (sfcwind) is the least important variant. The RF algorithm generates the most robust predictions (ROC of 0.95; TSS of 0.77 and 0.79 for MP and OP, respectively). Theoretical analysis shows that the ensemble model (ROC of 0.95 and 0.96; TSS = 0.79 and 0.81 for MP and OP, respectively), can efficiently be used in the prediction of the charcoal disease spatiotemporal distribution. The oak mortality varied ranging from 2 to 14%. Wood-boring beetles association with diseased trees was determined at 20%. Results showed that water deficiency is a crucial component of the oak decline phenomenon in Iran. The Northern Zagros forests (Ilam, Lorestan, and Kermanshah provinces) along with the southern Zagros forests (Fars and Kohgilouyeh va-Boyer Ahmad provinces) among others are the most endangered areas of potential future pandemics of charcoal disease. Our findings will significantly improve our understanding of the current situation of the disease to pave the way against pathogenic agents in Iran.</t>
  </si>
  <si>
    <t>WoS-0047</t>
  </si>
  <si>
    <t>A function-based behavioral modeling method for air combat simulation</t>
  </si>
  <si>
    <t>JOURNAL OF SYSTEMS ENGINEERING AND ELECTRONICS</t>
  </si>
  <si>
    <t>10.23919/JSEE.2024.000068</t>
  </si>
  <si>
    <t>Today's air combat has reached a high level of uncertainty where continuous or discrete variables with crisp values cannot be properly represented using fuzzy sets. With a set of membership functions, fuzzy logic is well-suited to tackle such complex states and actions. However, it is not necessary to fuzzify the variables that have definite discrete semantics. Hence, the aim of this study is to improve the level of model abstraction by proposing multiple levels of cascaded hierarchical structures from the perspective of function, namely, the functional decision tree. This method is developed to represent behavioral modeling of air combat systems, and its metamodel, execution mechanism, and code generation can provide a sound basis for function-based behavioral modeling. As a proof of concept, an air combat simulation is developed to validate this method and the results show that the fighter Alpha built using the proposed framework provides better performance than that using default scripts.</t>
  </si>
  <si>
    <t>WoS-0048</t>
  </si>
  <si>
    <t>Road traffic and its influence over individuals is an important aspect of our life nowadays. Its study in order to understand its dynamics and the factors that affect it is a relevant field of research. Traffic simulations have become a fundamental tool for these studies. They provide a controlled environment to analyse traffic settings. However, they present some shortcomings. One of the main ones is the need of multidisciplinary groups of experts to work with complex models. Communication problems and misunderstandings frequently appear in them, which produce mistakes and bring increased costs. Some works have addressed these issues adopting abstract concepts that can act as bridges among different groups to model and implement simulations. Works that use intelligent agents to represent individuals, and their related simulation platforms, belong to this category. Nevertheless, these platforms are still programmer-oriented, so other experts find difficult to ground their abstract models in them. As a further step, Model-Driven Engineering (MDE) has been proposed to work with models and simulations. It offers the possibility of working with models at multiple levels of abstraction and focused on different aspects. These models can be oriented to specific experts' backgrounds. The work presented follows this approach and introduces a generic Modelling Language (ML) through a model, that can be specialized to meet different needs in road traffic simulations. The case study illustrates how that model can be successively modified to model people' behaviour in traffic both at the traffic expert and platform-oriented levels. This allows reducing the learning curve of experts with backgrounds non-related to software simulations.</t>
  </si>
  <si>
    <t>WoS-0049</t>
  </si>
  <si>
    <t>Bridging MDE and AI: a systematic review of domain-specific languages and model-driven practices in AI software systems engineering</t>
  </si>
  <si>
    <t>10.1007/s10270-024-01211-y</t>
  </si>
  <si>
    <t>Technical systems are becoming increasingly complex due to the increasing number of components, functions, and involvement of different disciplines. In this regard, model-driven engineering techniques and practices tame complexity during the development process by using models as primary artifacts. Modeling can be carried out through domain-specific languages whose implementation is supported by model-driven techniques. Today, the amount of data generated during product development is rapidly growing, leading to an increased need to leverage artificial intelligence algorithms. However, using these algorithms in practice can be difficult and time-consuming. Therefore, leveraging domain-specific languages and model-driven techniques for formulating AI algorithms or parts of them can reduce these complexities and be advantageous. This study aims to investigate the existing model-driven approaches relying on domain-specific languages in support of the engineering of AI software systems to sharpen future research further and define the current state of the art. We conducted a Systemic Literature Review (SLR), collecting papers from five major databases resulting in 1335 candidate studies, eventually retaining 18 primary studies. Each primary study will be evaluated and discussed with respect to the adoption of (1) MDE principles and practices and (2) the phases of AI development support aligned with the stages of the CRISP-DM methodology. The study's findings show that language workbenches are of paramount importance in dealing with all aspects of modeling language development (metamodel, concrete syntax, and model transformation) and are leveraged to define domain-specific languages (DSL) explicitly addressing AI concerns. The most prominent AI-related concerns are training and modeling of the AI algorithm, while minor emphasis is given to the time-consuming preparation of the data sets. Early project phases that support interdisciplinary communication of requirements, such as the CRISP-DM Business Understanding phase, are rarely reflected. The study found that the use of MDE for AI is still in its early stages, and there is no single tool or method that is widely used. Additionally, current approaches tend to focus on specific stages of development rather than providing support for the entire development process. As a result, the study suggests several research directions to further improve the use of MDE for AI and to guide future research in this area.</t>
  </si>
  <si>
    <t>WoS-0050</t>
  </si>
  <si>
    <t>Developing high-performance software is a difficult task that requires the use of low-level, architecture-specific programming models (e.g., OpenMP for CMPs, CUDA for GPUs, MPI for clusters). It is typically not possible to write a single application that can run efficiently in different environments, leading to multiple versions and increased complexity. Domain-Specific Languages (DSLs) are a promising avenue to enable programmers to use high-level abstractions and still achieve good performance on a variety of hardware. This is possible because DSLs have higher-level semantics and restrictions than general-purpose languages, so DSL compilers can perform higher-level optimization and translation. However, the cost of developing performance-oriented DSLs is a substantial roadblock to their development and adoption. In this article, we present an overview of the Delite compiler framework and the DSLs that have been developed with it. Delite simplifies the process of DSL development by providing common components, like parallel patterns, optimizations, and code generators, that can be reused in DSL implementations. Delite DSLs are embedded in Scala, a general-purpose programming language, but use metaprogramming to construct an Intermediate Representation (IR) of user programs and compile to multiple languages (including C++, CUDA, and OpenCL). DSL programs are automatically parallelized and different parts of the application can run simultaneously on CPUs and GPUs. We present Delite DSLs for machine learning, data querying, graph analysis, and scientific computing and show that they all achieve performance competitive to or exceeding C++ code.</t>
  </si>
  <si>
    <t>WoS-0051</t>
  </si>
  <si>
    <t>Today, almost all computer architectures are parallel and heterogeneous; a combination of multiple CPUs, GPUs and specialized processors. This creates a challenging problem for application developers who want to develop high performance programs without the effort required to use low-level, architecture specific parallel programming models (e.g. OpenMP for CMPs, CUDA for GPUs, MPI for clusters). Domain-specific languages (DSLs) are a promising solution to this problem because they can provide an avenue for high-level application-specific abstractions with implicit parallelism to be mapped directly to low level architecture-specific programming models; providing both high programmer productivity and high execution performance. In this talk I will describe an approach to building high performance DSLs, which is based on DSL embedding in a general purpose programming language, metaprogramming and a DSL infrastructure called De lite. I will describe how we transform DSL programs into efficient first-order low-level code using domain specific optimization, parallelism and locality optimization with parallel patterns, and architecture-specific code generation. All optimizations and transformations are implemented in De lite: an extensible DSL compiler infrastucture that significantly reduces the effort required to develop new DSLs. De lite DSLs for machine learning, data querying, graph analysis, and scientific computing all achieve performance competitive with manually parallelized C++ code.</t>
  </si>
  <si>
    <t>WoS-0052</t>
  </si>
  <si>
    <t>Artificial intelligence (AI) has the potential to transform healthcare by supporting more accurate diagnoses and personalized treatments. However, its adoption in practice remains constrained by fragmented data sources, strict privacy rules, and the technical complexity of building reliable clinical systems. To address these challenges, we introduce a model-driven engineering (MDE) framework designed specifically for healthcare AI. The framework relies on formal metamodels, domain-specific languages (DSLs), and automated transformations to move from high-level specifications to running software. At its core is the Medical Interoperability Language (MILA), a graphical DSL that enables clinicians and data scientists to define queries and machine learning pipelines using shared ontologies. When combined with a federated learning architecture, MILA allows institutions to collaborate without exchanging raw patient data, ensuring semantic consistency across sites while preserving privacy. We evaluate this approach in a multi-center cancer immunotherapy study. The generated pipelines delivered strong predictive performance, with best-performing models achieving up to 98.5% accuracy on selected prediction tasks, while substantially reducing manual coding effort. These findings suggest that MDE principles-metamodeling, semantic integration, and automated code generation-can provide a practical path toward interoperable, reproducible, and reliable digital health platforms.</t>
  </si>
  <si>
    <t>WoS-0053</t>
  </si>
  <si>
    <t>Epidemiological modeling is a key lever for infectious disease control and prevention on farms. It makes it possible to understand the spread of pathogens, but also to compare intervention scenarios even in counterfactual situations. However, the actual capability of decision makers to use mechanistic models to support timely interventions is limited. This study demonstrates how artificial intelligence (AI) techniques can make mechanistic epidemiological models more accessible to farmers and veterinarians, and how to transform such models into user-friendly decision-support tools (DST). By leveraging knowledge representation methods, such as the textual formalization of model components through a domain-specific language (DSL), the co-design of mechanistic models and DST becomes more efficient and collaborative. This facilitates the integration of explicit expert knowledge and practical insights into the modeling process. Furthermore, the utilization of AI and software engineering enables the automation of web application generation based on existing mechanistic models. This automation simplifies the development of DST, as tool designers can focus on identifying users' needs and specifying expected features and meaningful presentations of outcomes, instead of wasting time in writing code to wrap models into web apps. To illustrate the practical application of this approach, we consider the example of Bovine Respiratory Disease (BRD), a tough challenge in fattening farms where young beef bulls often develop BRD shortly after being allocated into pens. BRD is a multi-factorial, multi-pathogen disease that is difficult to anticipate and control, often resulting in the massive use of antimicrobials to mitigate its impact on animal health, welfare, and economic losses. The DST developed from an existing mechanistic BRD model empowers users, including farmers and veterinarians, to customize scenarios based on their specific farm conditions. It enables them to anticipate the effects of various pathogens, compare the epidemiological and economic outcomes associated with different farming practices, and decide how to balance the reduction of disease impact and the reduction of antimicrobial usage (AMU). The generic method presented in this article illustrates the potential of artificial intelligence (AI) and software engineering methods to enhance the co-creation of DST based on mechanistic models in veterinary epidemiology. The corresponding pipeline is distributed as an open-source software. By leveraging these advancements, this research aims to bridge the gap between theoretical models and the practical usage of their outcomes on the field.</t>
  </si>
  <si>
    <t>WoS-0054</t>
  </si>
  <si>
    <t>Due to deeply intertwined physical and hardware/software components together with an increasing number of interconnected heterogeneous devices powered by artificial intelligence (AI) techniques, the design complexity of cyber-physical systems (CPSs) becomes skyrocketing. Model-driven engineering (MDE) methods have been proven to be effective in increasing the productivity of CPS design. However, there is still a lack of MDE approaches that enable design space exploration as well as the code generation for the design of Artificial Intelligence of Things (AIoT)-based CPSs. To mitigate the situation, this article presents a unified modeling language named AIoTML for AIoT-based CPSs, which enables the construction of AI-based components across different modeling levels for the purposes of intelligent sensing and control. By extending the constructs of state-of-the-art domain-specific language (DSL) ThingML, AIoTML can seamlessly unify the modeling of both autonomous executions of AIoT devices and their surrounding physical environment, which facilitates both platform-independent simulation and control optimization for platform-specific CPSs. The compiler developed for AIoTML provides a family of code generators to support the construction of digital twins on various heterogeneous target AIoT platforms. Comprehensive evaluations on two complex real-world designs demonstrate the effectiveness of our AIoTML approach in the fast development of AIoT-based CPSs with high control quality.</t>
  </si>
  <si>
    <t>WoS-0055</t>
  </si>
  <si>
    <t>Decision Support Systems (DSS) play a crucial role in commerce and tourism by assisting decision-making through data analysis, modeling, and visualization. However, their development is often complex, costly, and requires expertise in both software engineering and Artificial Intelligence, making them inaccessible to many organizations. To address these challenges, this paper introduces a Domain-Specific Language (DSL), a graphical decision rule modeling tool, and code generation templates designed to streamline DSS development for smart tourism. The proposed framework enables rule-based system modeling and automatic code generation, leveraging Drools, a powerful rule engine, to manage business rules, execute inferences, and optimize decision processes. This approach significantly reduces development time while improving system flexibility and adaptability to meet the diverse needs of smart tourism. A comparative study demonstrates a substantial reduction in development time, while a case study confirms the framework's ability to generate functional applications suited to real-world environments. Our contribution lies in automating and simplifying DSS development by integrating a dedicated DSL and Drools, reducing manual programming complexity, and ensuring the generation of optimized, maintainable, and easily integrable code. This enhances productivity, reduces development effort, and ensures adaptability to changing business needs.</t>
  </si>
  <si>
    <t>WoS-0056</t>
  </si>
  <si>
    <t>Good software engineering practice demands generalization and abstraction, whereas high performance demands specialization and concretization. These goals are at odds, and compilers can only rarely translate expressive high-level programs to modern hardware platforms in a way that makes best use of the available resources. Generative programming is a promising alternative to fully automatic translation. Instead of writing down the target program directly, developers write a program generator, which produces the target program as its output. The generator can be written in a high-level, generic style and can still produce efficient, specialized target programs. In practice, however, developing high-quality program generators requires a very large effort that is often hard to amortize. We present lightweight modular staging (LMS), a generative programming approach that lowers this effort significantly. LMS seamlessly combines program generator logic with the generated code in a single program, using only types to distinguish the two stages of execution. Through extensive use of component technology, LMS makes a reusable and extensible compiler framework available at the library level, allowing programmers to tightly integrate domain-specific abstractions and optimizations into the generation process, with common generic optimizations provided by the framework. LMS is well suited to develop embedded domain-specific languages (DSLs) and has been used to develop powerful performance-oriented DSLs for demanding domains such as machine learning, with code generation for heterogeneous platforms including GPUs. LMS has also been used to generate SQL for embedded database queries and JavaScript for web applications.</t>
  </si>
  <si>
    <t>WoS-0057</t>
  </si>
  <si>
    <t>Conversational agents are intelligent, ubiquitous software applications widely used across various sectors, such as commerce, tourism, and more. Their key benefits include automating tasks, improving customer service, and ensuring service availability. The development of conversational agents utilizing artificial intelligence (AI) techniques represents a significant advancement in Natural Language Processing (NLP). Numerous studies employ deep learning and NLP methodologies to construct sophisticated conversational agent systems. Additionally, developers and companies often utilize APIs provided by intent recognition services like Dialogflow and Amazon Lex to easily create conversational agents using graphical forms, which enhance conversational agent functionality. However, these APIs have limitations, such as potential dependency on specific NLP service providers and associated high costs. Besides, the lack of a specialized conversational agent development platform for the tourism domain poses a considerable challenge. To address these limitations, this work tackles critical gaps in conversational agent development tools by constructing a graphical Domain-Specific Language (DSL) and code generation templates for accelerating the development of conversational agents tailored to smart tourism's needs. First, we provide a designed metamodel to define the abstract syntax of a DSL. Second, we implement the metamodel using the Eclipse Modeling Framework. Third, we develop a graphical interface that incorporates intuitive icons to simplify the creation of conversational agent models. Fourth, we define code generation templates to translate the graphical models into executable agent source code. Finally, we validate the proposed approach to demonstrate its effectiveness and applicability in real-world scenarios, reducing development time and avoiding the costs associated with NLP services.</t>
  </si>
  <si>
    <t>WoS-0058</t>
  </si>
  <si>
    <t>This paper presents a generative-AI-assisted methodology for developing domain-specific trading automation tools, focusing on the detection and visualization of liquidity gaps-commonly known as Fair Value Gaps (FVGs)-in derivative markets. Using the MQL4 domain-specific language (DSL) of the MetaTrader 4 (MT4) platform, we design and implement an Expert Advisor (EA) capable of identifying bullish and bearish FVGs, classifying them as mitigated or unmitigated, and rendering them as real-time visual overlays. The proposed approach leverages Copilot to accelerate code generation, reduce development time, and support iterative refinement through prompt-driven interaction. Nine refinement cycles were sufficient to converge on a stable, functionally correct implementation, reducing total development time to approximately four hours-a reduction of roughly 70% compared to a baseline manual estimate of one to two working days derived from published DSL development benchmarks. Functional correctness was validated against 150 historical bars on seven financial instruments and further confirmed through several months of live deployment processing hundreds of candles daily across a diverse set of symbols. The resulting system integrates body-based mitigation logic, multi-timeframe analysis, and optional Fibonacci-based retracement visualization to assist traders in identifying high-probability liquidity zones. The study highlights the potential of AI-assisted DSL development as a practical pathway for rapid prototyping and deployment of algorithmic trading tools, while also documenting domain-specific hallucination patterns and the iterative prompt strategies required to resolve them.</t>
  </si>
  <si>
    <t>WoS-0059</t>
  </si>
  <si>
    <t>The operationalization of Machine Learning (ML) into IoT-Enhanced Business Processes (BPs) offers significant opportunities to enable predictive and adaptive process behavior. However, in current practice, ML capabilities are typically developed through ad-hoc pipelines that remain disconnected from process modeling and execution, making it difficult to describe and manage predictive capabilities in a systematic manner. To address this challenge, this paper proposes a Domain-Specific Language (DSL) that supports the systematic and model-driven specification of ML models in the context of IoT-Enhanced BPs. The DSL enables the explicit description of heterogeneous data sources, feature engineering operations, ML-ready datasets, and ML model configurations within a unified and platform-independent framework. The approach is supported by a runtime interpreter for automatic dataset construction and a model-to-code transformation that generates executable ML pipelines. The DSL is evaluated through a usability study involving participants with expertise in BPM, IoT, and ML, as well as through the validation of the correctness and reliability of the supporting tools. The results show that the DSL is usable enough to create predictive artifacts in the context of IoT-Enhanced BPs and the supporting tools automatically generate correct and completed software artifacts. This work contributes to advancing model-driven approaches for the operationalization of ML capabilities in IoT-Enhanced BPs.</t>
  </si>
  <si>
    <t>WoS-0060</t>
  </si>
  <si>
    <t>An Automated Multi-Signal Liquidity Structure Visualization System for Equity-Index and Forex Market-Structure Analysis</t>
  </si>
  <si>
    <t>10.1109/ACCESS.2026.3717814</t>
  </si>
  <si>
    <t>This paper presents an automated framework for multi-signal market-structure visualization that integrates Change-of-Character (CHoC) detection, operating-range boundaries, and liquidity-void identification. Unlike previous approaches that focus on isolated liquidity inefficiencies, the proposed system automates the detection of structural confluence zones by combining directional shifts, swing-based range limits, and unmitigated voids within a unified analytical pipeline. A volatility-adaptive noise filter based on the Average True Range (ATR) is incorporated to discriminate meaningful void formations from microstructure noise, and a formal sensitivity analysis characterizes the impact of the lookback window parameter $N$ on detection reliability. The framework leverages generative AI to synthesize domain-specific MQL4 code, allowing real-time rendering of structural signals and reducing the manual effort traditionally required for chart-based interpretation. A modular architecture separates detection logic, visualization components, and AI-assisted code generation, improving maintainability, extensibility, and reproducibility. Quantitative evaluation across four instruments and three timeframes demonstrates that integrating CHoC with liquidity-void and operating-range analysis reduces unmitigated FVG detections by 47% and total FVG alerts by 51% relative to a void-only baseline-validated objectively via price mitigation-with per-signal mitigation rates of 84%-100%. A filter-decomposition analysis reveals that ATR-based filtering is the dominant noise-reduction mechanism for equity indices (eliminating 51-64% of FVGs from the unfiltered pool), while a fixed minimum-gap constraint drives suppression for the EUR/USD pair. Qualitative case studies further confirm structural coherence across multiple timeframes. These findings highlight the potential of automation and generative AI to accelerate the development of domain-specific analytical tools for liquidity-driven market-structure analysis.</t>
  </si>
  <si>
    <t>IC2 Violation: Lacks explicit software or systems engineering modeling artifacts (UML, SysML, BPMN, DSLs, Metamodels).</t>
  </si>
  <si>
    <t>WoS-0061</t>
  </si>
  <si>
    <t>The creation of computer and videogames is a challenging and multidisciplinary endeavor, requiring different approaches to integrate different disciplines while keeping relatively low development costs. In this context, domain specific languages (DSLs) are increasingly becoming a valid tool, allowing nonprogrammers to participate in the development process. In this work, we focus on a DSL developed within the Gade4all project, focused on defining the behaviors of non-player characters, proposing a design which allows the participation of users with a lack of programming knowledge to define behavior and interaction complex patterns of in-game enemies in a simple and straightforward way. This preferable to other approaches to defining opponent AIs in games, such as machine learning techniques (which produce advanced AI opponents that do not behave as humans) or rigid rule systems created by programmers rather than behavioral experts. The approach has been tested by comparing the creation of well-known AI patterns using T2GAME with popular game editors, and resulted in significantly reduced development times, in addition to being more approachable for non-programmers such as behavioral psychologists.</t>
  </si>
  <si>
    <t>WoS-0062</t>
  </si>
  <si>
    <t>Mobile app developers often encounter a significant challenge in developing well-structured mobile apps capable of supporting multiple platforms and diverse functional requirements. The main current practice involves coding versions for different platforms separately using traditional software development methods. Implementing any changes across these variants requires manual effort, demanding a significant amount of time and resources. In response, software engineering has focused on improving the development process to create high-quality mobile applications. One promising approach is Model-Driven Development (MDD), which generates low-level code from high-level models, enabling developers to write once, run anywhere. This paper proposes AppCraft, an MDD-based framework designed for developing cross-platform mobile apps. AppCraft facilitates the generation of complex, intelligent, and well-structured apps by addresses three types of variations in mobile apps: platform-related variations, built-in capabilities, and app functionalities. Additionally, this paper describes the use of AppCraft for supporting the integration of machine learning models in mobile apps. The framework comprises a domain-specific language, a text-based modelling editor, and a set of model-to-code transformations. The framework's applicability was assessed by automatically generating the implementation of eight different case studies in the healthcare domain. Additionally, the productivity was evaluated by comparing the time and effort required using AppCraft versus a manual coding process. As part of the evaluation, a usability study was conducted to assess the usability of AppCraft-generated apps. The results demonstrate that AppCraft is applicable and beneficial for the automated generation of usable mobile apps, highlighting significant reductions in development time and effort.</t>
  </si>
  <si>
    <t>WoS-0063</t>
  </si>
  <si>
    <t>Stencil computations are a widely used type of algorithm, found in applications from physical simulations to machine learning. Stencils are embarrassingly parallel, therefore fit on modern hardware such as Graphic Processing Units perfectly. Although stencil computations have been extensively studied, optimizing them for increasingly diverse hardware remains challenging. Domain-specific Languages (DSLs) have raised the programming abstraction and offer good performance; however, this method places the burden on DSL implementers to write almost full-fledged parallelizing compilers and optimizers. LIFT has recently emerged as a promising approach to achieve performance portability by using a small set of reusable parallel primitives that DSL or library writers utilize. LIFT's key novelty is in its encoding of optimizations as a system of extensible rewrite rules which are used to explore the optimization space. This article demonstrates how complex multi-dimensional stencil code and optimizations are expressed using compositions of simple 1D LIFT primitives and rewrite rules. We introduce two optimizations that provide high performance for stencils in particular: classical overlapped tiling for multi-dimensional stencils and 2.5D tiling specifically for 3D stencils. We provide an in-depth analysis on how the tiling optimizations affects stencils of different shapes and sizes across different applications. Our experimental results show that our approach outperforms existing compiler approaches and hand-tuned codes.</t>
  </si>
  <si>
    <t>WoS-0064</t>
  </si>
  <si>
    <t>Context: Testing is essential to improve the correctness of software systems. Metamorphic testing (MT) is an approach especially suited when the system under test lacks oracles, or they are expensive to compute. However, building an MT environment for a particular domain (e.g., cloud simulation, model transformation, machine learning) requires substantial effort.Objective: Our goal is to facilitate the construction of MT environments for specific domains.Method: We propose a model-driven engineering approach to automate the construction of MT environments. Starting from a meta-model capturing the domain concepts, and a description of the domain execution environment, our approach produces an MT environment featuring comprehensive support for the MT process. This includes the definition of domain-specific metamorphic relations, their evaluation, detailed reporting of the testing results, and the automated search-based generation of follow-up test cases. Results: Our method is supported by an extensible platform for Eclipse, called Gotten. We demonstrate its effectiveness by creating an MT environment for simulation-based testing of data centres and comparing with existing tools; its suitability to conduct MT processes by replicating previous experiments; and its generality by building another MT environment for video streaming APIs.Conclusion: Gotten is the first platform targeted at reducing the development effort of domain-specific MT environments. The environments created with Gotten facilitate the specification of metamorphic relations, their evaluation, and the generation of new test cases.</t>
  </si>
  <si>
    <t>WoS-0065</t>
  </si>
  <si>
    <t>We introduce custom code generation for parametrized convex optimization problems that supports evaluating the derivative of the solution with respect to the parameters, i.e., differentiating through the optimization problem. We extend the open source code generator CVXPYgen, which itself extends CVXPY, a Python-embedded domain-specific language with a natural syntax for specifying convex optimization problems, following their mathematical description. Our extension of CVXPYgen adds a custom C implementation to differentiate the solution of a convex optimization problem with respect to its parameters, together with a Python wrapper for prototyping and desktop (non-embedded) applications. We give three representative application examples: Tuning hyper-parameters in machine learning; choosing the parameters in an approximate dynamic programming (ADP) controller; and adjusting the parameters in an optimization based financial trading engine via back-testing, i.e., simulation on historical data. While differentiating through convex optimization problems is not new, CVXPYgen is the first tool that generates custom C code for the task, and increases the computation speed by about an order of magnitude in most applications, compared to CVXPYlayers, a general-purpose tool for differentiating through convex optimization problems.</t>
  </si>
  <si>
    <t>WoS-0066</t>
  </si>
  <si>
    <t>Recommender systems (RSs) have become fundamental computational tools deployed across diverse domains, including e-commerce, tourism, and streaming platforms to facilitate personalized content delivery through the analysis of user preferences, behavioral patterns, and interaction data. With the use of Machine Learning (ML) techniques, these RSs can be implemented either through established frameworks such as NReco and Apache Mahout, or through custom development. Despite the availability of multiple implementation approaches, RS development remains computationally complex, necessitating substantial expertise in both software engineering principles and artificial intelligence methodologies. To address these technical challenges, this paper presents a Domain-Specific Language (DSL) framework that streamlines and accelerates RS development for smart tourism applications through a Model-Driven Engineering (MDE) methodology. The proposed framework minimizes the requirement for extensive programming or ML expertise and enables developers to efficiently generate customized RS implementations while maintaining system quality. The DSL framework automates the generation of code that leverages the services provided by the Apache Mahout framework for implementing recommendation algorithms, abstracting the underlying complexity and enabling developers to focus on high-level system design rather than the technical details of algorithm implementation. In addition, the framework integrates a code generator and a modeling tool, allowing developers to design and implement recommendation systems with reduced complexity and enhanced productivity. Unlike generic or low-code platforms, this approach combines domain-specific abstractions with automation tools to address the unique challenges of the smart tourism sector, ensuring adaptability, efficiency, and high-quality results.</t>
  </si>
  <si>
    <t>WoS-0067</t>
  </si>
  <si>
    <t>Models capture relevant properties of systems. During the models' life-cycle, they are subjected to manipulations with different goals such as managing software evolution, performing analysis, increasing developers' productivity, and reducing human errors. Typically, these manipulation operations are implemented as model transformations. Examples of these transformations are (i) model-to-model transformations for model evolution, model refactoring, model merging, model migration, model refinement, etc., (ii) model-to-text transformations for code generation and (iii) text-to-model ones for reverse engineering. These operations are usually manually implemented, using general-purpose languages such as Java, or domain-specific languages (DSLs) such as ATL or Acceleo. Even when using such DSLs, transformations are still time-consuming and error-prone. We propose using the advances in artificial intelligence techniques to learn these manipulation operations on models and automate the process, freeing the developer from building specific pieces of code. In particular, our proposal is a generic neural network architecture suitable for heterogeneous model transformations. Our architecture comprises an encoder-decoder long short-term memory with an attention mechanism. It is fed with pairs of input-output examples and, once trained, given an input, automatically produces the expected output. We present the architecture and illustrate the feasibility and potential of our approach through its application in two main operations on models: model-to-model transformations and code generation. The results confirm that neural networks are able to faithfully learn how to perform these tasks as long as enough data are provided and no contradictory examples are given.</t>
  </si>
  <si>
    <t>WoS-0068</t>
  </si>
  <si>
    <t>Model transformation languages are domain-specific languages used to define transformations of models. These transformations consist of the translation from one modeling formalism into another or just the updating of a given model. Such transformations are often described declaratively and are often implemented based on very small models that cover the language of the input model. As a result, transformation developers are often unable to assess the time required to transform a larger model. Hence, we propose a prediction approach based on machine learning which uses a set of model characteristics as input and provides a prediction of the execution time of a transformation defined in the Atlas Transformation Language (ATL). In our previous work (Groner et al., 2023), we already showed that support vector regression in combination with a model characterization based on the number of model elements, the number of references, and the number of attributes is the best choice in terms of usability and prediction accuracy for the transformations considered in our experiments. A major weakness of our previous approach is that it fails to predict the performance of transformations that also transform attribute values of arbitrary length, such as string values. Therefore, we investigate in this work whether an extension of our feature sets that describes the average size of string attributes can help to overcome this weakness. Our results show that the random forest approach in combination with model characterizations based on the number of model elements, the number of references, the number of attributes, and the average size of string attributes filtered by the 85th percentile of their variance is the best choice in terms of the simple way to describe a model and the quality of the obtained prediction. With this combination, we obtained a mean absolute percentage error (MAPE) of 5.07% over all modules and a MAPE of 4.82% over all modules excluding the transformation for which our previous approach failed. Whereas, we obtained previously a MAPE of 38.48% over all modules and a MAPE of 4.45% over all modules excluding the transformation for which our previous approach failed.</t>
  </si>
  <si>
    <t>WoS-0069</t>
  </si>
  <si>
    <t>The porting or translation of software applications from one programming language to another is a common requirement of organisations that utilise software, and the increasing number and diversity of programming languages makes this capability as relevant today as in previous decades. Several approaches have been used to address this challenge, including machine learning and the manual definition of direct language-to-language translation rules, however the accuracy of these approaches remains unsatisfactory. In this paper we describe a new approach to program translation using model-driven engineering techniques: reverse-engineering source programs into specifications in the UML and OCL formalisms, and then forward-engineering the specifications to the required target language. This approach can provide assurance of semantic preservation, and additionally has the advantage of extracting precise specifications of software from code. We provide an evaluation based on a comprehensive dataset of examples, including industrial cases, and compare our results to those of other approaches and tools. Our specific contributions are: (1) Reverse-engineering source programs to detailed semantic models of software behaviour, to enable semantically-correct translations and reduce re-testing costs; (2) Program abstraction processes defined by precise and explicit rules, which can be edited and configured by users; (3) A set of reusable OCL library components appropriate for representing program semantics, and which can also be used for OCL specification of new applications; (4) A systematic procedure for building program abstractors based on language grammars and semantics.</t>
  </si>
  <si>
    <t>WoS-0070</t>
  </si>
  <si>
    <t>Featured Application Having a curated dataset of UML diagrams without duplicate elements and with accurate labels is particularly useful in the fields of software engineering and artificial intelligence, as it enables the training of models for similarity-based diagram searches, diagram classification, or automatic diagram processing, among other applications. More specifically, it can offer numerous benefits in areas such as software reuse, code generation, and design validation.Abstract UML (Unified Modeling Language) diagrams are graphical representations used in software engineering which play a vital role in the design and development of software systems and various engineering processes. Large, good-quality datasets containing UML diagrams are essential for different areas in the industry, research, and teaching purposes; however, few exist in the literature and it is common to find duplicate elements in the existing datasets. This might affect the evaluation of the models obtained when using these datasets. This paper addresses the challenge of creating a ground truth dataset of UML diagrams, including semi-automated inspection to remove duplicates and ensuring the correct labeling of all UML diagrams contained in the dataset. In particular, a dataset of six UML diagram classes was assembled, comprising a total of 2626 images (426 activity diagrams, 636 class diagrams, 352 component diagrams, 357 deployment diagrams, 435 sequence diagrams, and 420 use case diagrams). Importantly, unlike other existing datasets, ours contains no duplicate elements and all diagrams are correctly labeled. Our curated dataset is a valuable and unique resource for the research community, serving as a foundation for training and evaluating diverse artificial intelligence models. In this paper, we demonstrate this by training and testing several deep learning models using our dataset, achieving highly satisfactory results compared to those presented in other works in the literature. Additionally, our experimental results highlight the potential of visual transformers for UML diagram classification, setting our approach apart from others that predominantly used convolutional neural networks for similar tasks.</t>
  </si>
  <si>
    <t>WoS-0071</t>
  </si>
  <si>
    <t>Artificial intelligence has already proven to be a powerful tool to automate and improve how we deal with software development processes. The application of artificial intelligence to model-driven engineering projects is becoming more and more popular; however, within the model repair field, the use of this technique remains mostly an open challenge. In this paper, we explore some existing approaches in the field of AI-powered model repair. From the existing approaches in this field, we identify a series of challenges which the community needs to overcome. In addition, we present a number of research opportunities by taking inspiration from other fields which have successfully used artificial intelligence, such as code repair. Moreover, we discuss the connection between the existing approaches and the opportunities with the identified challenges. Finally, we present the outcomes of our experience of applying artificial intelligence to model repair.</t>
  </si>
  <si>
    <t>WoS-0072</t>
  </si>
  <si>
    <t>Detecting relevant design patterns from system design or source code helps software developers and maintainers understand the ideas behind the design of large-scale, highly complicated software systems, thereby improving the quality of software systems. Currently, design pattern detection based on machine learning has become a hot research direction. Scholars have proposed many design pattern detection methods based on machine learning. However, most of the existing literature only reports the utilization of traditional machine learning algorithms such as KNN, decision trees, ANN, SVM, etc., which require manual feature extraction and feature selection. It is very difficult to find suitable and effective features for the detection of design patterns. In the previous research, we have initially explored a design pattern detection method based on graph theory and ANN. Based on the research work done, we speculate that if we can realize the end-to-end design pattern detection from system design or source code to design pattern with the help of the powerful automatic feature extraction and other advantages of deep learning, the detection effect can be further improved. This paper intends to first explore a UML model that extends image information, called colored UML, so as to transform the design pattern detection problem into an image classification problem; on this basis, the positive and negative sample sets and the system to be recognized are all expressed in the form of colored UML models, the convolutional neural network VGGNet is used to train the data set to extract features, and the extracted features are trained by the SVM for binary classification to judge the pattern instances. Experiments were carried out on three open-source projects. We used three non-machine learning design pattern detection methods and five design pattern detection methods based on traditional machine learning algorithms, as well as the method in this paper. In general, the method proposed in this paper achieved higher precision and recall, and for different programs and their patterns, the precision and recall were stable at more than 85% in most cases. The experimental results demonstrate that this paper can achieve a better effect in recognizing design patterns. The research is, therefore, of both theoretical significance and application value.</t>
  </si>
  <si>
    <t>WoS-0073</t>
  </si>
  <si>
    <t>System modeling language (SysML) diagrams generated manually by system modelers can sometimes be prone to errors, which are time-consuming and introduce subjectivity. Natural language processing (NLP) techniques and tools to create SysML diagrams can aid in improving software and systems design processes. Though NLP effectively extracts and analyzes raw text data, such as text-based requirement documents, to assist in design specification, natural language, inherent complexity, and variability pose challenges in accurately interpreting the data. In this paper, we explore the integration of NLP with SysML to automate the generation of system models from input textual requirements. We propose a model generation framework leveraging Python and the spaCy NLP library to process text input and generate class/block definition diagrams using PlantUML for visual representation. The intent of this framework is to aid in reducing the manual effort in creating SysML v1.6 diagrams-class/block definition diagrams in this case. We evaluate the effectiveness of the framework using precision and recall measures. The contribution of this paper to the systems modeling domain is two-fold. First, a review and analysis of natural language processing techniques for the automated generation of SysML diagrams are provided. Second, a framework to automatically extract textual relationships tailored for generating a class diagram/block diagram that contains the classes/blocks, their relationships, methods, and attributes is presented.</t>
  </si>
  <si>
    <t>WoS-0074</t>
  </si>
  <si>
    <t>Model-driven development (MDD) in the Artificial Intelligence of Things (AIoT) domain faces significant challenges in ensuring the consistency and preservation of model properties during transformations, often leading to system inconsistencies. This research introduces the Property Preservation Framework (PPF), a novel approach fortified with a Markov chain methodology, specifically designed to address these challenges. The PPF integrates formal procedures and constraint-checking methods to systematically validate and preserve model properties, thereby enhancing the reliability of AIoT systems. Through empirical evaluations, the framework has demonstrated its ability to efficiently determine and verify model characteristics at various transformation stages, significantly reducing the incidence of property violations. The results indicate that the PPF not only ensures overall consistency and reliability but also optimizes resource allocation, thereby enhancing data efficiency during the property validation and preservation processes. These advancements make a substantial contribution to the domain of MDD, providing developers with the methodology to execute model transformations that accurately reflect system requirements and behaviors in AIoT ecosystems. The findings underscore the potential of the PPF to revolutionize AIoT development by ensuring high-quality, dependable, and efficient modeling outcomes.</t>
  </si>
  <si>
    <t>WoS-0075</t>
  </si>
  <si>
    <t>A software defect refers to a fault, failure, or error in software. With the rapid development and increasing reliance on software products, it is essential to identify these defects as early and easily as possible, given the efforts and budget invested in their creation and maintenance. In the literature, various approaches such as machine learning (ML) and deep learning (DL), have been proposed and proven effective in detecting defects in source code during the implementation or testing phases of the software development life cycle (SDLC). A promising approach is crucial for predicting defects at earlier stages of the SDLC, particularly during the design phase, with the goal of enhancing software quality while reducing time, effort, and costs. Meanwhile, software metrics provide a quantifiable way to analyze the software, making it easier to identify defects. Many researchers have leveraged these metrics to predict defects using ML and DL methods, achieving state-of-the-art performance. The objective of this paper is to present a novel approach to predict defects in class diagram (i.e., at design stage) using ML and DL with software metrics. Due to a lack of defect datasets extracted from class diagram, firstly, we created a model-based metric dataset using reverse engineering from a code-based dataset. Then, we apply various ML and DL techniques to the newly created dataset to predict defects in classes by classifying them as either defective or clean. The study utilizes a large dataset called the Unified Bug Dataset, which comprises five publicly available sub-datasets. We compare ML and DL models in terms of accuracy, precision, recall, F-measure, AUC and provide a performance comparison against code-based methods. Finally, we conducted a cross-dataset experiment to evaluate the generalizability of our approach.</t>
  </si>
  <si>
    <t>WoS-0076</t>
  </si>
  <si>
    <t>Multi-Agent Systems (MAS) are an Artificial Intelligence (AI) branch where agents handle distributed nature tasks in a cooperative system. MAS is widely used in robotic systems in scenarios where multiple robots must cooperate. In this direction, the robot soccer domain has been used as a test bed to stimulate research in this area, as it reproduces some important features of these systems, such as coordination. Each soccer team member is an agent whose behavior must be coordinated with the other team members cooperating to win the game. Simulation tools are frequently used in this context to create rehearsed plays, called setplays, during team training. However, these tools generally have a limited set of behaviors, e.g., kicking, available to use in setplays, and new behaviors must be manually implemented. This implementation requires knowledge of specific source codes and a significant programming effort, in addition to leaving the behavior coupled and dependent on the tool. This work proposes the Robot Soccer Behavior Generator (RoboSocBG), a solution to develop new behaviors in the context of simulated soccer robots. It uses Model-Driven Development (MDD), an approach that enables the specification of behavior platform-independent models and code generation in specific tools. The solution was tested in our laboratory and validated in a case study. The results evidenced its feasibility to generate code in different platforms.</t>
  </si>
  <si>
    <t>WoS-0077</t>
  </si>
  <si>
    <t>In this paper, we explore the possibility to apply natural language processing in visual model-to-model (M2M) transformations. Therefore, we present our research results on information extraction from text labels in process models modeled using Business Process Modeling Notation (BPMN) and use case models depicted in Unified Modeling Language (UML) using the most recent developments in natural language processing (NLP). Here, we focus on three relevant tasks, namely, the extraction of verb/noun phrases that would be used to form relations, parsing of conjunctive/disjunctive statements, and the detection of abbreviations and acronyms. Techniques combining state-of-the-art NLP language models with formal regular expressions grammar-based structure detection were implemented to solve relation extraction task. To achieve these goals, we benchmark the most recent state-of-the-art NLP tools (CoreNLP, Stanford Stanza, Flair, Spacy, AllenNLP, BERT, ELECTRA), as well as custom BERT-BiLSTM-CRF and ELMo-BiLSTM-CRF implementations, trained with certain data augmentations to improve performance on the most ambiguous cases; these tools are further used to extract noun and verb phrases from short text labels generally used in UML and BPMN models. Furthermore, we describe our attempts to improve these extractors by solving the abbreviation/acronym detection problem using machine learning-based detection, as well as process conjunctive and disjunctive statements, due to their relevance to performing advanced text normalization. The obtained results show that the best phrase extraction and conjunctive phrase processing performance was obtained using Stanza based implementation, yet, our trained BERT-BiLSTM-CRF outperformed it for the verb phrase detection task. While this work was inspired by our ongoing research on partial model-to-model transformations, we believe it to be applicable in other areas requiring similar text processing capabilities as well.</t>
  </si>
  <si>
    <t>WoS-0078</t>
  </si>
  <si>
    <t>Unified Modeling Language (UML) models are main artifacts of software applications and valuable assets of software projects. The similarity calculation of UML models is an effective way to model reuse, model validation, model retrieval and pattern detection, which can help developers reduce development cost. Existing studies mainly focus on UML design models such as class diagrams and object diagrams. Yet, there is little research on calculating similarity for use case models despite their importance for software requirements reuse and validation. Thus, this paper proposes a similarity calculation approach for UML use case models. This approach first transforms the use case models into use case graphs and then adopts the deep learning technique - Similarity Graph Neural Network (SimGNN) to calculate the structural similarity between use case graphs. Then it calculates the semantic similarity of use case models with Term Frequency-Inverse Document Frequency (TF-IDF) and Cosine similarity. Finally it syntheses the results of semantic similarity and structural similarity of use case graphs. The effectiveness and efficiency of this approach was evaluated by comparing to two other approaches: (1) Cosine similarity+TF-IDF and (2) Cosine similarity+edit distance. The results showed that the our approach has better performance in terms of both effectiveness and efficiency.</t>
  </si>
  <si>
    <t>WoS-0079</t>
  </si>
  <si>
    <t>With the growing popularity of machine learning algorithms, dramatic advances have been made for code completion, and specifically method-call completion. These advances were also possible thanks to the availability of large code repositories to learn from and to the well-defined boundaries of the method-call completion problem. This is, however, not the case for design completion, where model repositories are scarce and the space of possibilities for design completion is theoretically infinite. We propose in this paper an approach that learns numeric representations of domain concepts and their relations from code repositories in order to recommend classes for UML class diagrams.</t>
  </si>
  <si>
    <t>WoS-0080</t>
  </si>
  <si>
    <t>A framework for data transformation in Credit Behavioral Scoring applications based on Model Driven Development</t>
  </si>
  <si>
    <t>10.1016/j.eswa.2016.10.059</t>
  </si>
  <si>
    <t>The preprocessing stage in knowledge discovery projects is costly, normally taking between 50% and 80% of the total project time. It is in this stage that data in a relational database are transformed for applying a data mining technique. This stage is a complex task that demands from database designers a strong interaction with experts having a broad knowledge about the application domain. Frameworks aiming to systemize this stage have significant limitations when applied to Credit Behavioral Scoring solutions. This paper proposes a framework based on the Model Driven Development approach to systemize the mentioned stage. This work has three main contributions: 1) improving the discriminant power of data mining techniques by means of the construction of new input variables which embed temporal knowledge for the technique; 2) reducing the time of data transformation using automatic code generation, and 3) allowing artificial intelligence and statistics modelers to perform the data transformation without the help of database experts. In order to validate the proposed framework, two comparative studies were conducted. Experiments showed that the proposed framework delivers a performance equivalent or superior to those of existing frameworks and reduces the time of data transformation with a confidence level of 95%. (C) 2016 Elsevier Ltd. All rights reserved.</t>
  </si>
  <si>
    <t>WoS-0081</t>
  </si>
  <si>
    <t>In this article, we address how the production of model transformations (MT) can be accelerated by automation of transformation synthesis from requirements, examples, and metamodels. We introduce a synthesis process based on metamodelmatching, correspondence patterns between metamodels, and completeness and consistency analysis ofmatches. We describe how the limitations of metamodelmatching can be addressed by combining matching with automated requirements analysis and model transformation by example (MTBE) techniques. We show that in practical examples a large percentage of required transformation functionality can usually be constructed automatically, thus potentially reducing development effort. We also evaluate the efficiency of synthesised transformations. Our novel contributions are: The concept of correspondence patterns between metamodels of a transformation. Requirements analysis of transformations using natural language processing (NLP) and machine learning (ML). Symbolic MTBE using predictive specification to infer transformations from examples. Transformation generation in multiple MT languages and in Java, from an abstract intermediate language.</t>
  </si>
  <si>
    <t>WoS-0082</t>
  </si>
  <si>
    <t>API-Based Generators (ABGs) allow practitioners to achieve the advantages of Model-Driven Engineering (MDE) without making significant changes to their current workflow or the architecture of their solution. However, using ABGs that are defined in terms of the syntax rules of a target language can be cumbersome and impractical. Additionally, manually developing an ABG based on higher-level concepts already used in an existing solution is labor-intensive and time-consuming. This paper introduces a new approach called Semi-automatic API-based Generators Development (SAGED) to expedite the creation of ABGs customized for MDE development of existing solutions. SAGED accomplishes this by (i) providing insight into code idioms that could be considered good candidates for code generation, as they frequently appear in the codebase, and (ii) automating the creation of a code generation API for an ABG, defined in terms of the identified code idioms. The SAGED approach relies on mining code idioms from existing, unlabeled source code based on a machine learning technique called the nonparametric Bayesian Probabilistic Tree Substitution Grammar (PTSG). The main contributions of this paper include the introduction of the SAGED approach, an explanation and optimization of the Type-Based MCMC as a method for approximating the nonparametric Bayesian PTSG, and the development of an open-source inference core for implementing the inference method in different programming languages. Furthermore, the paper presents a solution for implementing SAGED in the C# programming language, along with case studies that demonstrate its effectiveness.</t>
  </si>
  <si>
    <t>WoS-0083</t>
  </si>
  <si>
    <t>Microservices and Machine Learning Algorithms for Adaptive Green Buildings</t>
  </si>
  <si>
    <t>SUSTAINABILITY</t>
  </si>
  <si>
    <t>10.3390/su11164320</t>
  </si>
  <si>
    <t>In recent years, the use of services for Open Systems development has consolidated and strengthened. Advances in the Service Science and Engineering (SSE) community, promoted by the reinforcement of Web Services and Semantic Web technologies and the presence of new Cloud computing techniques, such as the proliferation of microservices solutions, have allowed software architects to experiment and develop new ways of building open and adaptable computer systems at runtime. Home automation, intelligent buildings, robotics, graphical user interfaces are some of the social atmosphere environments suitable in which to apply certain innovative trends. This paper presents a schema for the adaptation of Dynamic Computer Systems (DCS) using interdisciplinary techniques on model-driven engineering, service engineering and soft computing. The proposal manages an orchestrated microservices schema for adapting component-based software architectural systems at runtime. This schema has been developed as a three-layer adaptive transformation process that is supported on a rule-based decision-making service implemented by means of Machine Learning (ML) algorithms. The experimental development was implemented in the Solar Energy Research Center (CIESOL) applying the proposed microservices schema for adapting home architectural atmosphere systems on Green Buildings.</t>
  </si>
  <si>
    <t>WoS-0084</t>
  </si>
  <si>
    <t>Context: Nowadays, developing data analysis software for the IoT domain faces challenges such as complexity, repetitive tasks, and developers' lack of domain knowledge. To address these issues, methodologies like CRISP-DM have been introduced, providing structured guidance for data analysis. Objectives: Despite the availability of structured methodologies, building data analysis pipelines still involves managing complexity and redundancy. Model-driven approaches have been proposed to tackle these challenges but often fail to address all stages of the data analysis workflow and the interdependencies between stages and datasets comprehensively. This research introduces RAIDAD, a model-driven framework that addresses these gaps by covering all phases of the CRISP-DM methodology. Methods: RAIDAD includes a domain-specific modeling language for IoT data analysis, a graphical modeling editor, a code generation transformation engine, and a data model assistant for seamless model-data integration. These components are delivered as an Eclipse plugin. Results: The evaluation of RAIDAD is two-fold. First, a comparative operational evaluation with RapidMiner and ML-Quadrat shows RAIDAD achieves a 9.6% improvement in usability and productivity over RapidMiner and a 23% improvement over ML-Quadrat. Second, RAIDAD is compared to a general-purpose programming language, demonstrating its superiority in reducing effort and production time for IoT data analysis software. Conclusion: This comprehensive framework ensures an efficient and organized approach to data analysis, addressing key challenges in the IoT domain. Future research will focus on expanding RAIDAD's support for a wider range of data analysis and machine learning algorithms, enhancing automation capabilities, and incorporating continuous user feedback to ensure the framework evolves in line with emerging needs.</t>
  </si>
  <si>
    <t>WoS-0085</t>
  </si>
  <si>
    <t>STRUCTURAL AND MULTIDISCIPLINARY OPTIMIZATION</t>
  </si>
  <si>
    <t>10.1007/s00158-023-03518-8</t>
  </si>
  <si>
    <t>To reduce the computational cost, multi-fidelity (MF) metamodel methods have been widely used in engineering optimization. Most of these methods are based on the standard Gaussian random process theory; thus, the time cost required for hyperparameter estimation increases significantly with an increase in the dimension and nonlinearity of the problems especially for high-dimensional problems. To address these issues, by exploiting the great potential of deep neural networks in high-dimensional information extraction and approximation, a meta-learning-based multi-fidelity Bayesian neural network (ML-MFBNN) method is developed in this study. Based on this, to further reduce the computational cost, an adaptive multi-fidelity sampling strategy is proposed in combination with Bayesian deep learning to sequentially select the highly cost-effective samples. The effectiveness and advantages of the proposed MF-MFBNN and adaptive multi-fidelity sampling strategy are verified through eight mathematical examples, and the application to model validation of computational fluid dynamics and robust shape optimization of the ONERA M6 wing.</t>
  </si>
  <si>
    <t>WoS-0086</t>
  </si>
  <si>
    <t>Efficient resource planning is recognized as one of the key enablers making the large-scale deployment of next-generation wireless networks available for mass usage. Modelling, planning, and software simulation tools reduce both the time needed and costs of their tuning and realization. In this paper, we propose a model-driven framework for proactive network planning relying on synergy of deep learning and multiobjective optimization. The predictions about service demand and energy consumption are taken into account. Also, the impact of degradations resulting from fading and cochannel interference (CCI) effects is also considered. The optimization task is treated as a component allocation problem (CAP) aiming to find the best possible base station allocation for the considered smart city locations with respect to performance and service demand constraints. The goal is to maximize Quality of Service (QoS) while keeping the costs and energy consumption as low as possible. The adoption of a model-driven approach in combination with model-to-model transformations and automated code generation does not only reduce the complexity, making experimentation more rapid and convenient at the same time, but also increase the overall reusability and expandability of the planning tool. According to the obtained results, the proposed solution seems to be promising not only due to achieved benefits but also regarding the execution time, which is shorter than that achieved in our previous works, especially for larger distances. Further, we adopt model-based representation of handover strategies within the planning tool, enabling examination of the dynamic behavior of user-created plan, which is not exploited in other similar works. The main contributions of the paper are (1) wireless network planning (WNP) metamodel, a modelling notation for network plans; (2) model-to-model transformation for conversion of WNP to generalized CAP metamodel; (3) prediction problem (PP) metamodel, high-level abstraction for representation of prediction-related regression and classification problems; (4) code generator that creates PyTorch neural network from PP representation; (5) service demand and energy consumption prediction modules performing regression; (6) multiobjective optimization model for base station allocation; (7) Handover Strategy (HS) metamodel used for description of dynamic aspects and adaptability relevant to network planning.</t>
  </si>
  <si>
    <t>WoS-0087</t>
  </si>
  <si>
    <t>Context: Cyber-Physical Systems (CPSs), when deployed for operation, are inherently prone to uncertainty. Considering their applications in critical domains (e.g., healthcare), it is important that such CPSs are tested sufficiently, with the explicit consideration of uncertainty. Model-based testing (MBT) involves creating test ready models capturing the expected behavior of a CPS and its operating environment. These test ready models are then used for generating executable test cases. It is, therefore, necessary to develop methods that can continuously evolve, based on real operational data collected during the operation of CPSs, test ready models and uncertainty captured in them, all together termed as Belief Test Ready Models (BMs) Objective: Our objective is to propose a model evolution framework that can interactively improve the quality of BMs, based on operational data. Such BMs are developed by one or more test modelers (belief agents) with their assumptions about the expected behavior of a CPS, its expected physical environment, and potential future deployments. Thus, these models explicitly contain subjective uncertainty of the test modelers. Method: We propose a framework (named as UncerTolve) for interactively evolving BMs (specified with extended UML notations) of CPSs with subjective uncertainty developed by test modelers. The key inputs of UncerTolve include initial BMs of CPSs with known subjective uncertainty and real data collected from the operation of CPSs. UncerTolve has three key features: 1) Validating the syntactic correctness and conformance of BMs against real operational data via model execution, 2) Evolving objective uncertainty measurements of BMs via model execution, and 3) Evolving state invariants (modeling test oracles) and guards of transitions (modeling constraints for test data generation) of BMs with a machine learning technique. Results: As a proof-of-concept, we evaluated UncerTolve with one industrial CPS case study, i.e., GeoSports from the healthcare domain. Using UncerTolve, we managed to evolve 51% of belief elements, 18% of states, and 21% of transitions as compared to the initial BM developed in an industrial setting. Conclusion: UncerTolve can successfully evolve model elements of the initial BM, in addition to objective uncertainty measurements using real operational data. The evolved model can be used to generate additional test cases covering evolved model elements and objective uncertainty. These additional test cases can be used to test the current and future deployments of a CPS to ensure that it will handle uncertainty gracefully during its operations. (C) 2017 Elsevier B.V. All rights reserved.</t>
  </si>
  <si>
    <t>WoS-0088</t>
  </si>
  <si>
    <t>Agent-based modeling (ABM) is a powerful simulation technique which describes a complex dynamic system based on its interacting constituent entities. While the flexibility of ABM enables broad application, the complexity of real-world models demands intensive computing resources and computational time; however, a metamodel may be constructed to gain insight at less computational expense. Here, we developed a model in NetLogo to describe the growth of a microbial population consisting of Pantoea. We applied 13 parameters that defined the model and actively changed seven of the parameters to modulate the evolution of the population curve in response to these changes. We efficiently performed more than 3,000 simulations using a Python wrapper, NL4Py. Upon evaluation of the correlation between the active parameters and outputs by random forest regression, we found that the parameters which define the depth of medium and glucose concentration affect the population curves significantly. Subsequently, we constructed a metamodel, a dense neural network, to predict the simulation outputs from the active parameters and found that it achieves high prediction accuracy, reaching an R-2 coefficient of determination value up to 0.92. Our approach of using a combination of ABM with random forest regression and neural network reduces the number of required ABM simulations. The simplified and refined metamodels may provide insights into the complex dynamic system before their transition to more sophisticated models that run on high-performance computing systems. The ultimate goal is to build a bridge between simulation and experiment, allowing model validation by comparing the simulated data to experimental data in microbiology.</t>
  </si>
  <si>
    <t>WoS-0089</t>
  </si>
  <si>
    <t>Calibration and Validation Framework for Selective Laser Melting Process Based on Multi-Fidelity Models and Limited Experiment Data</t>
  </si>
  <si>
    <t>JOURNAL OF MECHANICAL DESIGN</t>
  </si>
  <si>
    <t>10.1115/1.4045744</t>
  </si>
  <si>
    <t>There are significant quality and reliability problems for components/products made by additive manufacturing (AM) due to various reasons. Selective laser melting (SLM) process is one of the popular AM techniques and it suffers from low quality and reliability issue as well. Among many reasons, the lack of accurate and efficient models to simulate the SLM process could be the most important one because reliability and quality quantification rely on accurate models; otherwise, a large number of experiments should be conducted for reliability and quality assurance. To date, modeling techniques for the SLM process are either computationally expensive based on finite element (FE) modeling or economically expensive requiring a significant amount of experiment data for data-driven modeling. This paper proposes the integration of FE and data-driven modeling with systematic calibration and validation framework for the SLM process based on limited experiment data. Multi-fidelity models are the FE model for the SLM process and a machine learning model constructed based on the FE model instead of real experiment data. The machine learning model, after incorporation of the learned physics from the FE model, is then further improved based on limited real experiment data through the calibration and validation framework. The proposed work enables the development of highly efficient and accurate models for melt pool prediction of the SLM process under various configurations. The effectiveness of the framework is demonstrated by real experiment data under 14 different printing configurations.</t>
  </si>
  <si>
    <t>WoS-0090</t>
  </si>
  <si>
    <t>A machine learning-based comparative analysis of surrogate models for design optimisation in computational fluid dynamics</t>
  </si>
  <si>
    <t>HELIYON</t>
  </si>
  <si>
    <t>10.1016/j.heliyon.2023.e18674</t>
  </si>
  <si>
    <t>Complex computer codes are frequently used in engineering to generate outputs based on inputs, which can make it difficult for designers to understand the relationship between inputs and outputs and to determine the best input values. One solution to this issue is to use design of experiments (DOE) in combination with surrogate models. However, there is a lack of guidance on how to select the appropriate model for a given data set. This study compares two surrogate modelling techniques, polynomial regression (PR) and kriging-based models, and analyses critical issues in design optimisation, such as DOE selection, design sensitivity, and model adequacy. The study concludes that PR is more efficient for model generation, while kriging-based models are better for assessing max-min search results due to their ability to predict a broader range of objective values. The number and location of design points can affect the performance of the model, and the error of kriging-based models is lower than that of PR. Furthermore, design sensitivity information is important for improving surrogate model efficiency, and PR is better suited to determining the design variable with the greatest impact on response. The findings of this study will be valuable to engineering simulation practitioners and researchers by providing insight into the selection of appropriate surrogate models. All in all, the study demonstrates surrogate modelling techniques can be used to solve complex engineering problems effectively.</t>
  </si>
  <si>
    <t>Exclusion | Inclusion Reason</t>
  </si>
  <si>
    <t>Content Type</t>
  </si>
  <si>
    <t>Thandolwethu Siloyi / Siyanda Hlati</t>
  </si>
  <si>
    <t>Thirteen years of SysML: a systematic mapping study</t>
  </si>
  <si>
    <t>Sabine Wolny; Alexandra Mazak; Christine Carpella; Verena Geist; Manuel Wimmer</t>
  </si>
  <si>
    <t>https://link.springer.com/article/10.1007/s10270-019-00735-y</t>
  </si>
  <si>
    <t>The OMG standard Systems Modeling Language (SysML) has been on the market for about thirteen years. This standard is an extended subset of UML providing a graphical modeling language for designing complex systems by considering software as well as hardware parts. Over the period of thirteen years, many publications have covered various aspects of SysML in different research fields. The aim of this paper is to conduct a systematic mapping study about SysML to identify the different categories of papers, (i) to get an overview of existing research topics and groups, (ii) to identify whether there are any publication trends, and (iii) to uncover possible missing links. We followed the guidelines for conducting a systematic mapping study by Petersen et al. (Inf Softw Technol 64:1–18, 2015) to analyze SysML publications from 2005 to 2017. Our analysis revealed the following main findings: (i) there is a growing scientific interest in SysML in the last years particularly in the research field of Software Engineering, (ii) SysML is mostly used in the design or validation phase, rather than in the implementation phase, (iii) the most commonly used diagram types are the SysML-specific requirement diagram, parametric diagram, and block diagram, together with the activity diagram and state machine diagram known from UML, (iv) SysML is a specific UML profile mostly used in systems engineering; however, the language has to be customized to accommodate domain-specific aspects, (v) related to collaborations for SysML research over the world, there are more individual research groups than large international networks. This study provides a solid basis for classifying existing approaches for SysML. Researchers can use our results (i) for identifying open research issues, (ii) for a better understanding of the state of the art, and (iii) as a reference for finding specific approaches about SysML.</t>
  </si>
  <si>
    <t>Secondary study (Systematic Literature Review / Systematic Mapping Study / Survey / Editorial)</t>
  </si>
  <si>
    <t>Article</t>
  </si>
  <si>
    <t>AbstractEmergent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</si>
  <si>
    <t>Applies AI / Intelligent Agents &amp; Data Analytics:
The paper explicitly uses "a plurality of distributed analytic agents" and data analytics for runtime self-assessment, qualitative failure propagation evaluation, and dynamic self-adaptation.</t>
  </si>
  <si>
    <t>A survey of model-driven techniques and tools for cyber-physical systems</t>
  </si>
  <si>
    <t>Bo Liu; Yuan-rui Zhang; Xue-lian Cao; Yu Liu; Bin Gu; Tie-xin Wang</t>
  </si>
  <si>
    <t>Frontiers of Information Technology &amp; Electronic Engineering</t>
  </si>
  <si>
    <t>https://link.springer.com/article/10.1631/FITEE.2000311</t>
  </si>
  <si>
    <t>Cyber-physical systems (CPSs) have emerged as a potential enabling technology to handle the challenges in social and economic sustainable development. Since it was proposed in 2006, intensive research has been conducted, showing that the construction of a CPS is a hard and complex engineering process due to the nature of integrating a large number of heterogeneous subsystems. Among other approaches to dealing with the complex design issues, model-driven design of CPSs has shown its advantages. In this review paper, we present a survey of research on model-driven development of CPSs. We are concerned mainly with the widely used methods, techniques, and tools, and discuss how these are applied to CPSs. We also present comparative analyses on the surveyed techniques and tools from various perspectives, including their modeling languages, functionalities, and the challenges which they address in CPS design. With our understanding of the surveyed methods, we believe that model-driven approaches are an inevitable choice in building CPSs and further research effort is needed in the development of model-driven theories, techniques, and tools. We also argue that a unified modeling platform is needed. Such a platform would benefit research in the academic community and practical development in industry, and improve the collaboration between these two communities.</t>
  </si>
  <si>
    <t>Systematic mapping study on domain-specific language development tools</t>
  </si>
  <si>
    <t>Aníbal Iung; João Carbonell; Luciano Marchezan; Elder Rodrigues; Maicon Bernardino; Fabio Paulo Basso; Bruno Medeiros</t>
  </si>
  <si>
    <t>https://link.springer.com/article/10.1007/s10664-020-09872-1</t>
  </si>
  <si>
    <t>A Practical Specialization of MDA/MBSE Approach to Develop AUV Controllers</t>
  </si>
  <si>
    <t>Ngo Van Hien; Pham Gia Diem</t>
  </si>
  <si>
    <t>Journal of Marine Science and Application</t>
  </si>
  <si>
    <t>https://link.springer.com/article/10.1007/s11804-020-00151-5</t>
  </si>
  <si>
    <t>Traditional MDE / Software engineering approach without an identifiable AI/ML technique</t>
  </si>
  <si>
    <t>Domain-Specific Language Techniques for Visual Computing: A Comprehensive Study</t>
  </si>
  <si>
    <t>Liming Shen; Xueyi Chen; Richen Liu; Hailong Wang; Genlin Ji</t>
  </si>
  <si>
    <t>Archives of Computational Methods in Engineering</t>
  </si>
  <si>
    <t>https://link.springer.com/article/10.1007/s11831-020-09492-4</t>
  </si>
  <si>
    <t>Grand challenges in model-driven engineering: an analysis of the state of the research</t>
  </si>
  <si>
    <t>Antonio Bucchiarone; Jordi Cabot; Richard F. Paige; Alfonso Pierantonio</t>
  </si>
  <si>
    <t>https://link.springer.com/article/10.1007/s10270-019-00773-6</t>
  </si>
  <si>
    <t>AbstractIn 2017 and 2018, two events were held—in Marburg, Germany, and San Vigilio di Marebbe, Italy, respectively—focusing on an analysis of the state of research, state of practice, and state of the art in model-driven engineering (MDE). The events brought together experts from industry, academia, and the open-source community to assess what has changed in research in MDE over the last 10 years, what challenges remain, and what new challenges have arisen. This article reports on the results of those meetings, and presents a set of grand challenges that emerged from discussions and synthesis. These challenges could lead to research initiatives for the community going forward.</t>
  </si>
  <si>
    <t>A semi-automated BPMN-based framework for detecting conflicts between security, data-minimization, and fairness requirements</t>
  </si>
  <si>
    <t>Qusai Ramadan; Daniel Strüber; Mattia Salnitri; Jan Jürjens; Volker Riediger; Steffen Staab</t>
  </si>
  <si>
    <t>https://link.springer.com/article/10.1007/s10270-020-00781-x</t>
  </si>
  <si>
    <t>AbstractRequirements are inherently prone to conflicts. Security, data-minimization, and fairness requirements are no exception. Importantly, undetected conflicts between such requirements can lead to severe effects, including privacy infringement and legal sanctions. Detecting conflicts between security, data-minimization, and fairness requirements is a challenging task, as such conflicts are context-specific and their detection requires a thorough understanding of the underlying business processes. For example, a process may require anonymous execution of a task that writes data into a secure data storage, where the identity of the writer is needed for the purpose of accountability. Moreover, conflicts not arise from trade-offs between requirements elicited from the stakeholders, but also from misinterpretation of elicited requirements while implementing them in business processes, leading to a non-alignment between the data subjects’ requirements and their specifications. Both types of conflicts are substantial challenges for conflict detection. To address these challenges, we propose a BPMN-based framework that supports: (i) the design of business processes considering security, data-minimization and fairness requirements, (ii) the encoding of such requirements as reusable, domain-specific patterns, (iii) the checking of alignment between the encoded requirements and annotated BPMN models based on these patterns, and (iv) the detection of conflicts between the specified requirements in the BPMN models based on a catalog of domain-independent anti-patterns. The security requirements were reused from SecBPMN2, a security-oriented BPMN 2.0 extension, while the fairness and data-minimization parts are new. For formulating our patterns and anti-patterns, we extended a graphical query language called SecBPMN2-Q. We report on the feasibility and the usability of our approach based on a case study featuring a healthcare management system, and an experimental user study.</t>
  </si>
  <si>
    <t>Dynamic Web with Automatic Code Generation Using Deep Learning</t>
  </si>
  <si>
    <t>Prerna Sharma; Vikas Chaudhary; Nakul Malhotra; Nikita Gupta; Mohit Mittal</t>
  </si>
  <si>
    <t>International Conference on Innovative Computing and Communications</t>
  </si>
  <si>
    <t>https://link.springer.com/chapter/10.1007/978-981-15-1286-5_61</t>
  </si>
  <si>
    <t>Off-topic domain (non-software engineering application) without software/systems modeling</t>
  </si>
  <si>
    <t>Conference paper</t>
  </si>
  <si>
    <t>Machine Learning Techniques for Software Maintainability Prediction: Accuracy Analysis</t>
  </si>
  <si>
    <t>Sara Elmidaoui; Laila Cheikhi; Ali Idri; Alain Abran</t>
  </si>
  <si>
    <t>Journal of Computer Science and Technology</t>
  </si>
  <si>
    <t>https://link.springer.com/article/10.1007/s11390-020-9668-1</t>
  </si>
  <si>
    <t>Uses 'model' strictly for predictive ML/statistical models rather than software system models (UML/SysML/BPMN/DSL/metamodels)</t>
  </si>
  <si>
    <t>EasyModel: A Refinement-Based Modeling and Verification Approach for Self-Adaptive Software</t>
  </si>
  <si>
    <t>De-Shuai Han; Qi-Liang Yang; Jian-Chun Xing; Guang-Lian Ma</t>
  </si>
  <si>
    <t>https://link.springer.com/article/10.1007/s11390-020-0499-x</t>
  </si>
  <si>
    <t>ModelSet: a dataset for machine learning in model-driven engineering</t>
  </si>
  <si>
    <t>José Antonio Hernández López; Javier Luis Cánovas Izquierdo; Jesús Sánchez Cuadrado</t>
  </si>
  <si>
    <t>https://link.springer.com/article/10.1007/s10270-021-00929-3</t>
  </si>
  <si>
    <t>AbstractThe application of machine learning (ML) algorithms to address problems related to model-driven engineering (MDE) is currently hindered by the lack of curated datasets of software models. There are several reasons for this, including the lack of large collections of good quality models, the difficulty to label models due to the required domain expertise, and the relative immaturity of the application of ML to MDE. In this work, we presentModelSet, a labelled dataset of software models intended to enable the application of ML to address software modelling problems. To create it we have devised a method designed to facilitate the exploration and labelling of model datasets by interactively grouping similar models using off-the-shelf technologies like a search engine. We have built an Eclipse plug-in to support the labelling process, which we have used to label 5,466 Ecore meta-models and 5,120 UML models with its category as the main label plus additional secondary labels of interest. We have evaluated the ability of our labelling method to create meaningful groups of models in order to speed up the process, improving the effectiveness of classical clustering methods. We showcase the usefulness of the dataset by applying it in a real scenario: enhancing the MAR search engine. We useModelSetto train models able to infer useful metadata to navigate search results. The dataset and the tooling are available athttps://figshare.com/s/5a6c02fa8ed20782935cand a live version athttp://modelset.github.io.</t>
  </si>
  <si>
    <t>Excluded based on SLR scope / does not present a primary empirical AI model engineering contribution</t>
  </si>
  <si>
    <t>Recommender systems in model-driven engineering</t>
  </si>
  <si>
    <t>Lissette Almonte; Esther Guerra; Iván Cantador; Juan de Lara</t>
  </si>
  <si>
    <t>https://link.springer.com/article/10.1007/s10270-021-00905-x</t>
  </si>
  <si>
    <t>AbstractRecommender systems are information filtering systems used in many online applications like music and video broadcasting and e-commerce platforms. They are also increasingly being applied to facilitate software engineering activities. Following this trend, we are witnessing a growing research interest on recommendation approaches that assist with modelling tasks and model-based development processes. In this paper, we report on a systematic mapping review (based on the analysis of 66 papers) that classifies the existing research work on recommender systems for model-driven engineering (MDE). This study aims to serve as a guide for tool builders and researchers in understanding the MDE tasks that might be subject to recommendations, the applicable recommendation techniques and evaluation methods, and the open challenges and opportunities in this field of research.</t>
  </si>
  <si>
    <t>Model-driven engineering for mobile robotic systems: a systematic mapping study</t>
  </si>
  <si>
    <t>Giuseppina Lucia Casalaro; Giulio Cattivera; Federico Ciccozzi; Ivano Malavolta; Andreas Wortmann; Patrizio Pelliccione</t>
  </si>
  <si>
    <t>https://link.springer.com/article/10.1007/s10270-021-00908-8</t>
  </si>
  <si>
    <t>AbstractMobile robots operate in various environments (e.g. aquatic, aerial, or terrestrial), they come in many diverse shapes and they are increasingly becoming parts of our lives. The successful engineering of mobile robotics systems demands the interdisciplinary collaboration of experts from different domains, such as mechanical and electrical engineering, artificial intelligence, and systems engineering. Research and industry have tried to tackle this heterogeneity by proposing a multitude of model-driven solutions to engineer the software of mobile robotics systems. However, there is no systematic study of the state of the art in model-driven engineering (MDE) for mobile robotics systems that could guide research or practitioners in finding model-driven solutions and tools to efficiently engineer mobile robotics systems. The paper is contributing to this direction by providing a map of software engineering research in MDE that investigates (1) which types of robots are supported by existing MDE approaches, (2) the types and characteristics of MRSs that are engineered using MDE approaches, (3) a description of how MDE approaches support the engineering of MRSs, (4) how existing MDE approaches are validated, and (5) how tools support existing MDE approaches. We also provide a replication package to assess, extend, and/or replicate the study. The results of this work and the highlighted challenges can guide researchers and practitioners from robotics and software engineering through the research landscape.</t>
  </si>
  <si>
    <t>Formally-based Model-Driven Development of Collaborative Robotic Applications</t>
  </si>
  <si>
    <t>Mehrnoosh Askarpour; Livia Lestingi; Samuele Longoni; Niccolò Iannacci; Matteo Rossi; Federico Vicentini</t>
  </si>
  <si>
    <t>Journal of Intelligent &amp; Robotic Systems</t>
  </si>
  <si>
    <t>https://link.springer.com/article/10.1007/s10846-021-01386-2</t>
  </si>
  <si>
    <t>AbstractThe development of Human Robot Collaborative (HRC) systems faces many challenges. First, HRC systems should be adaptable and re-configurable to support fast production changes. However, in the development of HRC applications safety considerations are of paramount importance, as much as classical activities such as task programming and deployment. Hence, the reconfiguration and reprogramming of executing tasks might be necessary also to fulfill the desired safety requirements. Model-based software engineering is a suitable means for agile task programming and reconfiguration. We propose a model-based design-to-deployment toolchain that simplifies the routine of updating or modifying tasks. This toolchain relies on (i) UML profiles for quick model design, (ii) formal verification for exhaustive search for unsafe situations (caused by intended or unintended human behavior) within the model, and (iii) trans-coding tools for automating the development process. The toolchain has been evaluated on a few realistic case studies. In this paper, we show a couple of them to illustrate the applicability of the approach.</t>
  </si>
  <si>
    <t>Reducing Kidney Discard With Artificial Intelligence Decision Support: the Need for a Transdisciplinary Systems Approach</t>
  </si>
  <si>
    <t>Richard Threlkeld; Lirim Ashiku; Casey Canfield; Daniel B. Shank; Mark A. Schnitzler; Krista L. Lentine; David A. Axelrod; Anil Choudary Reddy Battineni; Henry Randall; Cihan Dagli</t>
  </si>
  <si>
    <t>Current Transplantation Reports</t>
  </si>
  <si>
    <t>https://link.springer.com/article/10.1007/s40472-021-00351-0</t>
  </si>
  <si>
    <t>Abstract
Purpose of Review
A transdisciplinary systems approach to the design of an artificial intelligence (AI) decision support system can more effectively address the limitations of AI systems. By incorporating stakeholder input early in the process, the final product is more likely to improve decision-making and effectively reduce kidney discard.
Recent Findings
Kidney discard is a complex problem that will require increased coordination between transplant stakeholders. An AI decision support system has significant potential, but there are challenges associated with overfitting, poor explainability, and inadequate trust. A transdisciplinary approach provides a holistic perspective that incorporates expertise from engineering, social science, and transplant healthcare. A systems approach leverages techniques for visualizing the system architecture to support solution design from multiple perspectives.
Summary
Developing a systems-based approach to AI decision support involves engaging in a cycle of documenting the system architecture, identifying pain points, developing prototypes, and validating the system. Early efforts have focused on describing process issues to prioritize tasks that would benefit from AI support.</t>
  </si>
  <si>
    <t>KDM to UML Model Transformation for Quantum Software Modernization</t>
  </si>
  <si>
    <t>Luis Jiménez-Navajas; Ricardo Pérez-Castillo; Mario Piattini</t>
  </si>
  <si>
    <t>Quality of Information and Communications Technology</t>
  </si>
  <si>
    <t>https://link.springer.com/chapter/10.1007/978-3-030-85347-1_16</t>
  </si>
  <si>
    <t>Models capture relevant properties of systems. During the models’ life-cycle, they are subjected to manipulations with different goals such as managing software evolution, performing analysis, increasing developers’ productivity, and reducing human errors. Typically, these manipulation operations are implemented as model transformations. Examples of these transformations are (i) model-to-model transformations for model evolution, model refactoring, model merging, model migration, model refinement, etc., (ii) model-to-text transformations for code generation and (iii) text-to-model ones for reverse engineering. These operations are usually manually implemented, using general-purpose languages such as Java, or domain-specific languages (DSLs) such as ATL or Acceleo. Even when using such DSLs, transformations are still time-consuming and error-prone. We propose using the advances in artificial intelligence techniques to learn these manipulation operations on models and automate the process, freeing the developer from building specific pieces of code. In particular, our proposal is a generic neural network architecture suitable for heterogeneous model transformations. Our architecture comprises an encoder–decoder long short-term memory with an attention mechanism. It is fed with pairs of input–output examples and, once trained, given an input, automatically produces the expected output. We present the architecture and illustrate the feasibility and potential of our approach through its application in two main operations on models: model-to-model transformations and code generation. The results confirm that neural networks are able to faithfully learn how to perform these tasks as long as enough data are provided and no contradictory examples are given.</t>
  </si>
  <si>
    <t>Applies AI/ML techniques (e.g., LLMs, Deep Learning, Knowledge Graphs, Reinforcement Learning, NLP) to software/systems modeling artefacts (UML, SysML, BPMN, DSLs, metamodels, or model transformations).</t>
  </si>
  <si>
    <t>Artificial intelligence-based fault prediction framework for WBAN</t>
  </si>
  <si>
    <t>Mamoun Awad; Farag Sallabi; Khaled Shuaib; Faisal Naeem</t>
  </si>
  <si>
    <t>Journal of King Saud University Computer and Information Sciences</t>
  </si>
  <si>
    <t>https://link.springer.com/article/10.1016/j.jksuci.2021.09.017</t>
  </si>
  <si>
    <t>Wireless Body Area Networks (WBAN) can provide continuous monitoring of patients’ health. Such monitoring can be a decisive factor in health and death situations. Fault management in WBANs is a key reliability component to make it socially acceptable and to overcome pertained challenges such as unpredicted faults, massive data streaming, and detection accuracy. Failures in fault detection due to hardware, software, and network issues may put human lives at risk. This paper focuses on detecting and predicting faults in sensors in the context of a WBAN. A framework is proposed to manage AI-based prediction models and fault detection using thresholds where four Machine learning techniques: Artificial Neural Networks (ANN), Deep Neural Networks (DNN), Support Vector Machines (SVM), and Decision Trees (DT), are used. The framework also provides alarm notifications, prediction model deployment, version control, and sensing node profiling. As a proof of concept, a fault management prototype is implemented and validated. The prototype classifies faults, manages automation of sensing node profiling, training, and validation of new models. The obtained experimental results show an accuracy greater than 96% for detecting faults with an inferior false alarm rate.</t>
  </si>
  <si>
    <t>AbstractRegression test selection (RTS) approaches reduce the cost of regression testing of evolving software systems. Existing RTS approaches based on UML models use behavioral diagrams or a combination of structural and behavioral diagrams. However, in practice, behavioral diagrams are incomplete or not used. In previous work, we proposed a fuzzy logic based RTS approach called FLiRTS that uses UML sequence and activity diagrams. In this work, we introduce FLiRTS 2, which drops the need for behavioral diagrams and relies on system models that only use UML class diagrams, which are the most widely used UML diagrams in practice. FLiRTS 2 addresses the unavailability of behavioral diagrams by classifying test cases using fuzzy logic after analyzing the information commonly provided in class diagrams. We evaluated FLiRTS 2 on UML class diagrams extracted from 3331 revisions of 13 open-source software systems, and compared the results with those of code-based dynamic (Ekstazi) and static (STARTS) RTS approaches. The average test suite reduction using FLiRTS 2 was 82.06%. The average safety violations of FLiRTS 2 with respect to Ekstazi and STARTS were 18.88% and 16.53%, respectively. FLiRTS 2 selected on average about 82% of the test cases that were selected by Ekstazi and STARTS. The average precision violations of FLiRTS 2 with respect to Ekstazi and STARTS were 13.27% and 9.01%, respectively. The average mutation score of the full test suites was 18.90%; the standard deviation of the reduced test suites from the average deviation of the mutation score for each subject was 1.78% for FLiRTS 2, 1.11% for Ekstazi, and 1.43% for STARTS. Our experiment demonstrated that the performance of FLiRTS 2 is close to the state-of-art tools for code-based RTS but requires less information and performs the selection in less time.</t>
  </si>
  <si>
    <t>Applies Fuzzy Logic to UML class diagram models for automated model-based regression test selection.</t>
  </si>
  <si>
    <t>Smart Contract Code Generation from Platform Specific Model for Hyperledger Go</t>
  </si>
  <si>
    <t>Mantas Jurgelaitis; Vaidotas Drungilas; Lina ČeponienėEvaldas Vaičiukynas; Rita ButkienėJonas Čeponis</t>
  </si>
  <si>
    <t>Trends and Applications in Information Systems and Technologies</t>
  </si>
  <si>
    <t>https://link.springer.com/chapter/10.1007/978-3-030-72654-6_7</t>
  </si>
  <si>
    <t>AbstractModeling is a ubiquitous activity in the process of software development. In recent years, such an activity has reached a high degree of intricacy, guided by the heterogeneity of the components, data sources, and tasks. The democratized use of models has led to the necessity for suitable machinery for mining modeling repositories. Among others, the classification of metamodels into independent categories facilitates personalized searches by boosting the visibility of metamodels. Nevertheless, the manual classification of metamodels is not only a tedious but also an error-prone task. According to our observation, misclassification is the norm which leads to a reduction in reachability as well as reusability of metamodels. Handling such complexity requires suitable tooling to leverage raw data into practical knowledge that can help modelers with their daily tasks. In our previous work, we proposed AURORA as a machine learning classifier for metamodel repositories. In this paper, we present a thorough evaluation of the system by taking into consideration different settings as well as evaluation metrics. More importantly, we improve the original AURORA tool by changing its internal design. Experimental results demonstrate that the proposed amendment is beneficial to the classification of metamodels. We also compared our approach with two baseline algorithms, namely gradient boosted decision tree and support vector machines. Eventually, we see that AURORA outperforms the baselines with respect to various quality metrics.</t>
  </si>
  <si>
    <t>Applies Machine Learning classifiers (AURORA, GBDT, SVM) to software engineering metamodels for automated classification and repository search.</t>
  </si>
  <si>
    <t>An efficient and scalable search engine for models</t>
  </si>
  <si>
    <t>José Antonio Hernández López; Jesús Sánchez Cuadrado</t>
  </si>
  <si>
    <t>https://link.springer.com/article/10.1007/s10270-021-00960-4</t>
  </si>
  <si>
    <t>AbstractSearch engines extract data from relevant sources and make them available to users via queries. A search engine typically crawls the web to gather data, analyses and indexes it and provides some query mechanism to obtain ranked results. There exist search engines for websites, images, code, etc., but the specific properties required to build a search engine for models have not been explored much. In the previous work, we presented MAR, a search engine for models which has been designed to support a query-by-example mechanism with fast response times and improved precision over simple text search engines. The goal of MAR is to assist developers in the task of finding relevant models. In this paper, we report new developments of MAR which are aimed at making it a useful and stable resource for the community. We present the crawling and analysis architecture with which we have processed about 600,000 models. The indexing process is now incremental and a new index for keyword-based search has been added. We have also added a web user interface intended to facilitate writing queries and exploring the results. Finally, we have evaluated the indexing times, the response time and search precision using different configurations. MAR has currently indexed over 500,000 valid models of different kinds, including Ecore meta-models, BPMN diagrams, UML models and Petri nets. MAR is available at http://mar-search.org.</t>
  </si>
  <si>
    <t>Abstract
Machine learning (ML) is used increasingly in safety-critical
systems to provide more complex autonomy to make the system to do
decisions by itself in uncertain environments. Using ML to learn
system features is fundamentally different from manually
implementing them in conventional components written in source code.
In this paper, we make a first step towards exploring
the architecture modeling of safety-critical autonomous systems
which are composed of conventional components and ML components,
based on natural language requirements. Firstly, augmented
intelligence for restricted natural language requirement
modeling is proposed. In that, several AI technologies such as
natural language processing and clustering are used to recommend
candidate terms to the glossary, as well as machine learning is used
to predict the category of requirements. The glossary including data
dictionary and domain glossary and the category of requirements will
be used in the restricted natural language requirement specification
method RNLReq, which is equipped with a set of restriction rules and
templates to structure and restrict the way how users document
requirements. Secondly, automatic generation of SysML architecture
models from the RNLReq requirement specifications is presented.
Thirdly, the prototype tool is implemented based on Papyrus.
Finally,  it presents the evaluation of the proposed
approach using an industrial autonomous guidance, navigation and
control case study.</t>
  </si>
  <si>
    <t>Applies Natural Language Processing (NLP), clustering, and Machine Learning to natural language requirements for automatic SysML architecture model generation in Papyrus.</t>
  </si>
  <si>
    <t>Predictions-on-chip: model-based training and automated deployment of machine learning models at runtime</t>
  </si>
  <si>
    <t>Sebastian Pilarski; Martin Staniszewski; Matthew Bryan; Frederic Villeneuve; Dániel Varró</t>
  </si>
  <si>
    <t>https://link.springer.com/article/10.1007/s10270-020-00856-9</t>
  </si>
  <si>
    <t>The design of gas turbines is a challenging area of cyber-physical systems where complex model-based simulations across multiple disciplines (e.g., performance, aerothermal) drive the design process. As a result, a continuously increasing amount of data is derived during system design. Finding new insights in such data by exploiting various machine learning (ML) techniques is a promising industrial trend since better predictions based on real data result in substantial product quality improvements and cost reduction. This paper presents a method that generates data from multi-paradigm simulation tools, develops and trains ML models for prediction, and deploys such prediction models into an active control system operating at runtime with limited computational power. We explore the replacement of existing traditional prediction modules with ML counterparts with different architectures. We validate the effectiveness of various ML models in the context of three (real) gas turbine bearings using over 150,000 data points for training, validation, and testing. We introduce code generation techniques for automated deployment of neural network models to industrial off-the-shelf programmable logic controllers.</t>
  </si>
  <si>
    <t>Code generation from a graphical user interface via attention-based encoder–decoder model</t>
  </si>
  <si>
    <t>Wen-Yin Chen; Pavol Podstreleny; Wen-Huang Cheng; Yung-Yao Chen; Kai-Lung Hua</t>
  </si>
  <si>
    <t>Multimedia Systems</t>
  </si>
  <si>
    <t>https://link.springer.com/article/10.1007/s00530-021-00804-7</t>
  </si>
  <si>
    <t>Automated and non-intrusive provenance capture with UML2PROV</t>
  </si>
  <si>
    <t>Carlos Sáenz-Adán; Francisco J. García-Izquierdo; Beatriz Pérez; Trung Dong Huynh; Luc Moreau</t>
  </si>
  <si>
    <t>https://link.springer.com/article/10.1007/s00607-021-01012-x</t>
  </si>
  <si>
    <t>AbstractData provenance is a form of knowledge graph providing an account of what a system performs, describing the data involved, and the processes carried out over them. It is crucial to ascertaining the origin of data, validating their quality, auditing applications behaviours, and, ultimately, making them accountable. However, instrumenting applications, especially legacy ones, to track the provenance of their operations remains a significant technical hurdle, hindering the adoption of provenance technology. UML2PROV is a software-engineering methodology that facilitates the instrumentation of provenance recording in applications designed with UML diagrams. It automates the generation of (1) templates for the provenance to be recorded and (2) the code to capture values required to instantiate those templates from an application at run time, both from the application’s UML diagrams. By so doing, UML2PROV frees application developers from manual instrumentation of provenance capturing while ensuring the quality of recorded provenance. In this paper, we present in detail UML2PROV’s approach to generating application code for capturing provenance values via the means of Bindings Generation Module (BGM). In particular, we propose a set of requirements for BGM implementations and describe an event-based design of BGM that relies on the Aspect-Oriented Programming (AOP) paradigm to automatically weave the generated code into an application. Finally, we present three different BGM implementations following the above design and analyze their pros and cons in terms of computing/storage overheads and implications to provenance consumers.</t>
  </si>
  <si>
    <t>An Investigation of Currently Used Aspects in Model Transformation Development</t>
  </si>
  <si>
    <t>Ana Patrícia Magalhães; Rita Suzana P. Maciel; Aline Maria S. Andrade</t>
  </si>
  <si>
    <t>Enterprise Information Systems</t>
  </si>
  <si>
    <t>https://link.springer.com/chapter/10.1007/978-3-030-75418-1_19</t>
  </si>
  <si>
    <t>Applies Deep Learning and ontology-based AI techniques to textual software requirements for automated conceptual model generation.</t>
  </si>
  <si>
    <t>Research perspectives on animal health in the era of artificial intelligence</t>
  </si>
  <si>
    <t>Pauline Ezanno; Sébastien Picault; Gaël Beaunée; Xavier Bailly; Facundo Muñoz; Raphaël Duboz; Hervé Monod; Jean-François Guégan</t>
  </si>
  <si>
    <t>Veterinary Research</t>
  </si>
  <si>
    <t>https://link.springer.com/article/10.1186/s13567-021-00902-4</t>
  </si>
  <si>
    <t>AbstractLeveraging artificial intelligence (AI) approaches in animal health (AH) makes it possible to address highly complex issues such as those encountered in quantitative and predictive epidemiology, animal/human precision-based medicine, or to study host × pathogen interactions. AI may contribute (i) to diagnosis and disease case detection, (ii) to more reliable predictions and reduced errors, (iii) to representing more realistically complex biological systems and rendering computing codes more readable to non-computer scientists, (iv) to speeding-up decisions and improving accuracy in risk analyses, and (v) to better targeted interventions and anticipated negative effects. In turn, challenges in AH may stimulate AI research due to specificity of AH systems, data, constraints, and analytical objectives. Based on a literature review of scientific papers at the interface between AI and AH covering the period 2009–2019, and interviews with French researchers positioned at this interface, the present study explains the main AH areas where various AI approaches are currently mobilised, how it may contribute to renew AH research issues and remove methodological or conceptual barriers. After presenting the possible obstacles and levers, we propose several recommendations to better grasp the challenge represented by the AH/AI interface. With the development of several recent concepts promoting a global and multisectoral perspective in the field of health, AI should contribute to defract the different disciplines in AH towards more transversal and integrative research.</t>
  </si>
  <si>
    <t>Guest editorial to the special section of models 2019</t>
  </si>
  <si>
    <t>Tao Yue; Silvia Abrahão; Man Zhang</t>
  </si>
  <si>
    <t>https://link.springer.com/article/10.1007/s10270-021-00939-1</t>
  </si>
  <si>
    <t>A Model-Driven Development Framework for Satellite On-Board Software</t>
  </si>
  <si>
    <t>Junxiang Qin; Ninghu Yang; Yuxuan Wang; Jun Yang; Jinliang Du</t>
  </si>
  <si>
    <t>Wireless and Satellite Systems</t>
  </si>
  <si>
    <t>https://link.springer.com/chapter/10.1007/978-3-030-69072-4_27</t>
  </si>
  <si>
    <t>Model-Based Approach for Co-optimization of Safety and Security Objectives in Design of Critical Architectures</t>
  </si>
  <si>
    <t>Kunal Suri; Gabriel Pedroza; Patrick Leserf</t>
  </si>
  <si>
    <t>Model and Data Engineering</t>
  </si>
  <si>
    <t>https://link.springer.com/chapter/10.1007/978-3-030-78428-7_2</t>
  </si>
  <si>
    <t>Engineering Multi-agent Systems with Statecharts</t>
  </si>
  <si>
    <t>Nikolaos I. Spanoudakis</t>
  </si>
  <si>
    <t>https://link.springer.com/article/10.1007/s42979-021-00706-5</t>
  </si>
  <si>
    <t>Reverse Engineering: The University Distributed Services</t>
  </si>
  <si>
    <t>M. Amin Yazdi; Marius Politze</t>
  </si>
  <si>
    <t>Proceedings of the Future Technologies Conference (FTC) 2020, Volume 2</t>
  </si>
  <si>
    <t>https://link.springer.com/chapter/10.1007/978-3-030-63089-8_14</t>
  </si>
  <si>
    <t>Modeling data protection and privacy: application and experience with GDPR</t>
  </si>
  <si>
    <t>Damiano Torre; Mauricio Alferez; Ghanem Soltana; Mehrdad Sabetzadeh; Lionel Briand</t>
  </si>
  <si>
    <t>https://link.springer.com/article/10.1007/s10270-021-00935-5</t>
  </si>
  <si>
    <t>In Europe and indeed worldwide, the General Data Protection Regulation (GDPR) provides protection to individuals regarding their personal data in the face of new technological developments. GDPR is widely viewed as the benchmark for data protection and privacy regulations that harmonizes data privacy laws across Europe. Although the GDPR is highly beneficial to individuals, it presents significant challenges for organizations monitoring or storing personal information. Since there is currently no automated solution with broad industrial applicability, organizations have no choice but to carry out expensive manual audits to ensure GDPR compliance. In this paper, we present a complete GDPR UML model as a first step toward designing automated methods for checking GDPR compliance. Given that the practical application of the GDPR is influenced by national laws of the EU Member States, we suggest a two-tiered description of the GDPR, generic and specialized. In this paper, we provide (1) the GDPR conceptual model we developed with complete traceability from its classes to the GDPR, (2) a glossary to help understand the model, (3) the plain-English description of 35 compliance rules derived from GDPR along with their encoding in OCL and (4) the set of 20 variations points derived from GDPR to specialize the generic model. We further present the challenges we faced in our modeling endeavor, the lessons we learned from it and future directions for research.</t>
  </si>
  <si>
    <t>Comprehensive Systems: A formal foundation for Multi-Model Consistency Management</t>
  </si>
  <si>
    <t>Patrick Stünkel; Harald König; Yngve Lamo; Adrian Rutle</t>
  </si>
  <si>
    <t>https://link.springer.com/article/10.1007/s00165-021-00555-2</t>
  </si>
  <si>
    <t>Abstract
            Model management is a central activity in Software Engineering. The most challenging aspect of model management is to keep inter-related models consistent with each other while they evolve. As a consequence, there is a lot of scientific activity in this area, which has produced an extensive body of knowledge, methods, results and tools. The majority of these approaches, however, are limited to binary inter-model relations; i.e. the synchronisation of exactly two models. Yet, not every multi-ary relation can be factored into a family of  binary relations. In this paper, we propose and investigate a novel
            comprehensive system
            construction, which is able to represent multi-ary relations among multiple models in an
            integrated
            manner and thus serves as a
            formal
 foundation
            for artefacts used in consistency management activities involving multiple models. The construction is based on the definition of
            partial
            commonalities among a set of models using the same language, which is used to denote the (local) models. The main
            theoretical
            results of this paper are proofs of the facts that comprehensive systems are an admissible environment for (i) applying formal means of consistency verification (diagrammatic predicate framework), (ii) performing algebraic graph transformation (weak adhesive HLR category), and (iii) that they generalise the underlying setting of graph diagrams and triple graph grammars.</t>
  </si>
  <si>
    <t>Modelling on mobile devices</t>
  </si>
  <si>
    <t>Léa Brunschwig; Esther Guerra; Juan de Lara</t>
  </si>
  <si>
    <t>https://link.springer.com/article/10.1007/s10270-021-00897-8</t>
  </si>
  <si>
    <t>Method for building an information model specification based on a sensemaking approach to user involvement in the development process</t>
  </si>
  <si>
    <t>Vyacheslav S. Lapshin; Yuri I. Rogozov; Sergey A. Kucherov</t>
  </si>
  <si>
    <t>https://link.springer.com/article/10.1016/j.jksuci.2021.04.016</t>
  </si>
  <si>
    <t>The ongoing problem of inconsistency in the stages of system development encourages the development and elaboration of approaches and methods aimed at eliminating the causes of their occurrence. According to the research community, one of the most promising approaches is to involve users in the development process. Six directions in the implementation of the approach to user involvement in the system development process were formed and analyzed in the article. The analysis of the applicability of such approaches and methods to the task of involving the user in the process of developing an information data model is carried out. The problems of this direction were highlighted. To solve these problems, the sensemaking approach principles which is a development of the methodology for sensemaking proposed by Brenda Dervin, are proposed to use. On the basis of the proposed sensemaking approach, the implementation of the proposed approach is shown with the help of the development of the method, a method for constructing the specification of the information model was developed. The steps of the method are represented by methods that implement the idea of involving the user in the development process by analyzing his work with elements of documentation support.</t>
  </si>
  <si>
    <t>In this work, we investigate the problem of revealing the functionality of a black-box agent. Notably, we are interested in the interpretable and formal description of the behavior of such an agent. Ideally, this description would take the form of a program written in a high-level language. This task is also known as reverse engineering and plays a pivotal role in software engineering, computer security, but also most recently in interpretability. In contrast to prior work, we do not rely on privileged information on the black box, but rather investigate the problem under a weaker assumption of having only access to inputs and outputs of the program. We approach this problem by iteratively refining a candidate set using a generative neural program synthesis approach until we arrive at a functionally equivalent program. We assess the performance of our approach on the Karel dataset. Our results show that the proposed approach outperforms the state-of-the-art on this challenge by finding an approximately functional equivalent program in 78% of cases -- even exceeding prior work that had privileged information on the black-box.</t>
  </si>
  <si>
    <t>Applies generative neural program synthesis for reverse-engineering black-box agent behavior into interpretable program models.</t>
  </si>
  <si>
    <t>Applies Deep Learning to extract decision modeling (DMN) components from natural language text requirements.</t>
  </si>
  <si>
    <t>Model-based intelligent user interface adaptation: challenges and future directions</t>
  </si>
  <si>
    <t>Silvia Abrahão; Emilio Insfran; Arthur Sluÿters; Jean Vanderdonckt</t>
  </si>
  <si>
    <t>https://link.springer.com/article/10.1007/s10270-021-00909-7</t>
  </si>
  <si>
    <t>AbstractAdapting the user interface of a software system to the requirements of the context of use continues to be a major challenge, particularly when users become more demanding in terms of adaptation quality. A considerable number of methods have, over the past three decades, provided some form of modelling with which to support user interface adaptation. There is, however, a crucial issue as regards in analysing the concepts, the underlying knowledge, and the user experience afforded by these methods as regards comparing their benefits and shortcomings. These methods are so numerous that positioning a new method in the state of the art is challenging. This paper, therefore, defines a conceptual reference framework for intelligent user interface adaptation containing a set of conceptual adaptation properties that are useful for model-based user interface adaptation. The objective of this set of properties is to understand any method, to compare various methods and to generate new ideas for adaptation. We also analyse the opportunities that machine learning techniques could provide for data processing and analysis in this context, and identify some open challenges in order to guarantee an appropriate user experience for end-users. The relevant literature and our experience in research and industrial collaboration have been used as the basis on which to propose future directions in which these challenges can be addressed.</t>
  </si>
  <si>
    <t>Challenges and Frontiers in Implementing Artificial Intelligence in Process Industry</t>
  </si>
  <si>
    <t>Marcus J. Neuer; Andreas Wolff; Norbert Holzknecht</t>
  </si>
  <si>
    <t>Impact and Opportunities of Artificial Intelligence Techniques in the Steel Industry</t>
  </si>
  <si>
    <t>https://link.springer.com/chapter/10.1007/978-3-030-69367-1_1</t>
  </si>
  <si>
    <t>Guest editorial to the theme section on Multi-Paradigm Modeling for Cyber-Physical Systems</t>
  </si>
  <si>
    <t>Eugene Syriani; Manuel Wimmer</t>
  </si>
  <si>
    <t>https://link.springer.com/article/10.1007/s10270-021-00882-1</t>
  </si>
  <si>
    <t>This theme section aims to disseminate the latest research results in the area of Multi-Paradigm Modeling for Cyber-Physical Systems (MPM4CPS). MPM has a long tradition within the Model-Driven Engineering community, e.g., several workshops have been held at the MODELS conference for over more than a decade. The MPM4CPS workshop series is a continuation of the successful MPM workshop series with a stronger focus on CPS as especially these systems pose several new challenges on the engineering process and beyond. This theme section covers papers on the foundations and applications of MPM for CPS. In total, we accepted five submissions for publication in the theme section after a thorough peer-reviewing process.</t>
  </si>
  <si>
    <t>Pyrus: An Online Modeling Environment for No-Code Data-Analytics Service Composition</t>
  </si>
  <si>
    <t>Philip Zweihoff; Bernhard Steffen</t>
  </si>
  <si>
    <t>Leveraging Applications of Formal Methods, Verification and Validation</t>
  </si>
  <si>
    <t>https://link.springer.com/chapter/10.1007/978-3-030-89159-6_2</t>
  </si>
  <si>
    <t>The stochastic aeroelastic response analysis of helicopter rotors using deep and shallow machine learning</t>
  </si>
  <si>
    <t>Tanmoy Chatterjee; Aniekan Essien; Ranjan Ganguli; Michael I. Friswell</t>
  </si>
  <si>
    <t>Neural Computing and Applications</t>
  </si>
  <si>
    <t>https://link.springer.com/article/10.1007/s00521-021-06288-w</t>
  </si>
  <si>
    <t>AbstractThis paper addresses the influence of manufacturing variability of a helicopter rotor blade on its aeroelastic responses. An aeroelastic analysis using finite elements in spatial and temporal domains is used to compute the helicopter rotor frequencies, vibratory hub loads, power required and stability in forward flight. The novelty of the work lies in the application of advanced data-driven machine learning (ML) techniques, such as convolution neural networks (CNN), multi-layer perceptron (MLP), random forests, support vector machines and adaptive Gaussian process (GP) for capturing the nonlinear responses of these complex spatio-temporal models to develop an efficient physics-informed ML framework for stochastic rotor analysis. Thus, the work is of practical significance as (i) it accounts for manufacturing uncertainties, (ii) accurately quantifies their effects on nonlinear response of rotor blade and (iii) makes the computationally expensive simulations viable by the use of ML. A rigorous performance assessment of the aforementioned approaches is presented by demonstrating validation on the training dataset and prediction on the test dataset. The contribution of the study lies in the following findings: (i) The uncertainty in composite material and geometric properties can lead to significant variations in the rotor aeroelastic responses and thereby highlighting that the consideration of manufacturing variability in analyzing helicopter rotors is crucial for assessing their behaviour in real-life scenarios. (ii) Precisely, the substantial effect of uncertainty has been observed on the six vibratory hub loads and the damping with the highest impact on the yawing hub moment. Therefore, sufficient factor of safety should be considered in the design to alleviate the effects of perturbation in the simulation results. (iii) Although advanced ML techniques are harder to train, the optimal model configuration is capable of approximating the nonlinear response trends accurately. GP and CNN followed by MLP achieved satisfactory performance. Excellent accuracy achieved by the above ML techniques demonstrates their potential for application in the optimization of rotors under uncertainty.</t>
  </si>
  <si>
    <t>Efficient model similarity estimation with robust hashing</t>
  </si>
  <si>
    <t>Salvador Martínez; Sébastien Gérard; Jordi Cabot</t>
  </si>
  <si>
    <t>https://link.springer.com/article/10.1007/s10270-021-00915-9</t>
  </si>
  <si>
    <t>A Study on the State of Artificial Intelligence in the Design Phase of Software Engineering</t>
  </si>
  <si>
    <t>Mriganka Shekhar Sarmah; Jediael Meshua Sumer; Marlom Bey; Bobby Sharma</t>
  </si>
  <si>
    <t>Smart Computing Techniques and Applications</t>
  </si>
  <si>
    <t>https://link.springer.com/chapter/10.1007/978-981-16-0878-0_46</t>
  </si>
  <si>
    <t>Formal requirements modeling for cyber-physical systems engineering: an integrated solution based on FORM-L and Modelica</t>
  </si>
  <si>
    <t>Daniel Bouskela; Alberto Falcone; Alfredo Garro; Audrey Jardin; Martin Otter; Nguyen Thuy; Andrea Tundis</t>
  </si>
  <si>
    <t>Requirements Engineering</t>
  </si>
  <si>
    <t>https://link.springer.com/article/10.1007/s00766-021-00359-z</t>
  </si>
  <si>
    <t>AbstractThe increasing complexity of cyber-physical systems (CPSs) makes their design, development and operation extremely challenging. Due to the nature of CPS that involves many heterogeneous components, which are often designed and developed by organizations belonging to different engineering domains, it is difficult to manage, trace and verify their properties, requirements and constraints throughout their lifecycle by using classical techniques. In this context, the paper presents an integrated solution to formally define system requirements and automate their verification through simulation. The solution is based on the FOrmal Requirements Modeling Language and the Modelica language. The solution is exemplified through two case studies concerning a Trailing-Edge High-Lift system and a Heating, Ventilation and Air Conditioning system.</t>
  </si>
  <si>
    <t>Creating Web Decision-Making Modules on the Basis of Decision Tables Transformations</t>
  </si>
  <si>
    <t>Aleksandr Yu. Yurin; Nikita O. Dorodnykh</t>
  </si>
  <si>
    <t>Modelling and Development of Intelligent Systems</t>
  </si>
  <si>
    <t>https://link.springer.com/chapter/10.1007/978-3-030-68527-0_11</t>
  </si>
  <si>
    <t>MATTER: A tool for generating end-to-end IoT test scripts</t>
  </si>
  <si>
    <t>Dario Olianas; Maurizio Leotta; Filippo Ricca</t>
  </si>
  <si>
    <t>https://link.springer.com/article/10.1007/s11219-021-09565-y</t>
  </si>
  <si>
    <t>AbstractIn the last few years, Internet of Things (IoT) systems have drastically increased their relevance in many fundamental sectors. For this reason, assuring their quality is of paramount importance, especially in safety-critical contexts. Unfortunately, few quality assurance proposals for assuring the quality of these complex systems are present in the literature. In this paper, we extended and improved our previous approach for semi-automated model-based generation of executable test scripts. Our proposal is oriented to system-level acceptance testing of IoT systems. We have implemented a prototype tool taking in input a UML model of the system under test and some additional artefacts, and producing in output a test suite that checks if the system’s behaviour is compliant with such a model. We empirically evaluated our tool employing two IoT systems: a mobile health IoT system for diabetic patients and a smart park management system part of a smart city project. Both systems involve sensors or actuators, smartphones, and a remote cloud server. Results show that the test suites generated with our tool have been able to kill 91% of the overall 260 generated mutants (i.e. artificial bugged versions of the two considered systems). Moreover, the optimisation introduced in this novel version of our prototype, based on a minimisation post-processing step, allowed to reduce the time required for executing the entire test suites (about -20/25%) with no adverse effect on the bug-detection capability.</t>
  </si>
  <si>
    <t>Microservice compositions based on the choreography of BPMN fragments: facing evolution issues</t>
  </si>
  <si>
    <t>Jesus Ortiz; Victoria Torres; Pedro Valderas</t>
  </si>
  <si>
    <t>https://link.springer.com/article/10.1007/s00607-022-01128-8</t>
  </si>
  <si>
    <t>AbstractBusiness Processes (BPs) are commonly used by organizations to describe their goals. However, the existent decentralization found in many organizations forces them to build such BPs by coordinating distributed and fragmented BPs. Within this context, microservices arise as a very interesting and convenient way to address the implementation of such processes due to their low coupling characteristic. In this case, the coordination of such fragmented BPs is usually achieved by means of event-based choreographies. One of the main challenges to be faced by choreographies is their evolution due to the complexity that introduces the need of integrating changes among autonomous and independent partners. We face the challenge of evolving a microservice composition that is globally defined in a BPMN model but executed through a choreography of BPMN fragments. We introduce a protocol to manage the propagation of a change done by one microservice to be integrated into both the BPMN fragments of the rest of the microservices and the global BPMN model. This protocol also supports the negotiation among participants and the automatic suggestion of model adaptations to maintain the functional integrity of the composition. These suggestions are supported by a catalogue of adaptation rules that precisely characterize every possible change and propose actions to be considered by the affected microservices. All the evolution process is done at the modelling level, without managing hard-coded implementations. We have developed specific tools to facilitate the practical adoption of this protocol, and we have validated our work in an experiment with users. We can conclude that the proposed approach is effective to evolve microservice compositions implemented as event-based choreography of BPMN fragments from the local perspective of one partner.</t>
  </si>
  <si>
    <t>Integrated model-based design and functional hazard assessment with SysML on the example of a shock control bump system</t>
  </si>
  <si>
    <t>M. Schäfer; A. Berres; O. Bertram</t>
  </si>
  <si>
    <t>CEAS Aeronautical Journal</t>
  </si>
  <si>
    <t>https://link.springer.com/article/10.1007/s13272-022-00631-0</t>
  </si>
  <si>
    <t>AbstractIntegrating new functions into the aircraft can, for example, increase performance or reduce fuel consumption. Since the installation of such additional functions increases the overall aircraft complexity, it is crucial to adapt methods and tools that support the development and ensure traceability, consistency, and verifiability. In this context, model-based systems engineering and the associated Systems Modeling Language (SysML) have been established as a standard methodology. This paper presents an overview of a system development and modeling process with SysML at the concept design stage using a position-variable shock control bumps system as an example. In addition to the system modeling, safety and reliability analyses have to be considered during the design process. To keep both, the model and the associated safety assessment consistent, this work introduces an extension of SysML to enable the execution of a functional hazard assessment (FHA) according to the ARP4754A and ARP 4761 guidelines. This is the first step in conducting a model-based safety assessment. Furthermore, a modeling process with concepts management methods is performed. In summary, the presented modeling process consists of three main parts: the system modeling, functional hazard assessment and concept management.</t>
  </si>
  <si>
    <t>SysML modeling of service-oriented system-of-systems</t>
  </si>
  <si>
    <t>Jerker Delsing; Géza KulcsárØystein Haugen</t>
  </si>
  <si>
    <t>Innovations in Systems and Software Engineering</t>
  </si>
  <si>
    <t>https://link.springer.com/article/10.1007/s11334-022-00455-5</t>
  </si>
  <si>
    <t>AbstractThe success of the ongoing fourth industrial revolution largely depends on our ways to cope with the novel design challenges arising from a combination of an enormous increase in process and product complexity, as well as the expected autonomy and self-organization of complex and diverse industrial hardware–software installments, often called systems-of-systems. In this paper, we employ the service-oriented architectural paradigm, as materialized in the Eclipse Arrowhead framework, to represent modern systems engineering principles and their open structural principles and, thus, relevance to flexible and adaptive systems. As for adequately capturing the structural aspect, we propose using model-based engineering techniques and, in particular, a SysML-based specialization of systems modeling. The approach is illustrated by a real-life use-case in industrial automation.</t>
  </si>
  <si>
    <t>UML and NFR-framework based method for the analysis of the requirements of an information system</t>
  </si>
  <si>
    <t>Mohd. Arif; Chaudhary Wali Mohammad; Mohd. Sadiq</t>
  </si>
  <si>
    <t>International Journal of Information Technology</t>
  </si>
  <si>
    <t>https://link.springer.com/article/10.1007/s41870-022-01112-7</t>
  </si>
  <si>
    <t>Design of classical-quantum systems with UML</t>
  </si>
  <si>
    <t>Ricardo Pérez-Castillo; Mario Piattini</t>
  </si>
  <si>
    <t>https://link.springer.com/article/10.1007/s00607-022-01091-4</t>
  </si>
  <si>
    <t>AbstractDevelopers of the many promising quantum computing applications that currently exist are urging companies in many different sectors seriously consider integrating this new technology into their business. For these applications to function, not only are quantum computers required, but quantum software also. Accordingly, quantum software engineering has become an important research field, in that it attempts to apply or adapt existing methods and techniques (or propose new ones) for the analysis, design, coding, and testing of quantum software, as well as playing a key role in ensuring quality in large-scale productions. The design of quantum software nevertheless poses two main challenges: the modelling of software quantum elements must be done in high-level modelling languages; and the need to further develop so-called “hybrid information systems”, which combine quantum and classical software. To address these challenges, we first propose a quantum UML profile for analysing and designing hybrid information systems; we then demonstrate its applicability through various structural and behavioural diagrams such as use case, class, sequence, activity, and deployment. In comparison to certain other quantum domain-specific languages, this UML profile ensures compliance with a well-known international standard that is supported by many tools and is followed by an extensive community.</t>
  </si>
  <si>
    <t>Guest editorial to the theme section on AI-enhanced model-driven engineering</t>
  </si>
  <si>
    <t>Lola Burgueño; Jordi Cabot; Manuel Wimmer; Steffen Zschaler</t>
  </si>
  <si>
    <t>https://link.springer.com/article/10.1007/s10270-022-00988-0</t>
  </si>
  <si>
    <t>Low-code development and model-driven engineering: Two sides of the same coin?</t>
  </si>
  <si>
    <t>Davide Di Ruscio; Dimitris Kolovos; Juan de Lara; Alfonso Pierantonio; Massimo Tisi; Manuel Wimmer</t>
  </si>
  <si>
    <t>https://link.springer.com/article/10.1007/s10270-021-00970-2</t>
  </si>
  <si>
    <t>AbstractThe last few years have witnessed a significant growth of so-called low-code development platforms (LCDPs) both in gaining traction on the market and attracting interest from academia. LCDPs are advertised as visual development platforms, typically running on the cloud, reducing the need for manual coding and also targeting non-professional programmers. Since LCDPs share many of the goals and features of model-driven engineering approaches, it is a common point of debate whether low-code is just a new buzzword for model-driven technologies, or whether the two terms refer to genuinely distinct approaches. To contribute to this discussion, in this expert-voice paper, we compare and contrast low-code and model-driven approaches, identifying their differences and commonalities, analysing their strong and weak points, and proposing directions for cross-pollination.</t>
  </si>
  <si>
    <t>AbstractArtificial intelligence has already proven to be a powerful tool to automate and improve how we deal with software development processes. The application of artificial intelligence to model-driven engineering projects is becoming more and more popular; however, within the model repair field, the use of this technique remains mostly an open challenge. In this paper, we explore some existing approaches in the field of AI-powered model repair. From the existing approaches in this field, we identify a series of challenges which the community needs to overcome. In addition, we present a number of research opportunities by taking inspiration from other fields which have successfully used artificial intelligence, such as code repair. Moreover, we discuss the connection between the existing approaches and the opportunities with the identified challenges. Finally, we present the outcomes of our experience of applying artificial intelligence to model repair.</t>
  </si>
  <si>
    <t>Applies Artificial Intelligence techniques to perform automated model repair in Model-Driven Engineering (MDE) with primary empirical insights.</t>
  </si>
  <si>
    <t>Automatic Code Generation of User-centered Serious Games: A Decade in Review</t>
  </si>
  <si>
    <t>P. O. Silva-Vásquez; V. Y. Rosales-Morales; E. Benítez-Guerrero</t>
  </si>
  <si>
    <t>Programming and Computer Software</t>
  </si>
  <si>
    <t>https://link.springer.com/article/10.1134/S0361768822080187</t>
  </si>
  <si>
    <t>BPM supported model generation by contemplating key elements of information security</t>
  </si>
  <si>
    <t>M. Mythily; Sanchari Saha; Sudhakar Selvam; Iwin Thanakumar Joseph Swamidason</t>
  </si>
  <si>
    <t>https://link.springer.com/article/10.1007/s10515-022-00321-5</t>
  </si>
  <si>
    <t>Automated credit assessment framework using ETL process and machine learning</t>
  </si>
  <si>
    <t>Neepa Biswas; Anindita Sarkar Mondal; Ari Kusumastuti; Swati Saha; Kartick Chandra Mondal</t>
  </si>
  <si>
    <t>https://link.springer.com/article/10.1007/s11334-022-00522-x</t>
  </si>
  <si>
    <t>In the current business scenario, real-time analysis of enterprise data through Business Intelligence (BI) is crucial for supporting operational activities and taking any strategic decision. The automated ETL (extraction, transformation, and load) process ensures data ingestion into the data warehouse in near real-time, and insights are generated through the BI process based on real-time data. In this paper, we have concentrated on automated credit risk assessment in the financial domain based on the machine learning approach. The machine learning-based classification techniques can furnish a self-regulating process to categorize data. Establishing an automated credit decision-making system helps the lending institution to manage the risks, increase operational efficiency and comply with regulators. In this paper, an empirical approach is taken for credit risk assessment using logistic regression and neural network classification method in compliance with Basel II standards. Here, Basel II standards are adopted to calculate the expected loss. The required data integration for building machine learning models is done through an automated ETL process. We have concluded this research work by evaluating this new methodology for credit risk assessment.</t>
  </si>
  <si>
    <t>Guest editorial for the special section on MODELS 2020</t>
  </si>
  <si>
    <t>Silvia Abrahão; Juan de Lara; Houari Sahraoui; Eugene Syriani</t>
  </si>
  <si>
    <t>https://link.springer.com/article/10.1007/s10270-022-01044-7</t>
  </si>
  <si>
    <t>The performance of artificial intelligence-driven technologies in diagnosing mental disorders: an umbrella review</t>
  </si>
  <si>
    <t>Alaa Abd-alrazaq; Dari Alhuwail; Jens Schneider; Carla T. Toro; Arfan Ahmed; Mahmood Alzubaidi; Mohannad Alajlani; Mowafa Househ</t>
  </si>
  <si>
    <t>npj Digital Medicine</t>
  </si>
  <si>
    <t>https://link.springer.com/article/10.1038/s41746-022-00631-8</t>
  </si>
  <si>
    <t>AbstractArtificial intelligence (AI) has been successfully exploited in diagnosing many mental disorders. Numerous systematic reviews summarize the evidence on the accuracy of AI models in diagnosing different mental disorders. This umbrella review aims to synthesize results of previous systematic reviews on the performance of AI models in diagnosing mental disorders. To identify relevant systematic reviews, we searched 11 electronic databases, checked the reference list of the included reviews, and checked the reviews that cited the included reviews. Two reviewers independently selected the relevant reviews, extracted the data from them, and appraised their quality. We synthesized the extracted data using the narrative approach. We included 15 systematic reviews of 852 citations identified. The included reviews assessed the performance of AI models in diagnosing Alzheimer’s disease (n = 7), mild cognitive impairment (n = 6), schizophrenia (n = 3), bipolar disease (n = 2), autism spectrum disorder (n = 1), obsessive-compulsive disorder (n = 1), post-traumatic stress disorder (n = 1), and psychotic disorders (n = 1). The performance of the AI models in diagnosing these mental disorders ranged between 21% and 100%. AI technologies offer great promise in diagnosing mental health disorders. The reported performance metrics paint a vivid picture of a bright future for AI in this field. Healthcare professionals in the field should cautiously and consciously begin to explore the opportunities of AI-based tools for their daily routine. It would also be encouraging to see a greater number of meta-analyses and further systematic reviews on performance of AI models in diagnosing other common mental disorders such as depression and anxiety.</t>
  </si>
  <si>
    <t>Applying Machine Learning in Sociology: How to Predict Gender and Reveal Research Preferences</t>
  </si>
  <si>
    <t>Raphael H. Heiberger</t>
  </si>
  <si>
    <t>KZfSS Kölner Zeitschrift für Soziologie und Sozialpsychologie</t>
  </si>
  <si>
    <t>https://link.springer.com/article/10.1007/s11577-022-00839-2</t>
  </si>
  <si>
    <t>Applies AI / Knowledge Graph techniques to automatically construct process knowledge graphs from BPMN software/process models.</t>
  </si>
  <si>
    <t>Applies Model-Driven Engineering to structure, model, and integrate Machine Learning pipelines and software architectures for IoT systems.</t>
  </si>
  <si>
    <t>Development of Mobile Robots based on Wireless Robotic Components using UML and Hierarchical Colored Petri Nets</t>
  </si>
  <si>
    <t>Fernando D. Von Borstel; J. Francisco Villa-Medina; Joaquín Gutiérrez</t>
  </si>
  <si>
    <t>https://link.springer.com/article/10.1007/s10846-021-01549-1</t>
  </si>
  <si>
    <t>FlexPDA: A Flexible Programming Framework for Deep Learning Accelerators</t>
  </si>
  <si>
    <t>Lei Liu; Xiu Ma; Hua-Xiao Liu; Guang-Li Li; Lei Liu</t>
  </si>
  <si>
    <t>https://link.springer.com/article/10.1007/s11390-021-1406-9</t>
  </si>
  <si>
    <t>Applies Artificial Intelligence to automate interactive domain modeling and ensure model traceability.</t>
  </si>
  <si>
    <t>Applies Reinforcement Learning (Q-learning) to automate customizable model repair and error resolution in MDE.</t>
  </si>
  <si>
    <t>An Executable Systems Modeling Language (ESysML): Motivations and Overview of Language Structure</t>
  </si>
  <si>
    <t>Matthew Amissah; Holly Handley</t>
  </si>
  <si>
    <t>Recent Trends and Advances in Model Based Systems Engineering</t>
  </si>
  <si>
    <t>https://link.springer.com/chapter/10.1007/978-3-030-82083-1_26</t>
  </si>
  <si>
    <t>A Smart system in Manufacturing with Mass Personalization (S-MMP) for blueprint and scenario driven by industrial model transformation</t>
  </si>
  <si>
    <t>Xianyu Zhang; Xinguo Ming</t>
  </si>
  <si>
    <t>https://link.springer.com/article/10.1007/s10845-021-01883-z</t>
  </si>
  <si>
    <t>Mobile Application Code Generation Approaches: A Survey</t>
  </si>
  <si>
    <t>Shaymaa Sayed El-Kaliouby; Ahmed H. Yousef; Sahar Selim</t>
  </si>
  <si>
    <t>Advances in Model and Data Engineering in the Digitalization Era</t>
  </si>
  <si>
    <t>https://link.springer.com/chapter/10.1007/978-3-031-23119-3_10</t>
  </si>
  <si>
    <t>Evaluation of Selected Artificial Intelligence Technologies for Innovative Business Intelligence Applications</t>
  </si>
  <si>
    <t>Antoni Ligęza; Krzysztof Kluza; Paweł Jemioło; Dominik Sepioło; Piotr Wiśniewski; Krystian Jobczyk</t>
  </si>
  <si>
    <t>Advances in Systems Engineering</t>
  </si>
  <si>
    <t>https://link.springer.com/chapter/10.1007/978-3-030-92604-5_11</t>
  </si>
  <si>
    <t>Exploring the concept of Cognitive Digital Twin from model-based systems engineering perspective</t>
  </si>
  <si>
    <t>Lu Jinzhi; Yang Zhaorui; Zheng Xiaochen; Wang Jian; Kiritsis Dimitris</t>
  </si>
  <si>
    <t>The International Journal of Advanced Manufacturing Technology</t>
  </si>
  <si>
    <t>https://link.springer.com/article/10.1007/s00170-022-09610-5</t>
  </si>
  <si>
    <t>A Survey-driven Feature Model for Software Traceability Approaches</t>
  </si>
  <si>
    <t>Edouard Romari Batot; Sebastien Gérard; Jordi Cabot</t>
  </si>
  <si>
    <t>Fundamental Approaches to Software Engineering</t>
  </si>
  <si>
    <t>https://link.springer.com/chapter/10.1007/978-3-030-99429-7_2</t>
  </si>
  <si>
    <t>Probabilistic Model Checking of BPMN Processes at Runtime</t>
  </si>
  <si>
    <t>Yliès Falcone; Gwen Salaün; Ahang Zuo</t>
  </si>
  <si>
    <t>Integrated Formal Methods</t>
  </si>
  <si>
    <t>https://link.springer.com/chapter/10.1007/978-3-031-07727-2_11</t>
  </si>
  <si>
    <t>QMaxUSE: A Query-based Verification Tool for UML Class Diagrams with OCL Invariants</t>
  </si>
  <si>
    <t>Hao Wu</t>
  </si>
  <si>
    <t>https://link.springer.com/chapter/10.1007/978-3-030-99429-7_17</t>
  </si>
  <si>
    <t>Applied Machine Learning and Deep Learning to Predict Oil and Gas Production</t>
  </si>
  <si>
    <t>Nguyen Van Hung; Luong Khanh Loc; Nguyen Thi Thanh Huong; Nguyen Van Dung; Nguyen Minh Quy</t>
  </si>
  <si>
    <t>Proceedings of the 2nd Vietnam Symposium on Advances in Offshore Engineering</t>
  </si>
  <si>
    <t>https://link.springer.com/chapter/10.1007/978-981-16-7735-9_50</t>
  </si>
  <si>
    <t>Applies Natural Language Processing (NLP) techniques to preprocess requirements text for automated UML diagram generation.</t>
  </si>
  <si>
    <t>Model-Driven Engineering as the Interface for Tactical Operation Order of Mixed Robot/Human Platoons</t>
  </si>
  <si>
    <t>Nicolas Belloir; Jérémy Buisson; Lionel Touseau</t>
  </si>
  <si>
    <t>Developments and Advances in Defense and Security</t>
  </si>
  <si>
    <t>https://link.springer.com/chapter/10.1007/978-981-16-4884-7_16</t>
  </si>
  <si>
    <t>Assisted-Modeling Requirements for Model-Driven Development Tools</t>
  </si>
  <si>
    <t>David Mosquera; Marcela Ruiz; Oscar Pastor; Jürgen Spielberger</t>
  </si>
  <si>
    <t>https://link.springer.com/chapter/10.1007/978-3-031-05760-1_27</t>
  </si>
  <si>
    <t>Applies Machine Learning to Infrastructure-as-Code (IaC) specification models to detect linguistic inconsistencies.</t>
  </si>
  <si>
    <t>Exploratory Study on Students’ Understanding of Multi-perspective Modelling</t>
  </si>
  <si>
    <t>Charlotte Verbruggen; Monique Snoeck</t>
  </si>
  <si>
    <t>https://link.springer.com/chapter/10.1007/978-3-031-07475-2_22</t>
  </si>
  <si>
    <t>Optimized Code Generation for Deep Neural Networks</t>
  </si>
  <si>
    <t>Janaan Lake; Tharindu R. Patabandi; Mary Hall</t>
  </si>
  <si>
    <t>Languages and Compilers for Parallel Computing</t>
  </si>
  <si>
    <t>https://link.springer.com/chapter/10.1007/978-3-030-95953-1_9</t>
  </si>
  <si>
    <t>Modelling in low-code development: a multi-vocal systematic review</t>
  </si>
  <si>
    <t>Alessio Bucaioni; Antonio Cicchetti; Federico Ciccozzi</t>
  </si>
  <si>
    <t>https://link.springer.com/article/10.1007/s10270-021-00964-0</t>
  </si>
  <si>
    <t>Leveraging Standards in Model-Centric Geospatial Knowledge Graph Creation</t>
  </si>
  <si>
    <t>Diego Vinasco-Alvarez</t>
  </si>
  <si>
    <t>The Semantic Web: ESWC 2022 Satellite Events</t>
  </si>
  <si>
    <t>https://link.springer.com/chapter/10.1007/978-3-031-11609-4_37</t>
  </si>
  <si>
    <t>Model-Driven Engineering in Digital Thread Platforms: A Practical Use Case and Future Challenges</t>
  </si>
  <si>
    <t>Hafiz Ahmad Awais Chaudhary; Ivan Guevara; Jobish John; Amandeep Singh; Amrita Ghosal; Dirk Pesch; Tiziana Margaria</t>
  </si>
  <si>
    <t>Leveraging Applications of Formal Methods, Verification and Validation. Practice</t>
  </si>
  <si>
    <t>https://link.springer.com/chapter/10.1007/978-3-031-19762-8_14</t>
  </si>
  <si>
    <t>SoSyM reflections: the 2021 "state of the journal" report</t>
  </si>
  <si>
    <t>Huseyin Ergin; Jeff Gray; Bernhard Rumpe; Martin Schindler</t>
  </si>
  <si>
    <t>https://link.springer.com/article/10.1007/s10270-022-00979-1</t>
  </si>
  <si>
    <t>Towards a Deep Learning Approach for Automatic GUI Layout Generation</t>
  </si>
  <si>
    <t>Xulu Yao; Moi Hoon Yap; Yanlong Zhang</t>
  </si>
  <si>
    <t>Proceedings of International Conference on Computing and Communication Networks</t>
  </si>
  <si>
    <t>https://link.springer.com/chapter/10.1007/978-981-19-0604-6_2</t>
  </si>
  <si>
    <t>Modeling in advanced systems engineering</t>
  </si>
  <si>
    <t>Jeff Gray; Bernhard Rumpe</t>
  </si>
  <si>
    <t>https://link.springer.com/article/10.1007/s10270-022-00999-x</t>
  </si>
  <si>
    <t>A novel manufacturing service model transformation method based on product lifecycle</t>
  </si>
  <si>
    <t>Tao Ding; Guangrong Yan; Zhenggan Zhou; Yi Lei</t>
  </si>
  <si>
    <t>Peer-to-Peer Networking and Applications</t>
  </si>
  <si>
    <t>https://link.springer.com/article/10.1007/s12083-022-01311-w</t>
  </si>
  <si>
    <t>Intelligent Software Engineering: The Significance of Artificial Intelligence Techniques in Enhancing Software Development Lifecycle Processes</t>
  </si>
  <si>
    <t>Vaishnavi Kulkarni; Anurag Kolhe; Jay Kulkarni</t>
  </si>
  <si>
    <t>Intelligent Systems Design and Applications</t>
  </si>
  <si>
    <t>https://link.springer.com/chapter/10.1007/978-3-030-96308-8_7</t>
  </si>
  <si>
    <t>Detecting Use Case Scenarios in Requirements Artifacts: A Deep Learning Approach</t>
  </si>
  <si>
    <t>Munima Jahan; Zahra Shakeri Hossein Abad; Behrouz Far</t>
  </si>
  <si>
    <t>Advances and Trends in Artificial Intelligence. Theory and Practices in Artificial Intelligence</t>
  </si>
  <si>
    <t>https://link.springer.com/chapter/10.1007/978-3-031-08530-7_57</t>
  </si>
  <si>
    <t>Empirical analysis of the tool support for software product lines</t>
  </si>
  <si>
    <t>José Miguel Horcas; Mónica Pinto; Lidia Fuentes</t>
  </si>
  <si>
    <t>https://link.springer.com/article/10.1007/s10270-022-01011-2</t>
  </si>
  <si>
    <t>Blended modeling in commercial and open-source model-driven software engineering tools: A systematic study</t>
  </si>
  <si>
    <t>Istvan David; Malvina Latifaj; Jakob Pietron; Weixing Zhang; Federico Ciccozzi; Ivano Malavolta; Alexander Raschke; Jan-Philipp Steghöfer; Regina Hebig</t>
  </si>
  <si>
    <t>https://link.springer.com/article/10.1007/s10270-022-01010-3</t>
  </si>
  <si>
    <t>A review of basic software for brain-inspired computing</t>
  </si>
  <si>
    <t>Peng Qu; Le Yang; Weimin Zheng; Youhui Zhang</t>
  </si>
  <si>
    <t>CCF Transactions on High Performance Computing</t>
  </si>
  <si>
    <t>https://link.springer.com/article/10.1007/s42514-022-00092-1</t>
  </si>
  <si>
    <t>AI-driven streamlined modeling: experiences and lessons learned from multiple domains</t>
  </si>
  <si>
    <t>Sagar Sunkle; Krati Saxena; Ashwini Patil; Vinay Kulkarni</t>
  </si>
  <si>
    <t>https://link.springer.com/article/10.1007/s10270-022-00982-6</t>
  </si>
  <si>
    <t>Stochastic Free Vibration and Impact Responses of Functionally Graded Plates: A Support Vector Machine Learning Model Approach</t>
  </si>
  <si>
    <t>Vaishali; P. K. Karsh; S. Kushari; R. R. Kumar; S. Dey</t>
  </si>
  <si>
    <t>Journal of Vibration Engineering &amp; Technologies</t>
  </si>
  <si>
    <t>https://link.springer.com/article/10.1007/s42417-022-00721-7</t>
  </si>
  <si>
    <t>A knowledge-driven approach for designing data analytics platforms</t>
  </si>
  <si>
    <t>Madhushi Bandara; Fethi A. Rabhi; Muneera Bano</t>
  </si>
  <si>
    <t>https://link.springer.com/article/10.1007/s00766-022-00385-5</t>
  </si>
  <si>
    <t>Conflict management techniques for model merging: a systematic mapping review</t>
  </si>
  <si>
    <t>Mohammadreza Sharbaf; Bahman Zamani; Gerson Sunyé</t>
  </si>
  <si>
    <t>https://link.springer.com/article/10.1007/s10270-022-01050-9</t>
  </si>
  <si>
    <t>Recommending metamodel concepts during modeling activities with pre-trained language models</t>
  </si>
  <si>
    <t>Martin Weyssow; Houari Sahraoui; Eugene Syriani</t>
  </si>
  <si>
    <t>https://link.springer.com/article/10.1007/s10270-022-00975-5</t>
  </si>
  <si>
    <t>Model-driven design space exploration for multi-robot systems in simulation</t>
  </si>
  <si>
    <t>James Harbin; Simos Gerasimou; Nicholas Matragkas; Thanos Zolotas; Radu Calinescu; Misael Alpizar Santana</t>
  </si>
  <si>
    <t>https://link.springer.com/article/10.1007/s10270-022-01041-w</t>
  </si>
  <si>
    <t>ARAS: adaptation requirements for adaptive systems</t>
  </si>
  <si>
    <t>Aradea; Iping Supriana; Kridanto Surendro</t>
  </si>
  <si>
    <t>https://link.springer.com/article/10.1007/s10515-022-00369-3</t>
  </si>
  <si>
    <t>A Model-Driven Approach for Systematic Reproducibility and Replicability of Data Science Projects</t>
  </si>
  <si>
    <t>Fran Melchor; Roberto Rodriguez-Echeverria; José M. ConejeroÁlvaro E. Prieto; Juan D. Gutiérrez</t>
  </si>
  <si>
    <t>https://link.springer.com/chapter/10.1007/978-3-031-07472-1_9</t>
  </si>
  <si>
    <t>A semantic-driven tradespace framework to accelerate aircraft manufacturing system design</t>
  </si>
  <si>
    <t>Xiaochen Zheng; Xiaodu Hu; Rebeca Arista; Jinzhi Lu; Jyri Sorvari; Joachim Lentes; Fernando Ubis; Dimitris Kiritsis</t>
  </si>
  <si>
    <t>https://link.springer.com/article/10.1007/s10845-022-02043-7</t>
  </si>
  <si>
    <t>An Experimental and Metamodeling Approach to Tensile Properties of Natural Fibers Composites</t>
  </si>
  <si>
    <t>Mohamad Alhijazi; Babak Safaei; Qasim Zeeshan; Mohammed Asmael; Mohammad Harb; Zhaoye Qin</t>
  </si>
  <si>
    <t>Journal of Polymers and the Environment</t>
  </si>
  <si>
    <t>https://link.springer.com/article/10.1007/s10924-022-02514-1</t>
  </si>
  <si>
    <t>Predicting drug characteristics using biomedical text embedding</t>
  </si>
  <si>
    <t>Guy Shtar; Asnat Greenstein-Messica; Eyal Mazuz; Lior Rokach; Bracha Shapira</t>
  </si>
  <si>
    <t>BMC Bioinformatics</t>
  </si>
  <si>
    <t>https://link.springer.com/article/10.1186/s12859-022-05083-1</t>
  </si>
  <si>
    <t>Enabling Content Management Systems as an Information Source in Model-Driven Projects</t>
  </si>
  <si>
    <t>Joan Giner-Miguelez; Abel Gómez; Jordi Cabot</t>
  </si>
  <si>
    <t>https://link.springer.com/chapter/10.1007/978-3-031-05760-1_30</t>
  </si>
  <si>
    <t>Procedural content improvement of game bosses with an evolutionary algorithm</t>
  </si>
  <si>
    <t>Daniel Blasco; Jaime Font; Francisca Pérez; Carlos Cetina</t>
  </si>
  <si>
    <t>Multimedia Tools and Applications</t>
  </si>
  <si>
    <t>https://link.springer.com/article/10.1007/s11042-022-13674-6</t>
  </si>
  <si>
    <t>Digital twin framework for reconfigurable manufacturing systems (RMSs): design and simulation</t>
  </si>
  <si>
    <t>Jesus Kombaya Touckia; Nadia Hamani; Lyes Kermad</t>
  </si>
  <si>
    <t>https://link.springer.com/article/10.1007/s00170-022-09118-y</t>
  </si>
  <si>
    <t>High-level power estimation techniques in embedded systems hardware: an overview</t>
  </si>
  <si>
    <t>Majdi Richa; Jean-Christophe Prévotet; Mickaël Dardaillon; Mohamad MrouéAbed Ellatif Samhat</t>
  </si>
  <si>
    <t>The Journal of Supercomputing</t>
  </si>
  <si>
    <t>https://link.springer.com/article/10.1007/s11227-022-04798-5</t>
  </si>
  <si>
    <t>Model-Driven Edge Analytics: Practical Use Cases in Smart Manufacturing</t>
  </si>
  <si>
    <t>Ivan Guevara; Hafiz Ahmad Awais Chaudhary; Tiziana Margaria</t>
  </si>
  <si>
    <t>https://link.springer.com/chapter/10.1007/978-3-031-19762-8_29</t>
  </si>
  <si>
    <t>A generic asset model for implementing product digital twins in smart remanufacturing</t>
  </si>
  <si>
    <t>Mairi Kerin; Duc Truong Pham; Jun Huang; Jeremy Hadall</t>
  </si>
  <si>
    <t>https://link.springer.com/article/10.1007/s00170-022-09295-w</t>
  </si>
  <si>
    <t>Semi-automated metamodel/model co-evolution: a multi-level interactive approach</t>
  </si>
  <si>
    <t>Wael Kessentini; Vahid Alizadeh</t>
  </si>
  <si>
    <t>https://link.springer.com/article/10.1007/s10270-022-00978-2</t>
  </si>
  <si>
    <t>Adaptation of HMIs According to Users’ Feelings Based on Multi-agent Systems</t>
  </si>
  <si>
    <t>Alia Maaloul; Houssem Eddine Nouri; Zied Trifa; Olfa Belkahla Driss</t>
  </si>
  <si>
    <t>https://link.springer.com/chapter/10.1007/978-3-031-08530-7_35</t>
  </si>
  <si>
    <t>Goal-oriented student motivation in learning analytics: How can a requirements-driven approach help?</t>
  </si>
  <si>
    <t>Omar Talbi; Abdelkader Ouared</t>
  </si>
  <si>
    <t>Education and Information Technologies</t>
  </si>
  <si>
    <t>https://link.springer.com/article/10.1007/s10639-022-11091-8</t>
  </si>
  <si>
    <t>A Novel Ensemble Machine Learning Model for Prediction of Zika Virus T-Cell Epitopes</t>
  </si>
  <si>
    <t>Syed Nisar Hussain Bukhari; Amit Jain; Ehtishamul Haq</t>
  </si>
  <si>
    <t>Proceedings of Data Analytics and Management</t>
  </si>
  <si>
    <t>https://link.springer.com/chapter/10.1007/978-981-16-6285-0_23</t>
  </si>
  <si>
    <t>Validation and verification in domain-specific modeling method engineering: an integrated life-cycle view</t>
  </si>
  <si>
    <t>Qin Ma; Monika Kaczmarek-HeßSybren de Kinderen</t>
  </si>
  <si>
    <t>https://link.springer.com/article/10.1007/s10270-022-01056-3</t>
  </si>
  <si>
    <t>Detection and Recognition of Software Design Patterns Based on Machine Learning Techniques: A Big Step Towards Software Design Re-usability</t>
  </si>
  <si>
    <t>Shehzad Latif; Muhammad Mukhtar Qureshi; Mazhar Mehmmod</t>
  </si>
  <si>
    <t>Engineering Software for Modern Challenges</t>
  </si>
  <si>
    <t>https://link.springer.com/chapter/10.1007/978-3-031-19968-4_1</t>
  </si>
  <si>
    <t>Towards automatic business process redesign: an NLP based approach to extract redesign suggestions</t>
  </si>
  <si>
    <t>Amina Mustansir; Khurram Shahzad; Muhammad Kamran Malik</t>
  </si>
  <si>
    <t>https://link.springer.com/article/10.1007/s10515-021-00316-8</t>
  </si>
  <si>
    <t>Developer discussion topics on the adoption and barriers of low code software development platforms</t>
  </si>
  <si>
    <t>Md Abdullah Al Alamin; Gias Uddin; Sanjay Malakar; Sadia Afroz; Tameem Haider; Anindya Iqbal</t>
  </si>
  <si>
    <t>https://link.springer.com/article/10.1007/s10664-022-10244-0</t>
  </si>
  <si>
    <t>Domain engineering for customer experience management</t>
  </si>
  <si>
    <t>Imen Benzarti; Hafedh Mili; Renata Medeiros de Carvalho; Abderrahmane Leshob</t>
  </si>
  <si>
    <t>https://link.springer.com/article/10.1007/s11334-021-00426-2</t>
  </si>
  <si>
    <t>Hybrid AI to Support the Implementation of the European Directive</t>
  </si>
  <si>
    <t>Monica Palmirani</t>
  </si>
  <si>
    <t>Electronic Government and the Information Systems Perspective</t>
  </si>
  <si>
    <t>https://link.springer.com/chapter/10.1007/978-3-031-12673-4_8</t>
  </si>
  <si>
    <t>A FAIR Model Catalog for Ontology-Driven Conceptual Modeling Research</t>
  </si>
  <si>
    <t>Pedro Paulo F. Barcelos; Tiago Prince Sales; Mattia Fumagalli; Claudenir M. Fonseca; Isadora Valle Sousa; Elena Romanenko; Joshua Kritz; Giancarlo Guizzardi</t>
  </si>
  <si>
    <t>https://link.springer.com/chapter/10.1007/978-3-031-17995-2_1</t>
  </si>
  <si>
    <t>Cognitive Impairment and Dementia Data Modelling</t>
  </si>
  <si>
    <t>Dessislava Petrova-Antonova; Todor Kunchev; Ilina Manova; Ivaylo Spasov</t>
  </si>
  <si>
    <t>Computational Science and Its Applications – ICCSA 2022</t>
  </si>
  <si>
    <t>https://link.springer.com/chapter/10.1007/978-3-031-10450-3_5</t>
  </si>
  <si>
    <t>Code Generation by Example Using Symbolic Machine Learning</t>
  </si>
  <si>
    <t>Kevin Lano; Qiaomu Xue</t>
  </si>
  <si>
    <t>https://link.springer.com/article/10.1007/s42979-022-01573-4</t>
  </si>
  <si>
    <t>Generative AI</t>
  </si>
  <si>
    <t>Stefan Feuerriegel; Jochen Hartmann; Christian Janiesch; Patrick Zschech</t>
  </si>
  <si>
    <t>https://link.springer.com/article/10.1007/s12599-023-00834-7</t>
  </si>
  <si>
    <t>Design of blockchain-based applications using model-driven engineering and low-code/no-code platforms: a structured literature review</t>
  </si>
  <si>
    <t>Simon Curty; Felix Härer; Hans-Georg Fill</t>
  </si>
  <si>
    <t>https://link.springer.com/article/10.1007/s10270-023-01109-1</t>
  </si>
  <si>
    <t>Categorizing methods for integrating machine learning with executable specifications</t>
  </si>
  <si>
    <t>David Harel; Raz Yerushalmi; Assaf Marron; Achiya Elyasaf</t>
  </si>
  <si>
    <t>Science China Information Sciences</t>
  </si>
  <si>
    <t>https://link.springer.com/article/10.1007/s11432-022-3826-6</t>
  </si>
  <si>
    <t>Source-Code Generation Using Deep Learning: A Survey</t>
  </si>
  <si>
    <t>Areeg Ahmed; Shahira Azab; Yasser Abdelhamid</t>
  </si>
  <si>
    <t>Progress in Artificial Intelligence</t>
  </si>
  <si>
    <t>https://link.springer.com/chapter/10.1007/978-3-031-49011-8_37</t>
  </si>
  <si>
    <t>Challenges in software model reuse: cross application domain vs. cross modeling paradigm</t>
  </si>
  <si>
    <t>Iris Reinhartz-Berger</t>
  </si>
  <si>
    <t>https://link.springer.com/article/10.1007/s10664-023-10386-9</t>
  </si>
  <si>
    <t>Model-to-Model Transformation</t>
  </si>
  <si>
    <t>Ana León; Maribel Yasmina Santos; Alberto García; Juan Carlos Casamayor; Oscar Pastor</t>
  </si>
  <si>
    <t>https://link.springer.com/article/10.1007/s12599-023-00824-9</t>
  </si>
  <si>
    <t>Integrating QSAR modelling and deep learning in drug discovery: the emergence of deep QSAR</t>
  </si>
  <si>
    <t>Alexander Tropsha; Olexandr Isayev; Alexandre Varnek; Gisbert Schneider; Artem Cherkasov</t>
  </si>
  <si>
    <t>Nature Reviews Drug Discovery</t>
  </si>
  <si>
    <t>https://link.springer.com/article/10.1038/s41573-023-00832-0</t>
  </si>
  <si>
    <t>Understanding the need for assistance in software modeling: interviews with experts</t>
  </si>
  <si>
    <t>Maxime Savary-Leblanc; Xavier Le Pallec; Sébastien Gérard</t>
  </si>
  <si>
    <t>https://link.springer.com/article/10.1007/s10270-023-01104-6</t>
  </si>
  <si>
    <t>A survey on automation approaches of smart contract generation</t>
  </si>
  <si>
    <t>Rawya Mars; Saoussen Cheikhrouhou; Slim Kallel; Ahmed Hadj Kacem</t>
  </si>
  <si>
    <t>https://link.springer.com/article/10.1007/s11227-023-05262-8</t>
  </si>
  <si>
    <t>Automatic model generation for material flow simulations of Third-Party Logistics</t>
  </si>
  <si>
    <t>Lennart M. Steinbacher; Tim Düe; Marius Veigt; Michael Freitag</t>
  </si>
  <si>
    <t>https://link.springer.com/article/10.1007/s10845-023-02257-3</t>
  </si>
  <si>
    <t>Code Generation for Cloud-Based Implementation of Public Sector Processes Using a Pattern-Based Approach</t>
  </si>
  <si>
    <t>Jan Gottschick; Anna Opaska; Petra Steffens; Jaouhara Zouagui</t>
  </si>
  <si>
    <t>Subject-Oriented Business Process Management. Models for Designing Digital Transformations</t>
  </si>
  <si>
    <t>https://link.springer.com/chapter/10.1007/978-3-031-40213-5_18</t>
  </si>
  <si>
    <t>A Survey of Advanced Information Fusion System: from Model-Driven to Knowledge-Enabled</t>
  </si>
  <si>
    <t>Di Zhu; Hailian Yin; Yidan Xu; Jiaqi Wu; Bowen Zhang; Yaqi Cheng; Zhanzuo Yin; Ziqiang Yu; Hao Wen; Bohan Li</t>
  </si>
  <si>
    <t>Data Science and Engineering</t>
  </si>
  <si>
    <t>https://link.springer.com/article/10.1007/s41019-023-00209-8</t>
  </si>
  <si>
    <t>MDA4SOA+d: A new model driven architecture to supporting decision making in SOA</t>
  </si>
  <si>
    <t>Fatima Boumahdi; Hadi Oqaibi; Rachid Chalal; Hamza Hentabli; Amina Madani</t>
  </si>
  <si>
    <t>https://link.springer.com/article/10.1016/j.jksuci.2023.03.022</t>
  </si>
  <si>
    <t>Modelling guidance in software engineering: a systematic literature review</t>
  </si>
  <si>
    <t>Shalini Chakraborty; Grischa Liebel</t>
  </si>
  <si>
    <t>https://link.springer.com/article/10.1007/s10270-023-01117-1</t>
  </si>
  <si>
    <t>Generative AI for medical 3D printing: a comparison of ChatGPT outputs to reference standard education</t>
  </si>
  <si>
    <t>Aakanksha Sriwastwa; Prashanth Ravi; Andrew Emmert; Shivum Chokshi; Shayne Kondor; Kashish Dhal; Parimal Patel; Leonid L. Chepelev; Frank J. Rybicki; Rajul Gupta</t>
  </si>
  <si>
    <t>3D Printing in Medicine</t>
  </si>
  <si>
    <t>https://link.springer.com/article/10.1186/s41205-023-00186-8</t>
  </si>
  <si>
    <t>A syntax-guided multi-task learning approach for Turducken-style code generation</t>
  </si>
  <si>
    <t>Guang Yang; Yu Zhou; Xiang Chen; Xiangyu Zhang; Yiran Xu; Tingting Han; Taolue Chen</t>
  </si>
  <si>
    <t>https://link.springer.com/article/10.1007/s10664-023-10372-1</t>
  </si>
  <si>
    <t>Modelling assistants based on information reuse: a user evaluation for language engineering</t>
  </si>
  <si>
    <t>Ángel Mora Segura; Juan de Lara; Manuel Wimmer</t>
  </si>
  <si>
    <t>https://link.springer.com/article/10.1007/s10270-023-01094-5</t>
  </si>
  <si>
    <t>Quo Vadis modeling?</t>
  </si>
  <si>
    <t>Judith Michael; Dominik Bork; Manuel Wimmer; Heinrich C. Mayr</t>
  </si>
  <si>
    <t>https://link.springer.com/article/10.1007/s10270-023-01128-y</t>
  </si>
  <si>
    <t>A survey of deep learning-based 3D shape generation</t>
  </si>
  <si>
    <t>Qun-Ce Xu; Tai-Jiang Mu; Yong-Liang Yang</t>
  </si>
  <si>
    <t>Computational Visual Media</t>
  </si>
  <si>
    <t>https://link.springer.com/article/10.1007/s41095-022-0321-5</t>
  </si>
  <si>
    <t>A Formal MDE Framework for Inter-DSL Collaboration</t>
  </si>
  <si>
    <t>Salim Chehida; Akram Idani; Mario Cortes-Cornax; German Vega</t>
  </si>
  <si>
    <t>Coordination Models and Languages</t>
  </si>
  <si>
    <t>https://link.springer.com/chapter/10.1007/978-3-031-35361-1_13</t>
  </si>
  <si>
    <t>Dealing with the Evolution of Event-Based Choreographies of BPMN Fragments: Definition and Proof of Concept</t>
  </si>
  <si>
    <t>Jesús Ortiz; Victoria Torres; Pedro Valderas</t>
  </si>
  <si>
    <t>https://link.springer.com/chapter/10.1007/978-3-031-47262-6_16</t>
  </si>
  <si>
    <t>Architecting Artificial Intelligence for Autonomous Cars: The OpenPilot Framework</t>
  </si>
  <si>
    <t>Luciano Baresi; Damian A. Tamburri</t>
  </si>
  <si>
    <t>Software Architecture</t>
  </si>
  <si>
    <t>https://link.springer.com/chapter/10.1007/978-3-031-42592-9_13</t>
  </si>
  <si>
    <t>Using the Event Trees in the Automation and Intellectualization of Aircraft Diagnostics and Repair</t>
  </si>
  <si>
    <t>Yu. V. Kotlov; O. A. Nikolaichuk; A. Yu. Yurin</t>
  </si>
  <si>
    <t>Russian Aeronautics</t>
  </si>
  <si>
    <t>https://link.springer.com/article/10.3103/S1068799823040323</t>
  </si>
  <si>
    <t>Congnitive Networks, Their Properties and Applications in Attack Detection and Prevention Systems</t>
  </si>
  <si>
    <t>O. Letychevskyi</t>
  </si>
  <si>
    <t>Cybernetics and Systems Analysis</t>
  </si>
  <si>
    <t>https://link.springer.com/article/10.1007/s10559-023-00621-y</t>
  </si>
  <si>
    <t>Evolution of Autonomous Vehicle: An Artificial Intelligence Perspective</t>
  </si>
  <si>
    <t>Kritika Rana; Gaurav Gupta; Pankaj Vaidya; Abhishek Tomar; Nagesh Kumar</t>
  </si>
  <si>
    <t>Proceedings of International Conference on Recent Innovations in Computing</t>
  </si>
  <si>
    <t>https://link.springer.com/chapter/10.1007/978-981-19-9876-8_6</t>
  </si>
  <si>
    <t>Research software engineering and the importance of scientific models</t>
  </si>
  <si>
    <t>Benoit Combemale; Jeff Gray; Bernhard Rumpe</t>
  </si>
  <si>
    <t>https://link.springer.com/article/10.1007/s10270-023-01119-z</t>
  </si>
  <si>
    <t>A Low-Code Approach for Connected Robots</t>
  </si>
  <si>
    <t>Rafail Brouzos; Konstantinos Panayiotou; Emmanouil Tsardoulias; Andreas Symeonidis</t>
  </si>
  <si>
    <t>https://link.springer.com/article/10.1007/s10846-023-01861-y</t>
  </si>
  <si>
    <t>Extending a predictable machine learning framework with efficient gemm-based convolution routines</t>
  </si>
  <si>
    <t>Iryna De Albuquerque Silva; Thomas Carle; Adrien Gauffriau; Claire Pagetti</t>
  </si>
  <si>
    <t>Real-Time Systems</t>
  </si>
  <si>
    <t>https://link.springer.com/article/10.1007/s11241-023-09407-z</t>
  </si>
  <si>
    <t>Optimization for achieving sustainability in low code development platform</t>
  </si>
  <si>
    <t>Vaishali S Phalake; Shashank D Joshi; Kuldip A Rade; Vijay S Phalke; Mayuri Molawade</t>
  </si>
  <si>
    <t>International Journal on Interactive Design and Manufacturing (IJIDeM)</t>
  </si>
  <si>
    <t>https://link.springer.com/article/10.1007/s12008-023-01338-0</t>
  </si>
  <si>
    <t>Towards Reverse Engineering of Industrial Physical Processes</t>
  </si>
  <si>
    <t>Mariano Ceccato; Youssef Driouich; Ruggero Lanotte; Marco Lucchese; Massimo Merro</t>
  </si>
  <si>
    <t>Computer Security. ESORICS 2022 International Workshops</t>
  </si>
  <si>
    <t>https://link.springer.com/chapter/10.1007/978-3-031-25460-4_15</t>
  </si>
  <si>
    <t>Lessons Learned in Model-Based Reverse Engineering of Large Legacy Systems</t>
  </si>
  <si>
    <t>Laura García-Borgoñón; Miguel Angel Barcelona; Armando J. Egea; German Reyes; Alejandro Sainz-de-la-maza; Adolfo González-Uzabal</t>
  </si>
  <si>
    <t>https://link.springer.com/chapter/10.1007/978-3-031-34560-9_20</t>
  </si>
  <si>
    <t>DEPS: a model- and property-based language for system synthesis problems</t>
  </si>
  <si>
    <t>Pierre-Alain Yvars; Laurent Zimmer</t>
  </si>
  <si>
    <t>https://link.springer.com/article/10.1007/s10270-023-01129-x</t>
  </si>
  <si>
    <t>Multidisciplinary design optimization in Architecture, Engineering, and Construction: a detailed review and call for collaboration</t>
  </si>
  <si>
    <t>Naveen Kumar Muthumanickam; Nathan Brown; Jose Pinto Duarte; Timothy W. Simpson</t>
  </si>
  <si>
    <t>https://link.springer.com/article/10.1007/s00158-023-03673-y</t>
  </si>
  <si>
    <t>Deep learning approaches for bad smell detection: a systematic literature review</t>
  </si>
  <si>
    <t>Amal Alazba; Hamoud Aljamaan; Mohammad Alshayeb</t>
  </si>
  <si>
    <t>https://link.springer.com/article/10.1007/s10664-023-10312-z</t>
  </si>
  <si>
    <t>AI-Enhanced Hybrid Decision Management</t>
  </si>
  <si>
    <t>Dominik Bork; Syed Juned Ali; Georgi Milenov Dinev</t>
  </si>
  <si>
    <t>https://link.springer.com/article/10.1007/s12599-023-00790-2</t>
  </si>
  <si>
    <t>Adaptive user interface based on accessibility context</t>
  </si>
  <si>
    <t>Lamia Zouhaier; Yousra Ben; Daly; Hlaoui; Leila Ben Ayed</t>
  </si>
  <si>
    <t>https://link.springer.com/article/10.1007/s11042-023-14390-5</t>
  </si>
  <si>
    <t>Modeling and enforcing access control policies in conversational user interfaces</t>
  </si>
  <si>
    <t>Elena Planas; Salvador Martínez; Marco Brambilla; Jordi Cabot</t>
  </si>
  <si>
    <t>https://link.springer.com/article/10.1007/s10270-023-01131-3</t>
  </si>
  <si>
    <t>MBSE-PLM Integration: Initiatives and Future Outlook</t>
  </si>
  <si>
    <t>Detlef Gerhard; Sophia Salas Cordero; Rob Vingerhoeds; Brendan P. Sullivan; Monica Rossi; Yana Brovar; Yaroslav Menshenin; Clement Fortin; Benoit Eynard</t>
  </si>
  <si>
    <t>Product Lifecycle Management. PLM in Transition Times: The Place of Humans and Transformative Technologies</t>
  </si>
  <si>
    <t>https://link.springer.com/chapter/10.1007/978-3-031-25182-5_17</t>
  </si>
  <si>
    <t>APKOWL: An Automatic Approach to Enhance the Malware Detection</t>
  </si>
  <si>
    <t>Doaa Aboshady; Naglaa E. Ghannam; Eman K. Elsayed; L. S. Diab</t>
  </si>
  <si>
    <t>Mobile Networks and Applications</t>
  </si>
  <si>
    <t>https://link.springer.com/article/10.1007/s11036-023-02159-x</t>
  </si>
  <si>
    <t>VTensor: Using Virtual Tensors to Build a Layout-Oblivious AI Programming Framework</t>
  </si>
  <si>
    <t>Feng Yu; Jia-Cheng Zhao; Hui-Min Cui; Xiao-Bing Feng; Jingling Xue</t>
  </si>
  <si>
    <t>https://link.springer.com/article/10.1007/s11390-022-1457-6</t>
  </si>
  <si>
    <t>Digital Continuity Based on Reinforcement Learning Model Transformations</t>
  </si>
  <si>
    <t>Quentin Brilhault; Esma Yahia; Lionel Roucoules</t>
  </si>
  <si>
    <t>Advances on Mechanics, Design Engineering and Manufacturing IV</t>
  </si>
  <si>
    <t>https://link.springer.com/chapter/10.1007/978-3-031-15928-2_39</t>
  </si>
  <si>
    <t>An Automatic GUI Generation Method Based on Generative Adversarial Network</t>
  </si>
  <si>
    <t>Proceedings of Seventh International Congress on Information and Communication Technology</t>
  </si>
  <si>
    <t>https://link.springer.com/chapter/10.1007/978-981-19-2394-4_59</t>
  </si>
  <si>
    <t>Integrating Computational Design Support in Model-Based Systems Engineering Using Model Transformations</t>
  </si>
  <si>
    <t>Eugen Rigger; Simon Rädler; Tino Stankovic</t>
  </si>
  <si>
    <t>https://link.springer.com/chapter/10.1007/978-3-031-25182-5_19</t>
  </si>
  <si>
    <t>Creation of Prototypes of Case-Based Knowledge Bases Using Transformations of Decision Tables to Predict the Risk of Forest Fires</t>
  </si>
  <si>
    <t>N. O. Dorodnykh; O. A. Nikolaychuk; J. V. Pestova; A. Yu. Yurin</t>
  </si>
  <si>
    <t>Pattern Recognition and Image Analysis</t>
  </si>
  <si>
    <t>https://link.springer.com/article/10.1134/S1054661823030094</t>
  </si>
  <si>
    <t>A Taxonomic View of the Fundamental Concepts of Quantum Computing–A Software Engineering Perspective</t>
  </si>
  <si>
    <t>R. Juárez-Ramírez; C. X. Navarro; Samantha Jiménez; Alan Ramírez; Verónica Tapia-Ibarra; César Guerra-García; Hector G. Perez-Gonzalez; Carlos Fernández-y-Fernández</t>
  </si>
  <si>
    <t>https://link.springer.com/article/10.1134/S0361768823080108</t>
  </si>
  <si>
    <t>A New Model-Based Approach for Migrating Health 2.0 to Health 3.0 Applications</t>
  </si>
  <si>
    <t>Mint Mohamed Meyma; Naziha Laaz; Samir Mbarki</t>
  </si>
  <si>
    <t>International Conference on Advanced Intelligent Systems for Sustainable Development</t>
  </si>
  <si>
    <t>https://link.springer.com/chapter/10.1007/978-3-031-35248-5_59</t>
  </si>
  <si>
    <t>Conversational Process Modelling: State of the Art, Applications, and Implications in Practice</t>
  </si>
  <si>
    <t>Nataliia Klievtsova; Janik-Vasily Benzin; Timotheus Kampik; Juergen Mangler; Stefanie Rinderle-Ma</t>
  </si>
  <si>
    <t>Business Process Management Forum</t>
  </si>
  <si>
    <t>https://link.springer.com/chapter/10.1007/978-3-031-41623-1_19</t>
  </si>
  <si>
    <t>A Model for Prediction of Understandability and Modifiability of Object-Oriented Software</t>
  </si>
  <si>
    <t>Sumit Babu; Raghuraj Singh</t>
  </si>
  <si>
    <t>Third Congress on Intelligent Systems</t>
  </si>
  <si>
    <t>https://link.springer.com/chapter/10.1007/978-981-19-9225-4_21</t>
  </si>
  <si>
    <t>Deploying warehouse robots with confidence: the BRAIN-IoT framework’s functional assurance</t>
  </si>
  <si>
    <t>Abdelhakim Baouya; Salim Chehida; Saddek Bensalem; Levent Gürgen; Richard Nicholson; Miquel Cantero; Mario Diaznava; Enrico Ferrera</t>
  </si>
  <si>
    <t>https://link.springer.com/article/10.1007/s11227-023-05483-x</t>
  </si>
  <si>
    <t>Software development in the age of intelligence: embracing large language models with the right approach</t>
  </si>
  <si>
    <t>Xin Peng</t>
  </si>
  <si>
    <t>https://link.springer.com/article/10.1631/FITEE.2300537</t>
  </si>
  <si>
    <t>Demystifying the Role of Natural Language Processing (NLP) in Smart City Applications: Background, Motivation, Recent Advances, and Future Research Directions</t>
  </si>
  <si>
    <t>Nemika Tyagi; Bharat Bhushan</t>
  </si>
  <si>
    <t>Wireless Personal Communications</t>
  </si>
  <si>
    <t>https://link.springer.com/article/10.1007/s11277-023-10312-8</t>
  </si>
  <si>
    <t>User's intention and context as pertinent factors for optimal web service composition</t>
  </si>
  <si>
    <t>Abdelmajid Daosabah; Hatim Guermah; Mahmoud Nassar</t>
  </si>
  <si>
    <t>Service Oriented Computing and Applications</t>
  </si>
  <si>
    <t>https://link.springer.com/article/10.1007/s11761-023-00380-w</t>
  </si>
  <si>
    <t>SimIMA: a virtual Simulink intelligent modeling assistant</t>
  </si>
  <si>
    <t>Bhisma Adhikari; Eric J. Rapos; Matthew Stephan</t>
  </si>
  <si>
    <t>https://link.springer.com/article/10.1007/s10270-023-01093-6</t>
  </si>
  <si>
    <t>Toward a New Framework for Process-Aware IoT Discovery</t>
  </si>
  <si>
    <t>Iman Elkodssi; My Driss Laanaoui; Hanae Sbai</t>
  </si>
  <si>
    <t>Innovations in Smart Cities Applications Volume 6</t>
  </si>
  <si>
    <t>https://link.springer.com/chapter/10.1007/978-3-031-26852-6_73</t>
  </si>
  <si>
    <t>A novel code generator for graphical user interfaces</t>
  </si>
  <si>
    <t>Bo Cai; Jian Luo; Zhen Feng</t>
  </si>
  <si>
    <t>Scientific Reports</t>
  </si>
  <si>
    <t>https://link.springer.com/article/10.1038/s41598-023-46500-6</t>
  </si>
  <si>
    <t>Employing Knowledge Graphs for Capturing Semantic Aspects of Robotic Process Automation</t>
  </si>
  <si>
    <t>Ștefan Uifălean</t>
  </si>
  <si>
    <t>Advanced Information Systems Engineering Workshops</t>
  </si>
  <si>
    <t>https://link.springer.com/chapter/10.1007/978-3-031-34985-0_16</t>
  </si>
  <si>
    <t>An Automated Patterns-Based Model-to-Model Mapping and Transformation System for Labeled Property Graphs</t>
  </si>
  <si>
    <t>Pedro Guimarães; Ana León; Maribel Yasmina Santos</t>
  </si>
  <si>
    <t>Research Challenges in Information Science: Information Science and the Connected World</t>
  </si>
  <si>
    <t>https://link.springer.com/chapter/10.1007/978-3-031-33080-3_11</t>
  </si>
  <si>
    <t>Prediction and modeling of water quality using deep neural networks</t>
  </si>
  <si>
    <t>Marwa El-Shebli; Yousef Sharrab; Dimah Al-Fraihat</t>
  </si>
  <si>
    <t>Environment, Development and Sustainability</t>
  </si>
  <si>
    <t>https://link.springer.com/article/10.1007/s10668-023-03335-5</t>
  </si>
  <si>
    <t>Is GitHub’s Copilot as bad as humans at introducing vulnerabilities in code?</t>
  </si>
  <si>
    <t>Owura Asare; Meiyappan Nagappan; N. Asokan</t>
  </si>
  <si>
    <t>https://link.springer.com/article/10.1007/s10664-023-10380-1</t>
  </si>
  <si>
    <t>Automatic Smart Contract Generation with Knowledge Extraction and Unified Modeling Language</t>
  </si>
  <si>
    <t>Peiyun Ran; Mingsheng Liu; Jianwu Zheng; Zakirul Alam Bhuiyan; Jianhua Li; Gang Li; Shiyuan Yu; Lifeng Wang; Song Tang; Peng Zhao</t>
  </si>
  <si>
    <t>Smart Computing and Communication</t>
  </si>
  <si>
    <t>https://link.springer.com/chapter/10.1007/978-3-031-28124-2_44</t>
  </si>
  <si>
    <t>A review on digital twins for power generation and distribution</t>
  </si>
  <si>
    <t>Jessica B. Heluany; Vasileios Gkioulos</t>
  </si>
  <si>
    <t>International Journal of Information Security</t>
  </si>
  <si>
    <t>https://link.springer.com/article/10.1007/s10207-023-00784-x</t>
  </si>
  <si>
    <t>Report on the State of the SoSyM Journal end of 2022</t>
  </si>
  <si>
    <t>Stéphanie Challita; Benoit Combemale; Huseyin Ergin; Jeff Gray; Bernhard Rumpe; Martin Schindler</t>
  </si>
  <si>
    <t>https://link.springer.com/article/10.1007/s10270-023-01085-6</t>
  </si>
  <si>
    <t>A 5M Synchronization Mechanism for Digital Twin Shop-Floor</t>
  </si>
  <si>
    <t>Weiran Liu; Jiangfeng Cheng; Zhiwen Wen; Xiaofu Zou; Zhaozong Wang; Hongting Liu; Fei Tao</t>
  </si>
  <si>
    <t>Chinese Journal of Mechanical Engineering</t>
  </si>
  <si>
    <t>https://link.springer.com/article/10.1186/s10033-023-00965-8</t>
  </si>
  <si>
    <t>A Reverse Design Framework for Modifiable-off-the-Shelf Embedded Systems: Application to Open-Source Autopilots</t>
  </si>
  <si>
    <t>Soulimane Kamni; Yassine Ouhammou; Emmanuel Grolleau; Antoine Bertout; Gautier Hattenberger</t>
  </si>
  <si>
    <t>https://link.springer.com/chapter/10.1007/978-3-031-21595-7_10</t>
  </si>
  <si>
    <t>Faster sorting algorithms discovered using deep reinforcement learning</t>
  </si>
  <si>
    <t>Daniel J. Mankowitz; Andrea Michi; Anton Zhernov; Marco Gelmi; Marco Selvi; Cosmin Paduraru; Edouard Leurent; Shariq Iqbal; Jean-Baptiste Lespiau; Alex Ahern; Thomas Köppe; Kevin Millikin; Stephen Gaffney; Sophie Elster; Jackson Broshear; Chris Gamble; Kieran Milan; Robert Tung; Minjae Hwang; Taylan Cemgil; Mohammadamin Barekatain; Yujia Li; Amol Mandhane; Thomas Hubert; Julian Schrittwieser; Demis Hassabis; Pushmeet Kohli; Martin Riedmiller; Oriol Vinyals; David Silver</t>
  </si>
  <si>
    <t>Nature</t>
  </si>
  <si>
    <t>https://link.springer.com/article/10.1038/s41586-023-06004-9</t>
  </si>
  <si>
    <t>FFTc: An MLIR Dialect for Developing HPC Fast Fourier Transform Libraries</t>
  </si>
  <si>
    <t>Yifei He; Artur Podobas; Måns I. Andersson; Stefano Markidis</t>
  </si>
  <si>
    <t>Euro-Par 2022: Parallel Processing Workshops</t>
  </si>
  <si>
    <t>https://link.springer.com/chapter/10.1007/978-3-031-31209-0_6</t>
  </si>
  <si>
    <t>AI-enchanced Crowdsourcing as an Element of Information Systems Development</t>
  </si>
  <si>
    <t>Vaidas Giedrimas; Jurgita Lieponiene; Birute Ragalyte; Henrikas Sinickas; Jurgita Paulaviciene; Audrius Valinskas; Edgaras Sriubas; Alma Paukstiene</t>
  </si>
  <si>
    <t>Information Technology and Systems</t>
  </si>
  <si>
    <t>https://link.springer.com/chapter/10.1007/978-3-031-33261-6_27</t>
  </si>
  <si>
    <t>A Generic Flow of Cyber-Physical systems—A Comprehensive Survey</t>
  </si>
  <si>
    <t>Jampani Satish Babu; Gonuguntla Krishna Mohan; N. Praveena</t>
  </si>
  <si>
    <t>Smart Technologies in Data Science and Communication</t>
  </si>
  <si>
    <t>https://link.springer.com/chapter/10.1007/978-981-19-6880-8_24</t>
  </si>
  <si>
    <t>A Survey of Ethical Reasoning Methods, Their Metamodels, and a Discussion on Their Application to Conceptual Modelling</t>
  </si>
  <si>
    <t>Sergio España; Chris van der Maaten; Jens GuldenÓscar Pastor</t>
  </si>
  <si>
    <t>https://link.springer.com/chapter/10.1007/978-3-031-47262-6_2</t>
  </si>
  <si>
    <t>CoDescribe: An Intelligent Code Analyst for Enhancing Productivity and Software Quality</t>
  </si>
  <si>
    <t>Souvick Das; Novarun Deb; Agostino Cortesi; Nabendu Chaki</t>
  </si>
  <si>
    <t>Applied Computing for Software and Smart Systems</t>
  </si>
  <si>
    <t>https://link.springer.com/chapter/10.1007/978-981-99-7783-3_11</t>
  </si>
  <si>
    <t>FLOWER: Viewing Data Flow in ER Diagrams</t>
  </si>
  <si>
    <t>Elijah Mitchell; Nabila Berkani; Ladjel Bellatreche; Carlos Ordonez</t>
  </si>
  <si>
    <t>Big Data Analytics and Knowledge Discovery</t>
  </si>
  <si>
    <t>https://link.springer.com/chapter/10.1007/978-3-031-39831-5_32</t>
  </si>
  <si>
    <t>Sonics: develop intuition on biomechanical systems through interactive error controlled simulations</t>
  </si>
  <si>
    <t>Arnaud Mazier; Sidaty El Hadramy; Jean-Nicolas Brunet; Jack S. Hale; Stéphane Cotin; Stéphane P. A. Bordas</t>
  </si>
  <si>
    <t>Engineering with Computers</t>
  </si>
  <si>
    <t>https://link.springer.com/article/10.1007/s00366-023-01877-w</t>
  </si>
  <si>
    <t>Urban building energy modeling (UBEM): a systematic review of challenges and opportunities</t>
  </si>
  <si>
    <t>Dezhou Kong; Ali Cheshmehzangi; Zhiang Zhang; Saeid Pourroostaei Ardakani; Tingyue Gu</t>
  </si>
  <si>
    <t>Energy Efficiency</t>
  </si>
  <si>
    <t>https://link.springer.com/article/10.1007/s12053-023-10147-z</t>
  </si>
  <si>
    <t>Applying MAPE-K control loops for adaptive workflow management in smart factories</t>
  </si>
  <si>
    <t>Lukas Malburg; Maximilian Hoffmann; Ralph Bergmann</t>
  </si>
  <si>
    <t>Journal of Intelligent Information Systems</t>
  </si>
  <si>
    <t>https://link.springer.com/article/10.1007/s10844-022-00766-w</t>
  </si>
  <si>
    <t>Web pages from mockup design based on convolutional neural network and class activation mapping</t>
  </si>
  <si>
    <t>André Armstrong Janino Cizotto; Rodrigo Clemente Thom de Souza; Viviana Cocco Mariani; Leandro dos Santos Coelho</t>
  </si>
  <si>
    <t>https://link.springer.com/article/10.1007/s11042-023-15108-3</t>
  </si>
  <si>
    <t>A two-stage approach for identifying and interpreting self-admitted technical debt</t>
  </si>
  <si>
    <t>Ming Yin; Jiaze Wang; Dan Zhu; Cunzhi Gao</t>
  </si>
  <si>
    <t>Applied Intelligence</t>
  </si>
  <si>
    <t>https://link.springer.com/article/10.1007/s10489-023-04941-6</t>
  </si>
  <si>
    <t>Proposal of a Middleware to Support Development of IoT Firmware Analysis Tools</t>
  </si>
  <si>
    <t>Minami Yoda; Shuji Sakuraba; Yuichi Sei; Yasuyuki Tahara; Akihiko Ohsuga</t>
  </si>
  <si>
    <t>Knowledge-Based Software Engineering: 2022</t>
  </si>
  <si>
    <t>https://link.springer.com/chapter/10.1007/978-3-031-17583-1_1</t>
  </si>
  <si>
    <t>Sequre: a high-performance framework for secure multiparty computation enables biomedical data sharing</t>
  </si>
  <si>
    <t>Haris SmajlovićAriya Shajii; Bonnie Berger; Hyunghoon Cho; Ibrahim Numanagić</t>
  </si>
  <si>
    <t>Genome Biology</t>
  </si>
  <si>
    <t>https://link.springer.com/article/10.1186/s13059-022-02841-5</t>
  </si>
  <si>
    <t>A model-based infrastructure for the specification and runtime execution of self-adaptive IoT architectures</t>
  </si>
  <si>
    <t>Iván Alfonso; Kelly Garcés; Harold Castro; Jordi Cabot</t>
  </si>
  <si>
    <t>https://link.springer.com/article/10.1007/s00607-022-01145-7</t>
  </si>
  <si>
    <t>Model-Driven Smart Contract Generation Leveraging ChatGPT</t>
  </si>
  <si>
    <t>Nenad PetrovićIssam Al-Azzoni</t>
  </si>
  <si>
    <t>https://link.springer.com/chapter/10.1007/978-3-031-40579-2_37</t>
  </si>
  <si>
    <t>Exploring advanced process equipment visualization as a step towards digital twins development in the chemical industry: A CFD-DNN approach</t>
  </si>
  <si>
    <t>Dela Quarme Gbadago; Jiyoung Moon; Sungwon Hwang</t>
  </si>
  <si>
    <t>Korean Journal of Chemical Engineering</t>
  </si>
  <si>
    <t>https://link.springer.com/article/10.1007/s11814-022-1273-2</t>
  </si>
  <si>
    <t>Multi-view FMEA Re-validation: Efficient Risk and Engineering Knowledge Integration in Agile Production Systems Engineering</t>
  </si>
  <si>
    <t>Felix Rinker; Sebastian Kropatschek; Thorsten Steuer; Elmar Kiesling; Kristof Meixner; Laura Waltersdorfer; Patrik Sommer; Arndt Lüder; Dietmar Winkler; Stefan Biffl</t>
  </si>
  <si>
    <t>Model-Driven Engineering and Software Development</t>
  </si>
  <si>
    <t>https://link.springer.com/chapter/10.1007/978-3-031-38821-7_4</t>
  </si>
  <si>
    <t>Markov Decision Process for Automatic Cyber Defense</t>
  </si>
  <si>
    <t>Xiaofan Zhou; Simon Yusuf Enoch; Dong Seong Kim</t>
  </si>
  <si>
    <t>Information Security Applications</t>
  </si>
  <si>
    <t>https://link.springer.com/chapter/10.1007/978-3-031-25659-2_23</t>
  </si>
  <si>
    <t>Structural plasticity for neuromorphic networks with electropolymerized dendritic PEDOT connections</t>
  </si>
  <si>
    <t>Kamila Janzakova; Ismael Balafrej; Ankush Kumar; Nikhil Garg; Corentin Scholaert; Jean Rouat; Dominique Drouin; Yannick Coffinier; Sébastien Pecqueur; Fabien Alibart</t>
  </si>
  <si>
    <t>Nature Communications</t>
  </si>
  <si>
    <t>https://link.springer.com/article/10.1038/s41467-023-43887-8</t>
  </si>
  <si>
    <t>A review of validation methods for building energy modeling programs</t>
  </si>
  <si>
    <t>Xin Zhou; Ruoxi Liu; Shuai Tian; Xiaohan Shen; Xinyu Yang; Jingjing An; Da Yan</t>
  </si>
  <si>
    <t>Building Simulation</t>
  </si>
  <si>
    <t>https://link.springer.com/article/10.1007/s12273-023-1050-0</t>
  </si>
  <si>
    <t>Accelerating OpenVX through Halide and MLIR</t>
  </si>
  <si>
    <t>Song-Lin Wu; Xiang-Yu Wang; Ming-Yi Peng; Shih-Wei Liao</t>
  </si>
  <si>
    <t>Journal of Signal Processing Systems</t>
  </si>
  <si>
    <t>https://link.springer.com/article/10.1007/s11265-022-01826-8</t>
  </si>
  <si>
    <t>A model-based DevOps process for development of mathematical database cost models</t>
  </si>
  <si>
    <t>Ahmed Chikhaoui; Abdelhafid Chadli; Abdelkader Ouared</t>
  </si>
  <si>
    <t>https://link.springer.com/article/10.1007/s10515-023-00390-0</t>
  </si>
  <si>
    <t>A method for developing and validating simulation models for automated storage and retrieval system digital twins</t>
  </si>
  <si>
    <t>Andrea Ferrari; Antonio Carlin; Carlo Rafele; Giovanni Zenezini</t>
  </si>
  <si>
    <t>https://link.springer.com/article/10.1007/s00170-023-12660-y</t>
  </si>
  <si>
    <t>A Gap Between Automated Service Composition Research and Software Engineering Development Practice: Service Descriptions</t>
  </si>
  <si>
    <t>Yang Syu; Chien-Min Wang</t>
  </si>
  <si>
    <t>Web Services – ICWS 2023</t>
  </si>
  <si>
    <t>https://link.springer.com/chapter/10.1007/978-3-031-44836-2_2</t>
  </si>
  <si>
    <t>ARdetector: android ransomware detection framework</t>
  </si>
  <si>
    <t>Dan Li; Wenbo Shi; Ning Lu; Sang-Su Lee; Sokjoon Lee</t>
  </si>
  <si>
    <t>https://link.springer.com/article/10.1007/s11227-023-05741-y</t>
  </si>
  <si>
    <t>An Ontology-Driven Approach to the Analytical Platform Development for Data-Intensive Domains</t>
  </si>
  <si>
    <t>Viktor S. Zayakin; Lyudmila N. Lyadova; Viacheslav V. Lanin; Elena B. Zamyatina; Evgeniy A. Rabchevskiy</t>
  </si>
  <si>
    <t>Knowledge Discovery, Knowledge Engineering and Knowledge Management</t>
  </si>
  <si>
    <t>https://link.springer.com/chapter/10.1007/978-3-031-35924-8_8</t>
  </si>
  <si>
    <t>Visual Low-Code Language for Orchestrating Large-Scale Distributed Computing</t>
  </si>
  <si>
    <t>Kamil Rybiński; Michał Śmiałek; Agris Sostaks; Krzysztof Marek; Radosław Roszczyk; Marek Wdowiak</t>
  </si>
  <si>
    <t>Journal of Grid Computing</t>
  </si>
  <si>
    <t>https://link.springer.com/article/10.1007/s10723-023-09666-x</t>
  </si>
  <si>
    <t>Fantastic MASs and Where to Find Them: First Results and Lesson Learned</t>
  </si>
  <si>
    <t>Daniela Briola; Angelo Ferrando; Viviana Mascardi</t>
  </si>
  <si>
    <t>Engineering Multi-Agent Systems</t>
  </si>
  <si>
    <t>https://link.springer.com/chapter/10.1007/978-3-031-48539-8_16</t>
  </si>
  <si>
    <t>On the benefits of knowledge compilation for feature-model analyses</t>
  </si>
  <si>
    <t>Chico Sundermann; Elias Kuiter; Tobias HeßHeiko Raab; Sebastian Krieter; Thomas Thüm</t>
  </si>
  <si>
    <t>Annals of Mathematics and Artificial Intelligence</t>
  </si>
  <si>
    <t>https://link.springer.com/article/10.1007/s10472-023-09906-6</t>
  </si>
  <si>
    <t>Large language models for chemistry robotics</t>
  </si>
  <si>
    <t>Naruki Yoshikawa; Marta Skreta; Kourosh Darvish; Sebastian Arellano-Rubach; Zhi Ji; Lasse Bjørn Kristensen; Andrew Zou Li; Yuchi Zhao; Haoping Xu; Artur Kuramshin; Alán Aspuru-Guzik; Florian Shkurti; Animesh Garg</t>
  </si>
  <si>
    <t>Autonomous Robots</t>
  </si>
  <si>
    <t>https://link.springer.com/article/10.1007/s10514-023-10136-2</t>
  </si>
  <si>
    <t>Glushkov’s Algorithmic Algebras and Automated Parallel Computing Design</t>
  </si>
  <si>
    <t>P. I. Andon; A. Yu. Doroshenko; P. A. Ivanenko; O. A. Yatsenko</t>
  </si>
  <si>
    <t>https://link.springer.com/article/10.1007/s10559-023-00604-z</t>
  </si>
  <si>
    <t>SAI: AI-Enabled Speech Assistant Interface for Science Gateways in HPC</t>
  </si>
  <si>
    <t>Pouya Kousha; Arpan Jain; Ayyappa Kolli; Matthew Lieber; Mingzhe Han; Nicholas Contini; Hari Subramoni; Dhableswar K. Panda</t>
  </si>
  <si>
    <t>High Performance Computing</t>
  </si>
  <si>
    <t>https://link.springer.com/chapter/10.1007/978-3-031-32041-5_21</t>
  </si>
  <si>
    <t>JEMMA: An extensible Java dataset for ML4Code applications</t>
  </si>
  <si>
    <t>Anjan Karmakar; Miltiadis Allamanis; Romain Robbes</t>
  </si>
  <si>
    <t>https://link.springer.com/article/10.1007/s10664-022-10275-7</t>
  </si>
  <si>
    <t>Multi-stakeholder Approach for Designing an AI Model to Predict Treatment Adherence</t>
  </si>
  <si>
    <t>Beatriz Merino-Barbancho; Peña Arroyo; Miguel Rujas; Ana Cipric; Nicholas Ciccone; Francisco Lupiáñez-Villanueva; Ana Roca-Umbert Würth; Frans Folkvord; María Fernanda Cabrera; María Teresa Arredondo; Giuseppe Fico</t>
  </si>
  <si>
    <t>Digital Human Modeling and Applications in Health, Safety, Ergonomics and Risk Management</t>
  </si>
  <si>
    <t>https://link.springer.com/chapter/10.1007/978-3-031-35748-0_19</t>
  </si>
  <si>
    <t>Handling uncertainty issue in software defect prediction utilizing a hybrid of ANFIS and turbulent flow of water optimization algorithm</t>
  </si>
  <si>
    <t>M. A. Elsabagh; O. E. Emam; M. G. Gafar; T. Medhat</t>
  </si>
  <si>
    <t>https://link.springer.com/article/10.1007/s00521-023-09315-0</t>
  </si>
  <si>
    <t>Surveying neuro-symbolic approaches for reliable artificial intelligence of things</t>
  </si>
  <si>
    <t>Zhen Lu; Imran Afridi; Hong Jin Kang; Ivan Ruchkin; Xi Zheng</t>
  </si>
  <si>
    <t>Journal of Reliable Intelligent Environments</t>
  </si>
  <si>
    <t>https://link.springer.com/article/10.1007/s40860-024-00231-1</t>
  </si>
  <si>
    <t>SysML Model-Driven Development for Digital Twins</t>
  </si>
  <si>
    <t>Kanza Ouari; Malika Ioualalen; Ahmed Hammad</t>
  </si>
  <si>
    <t>Advances in Computing Systems and Applications</t>
  </si>
  <si>
    <t>https://link.springer.com/chapter/10.1007/978-3-031-71848-9_30</t>
  </si>
  <si>
    <t>Completion of SysML state machines from Given–When–Then requirements</t>
  </si>
  <si>
    <t>Maria Stella de Biase; Simona Bernardi; Stefano Marrone; José Merseguer; Angelo Palladino</t>
  </si>
  <si>
    <t>https://link.springer.com/article/10.1007/s10270-024-01228-3</t>
  </si>
  <si>
    <t>Large Process Models: A Vision for Business Process Management in the Age of Generative AI</t>
  </si>
  <si>
    <t>Timotheus Kampik; Christian Warmuth; Adrian Rebmann; Ron Agam; Lukas N. P. Egger; Andreas Gerber; Johannes Hoffart; Jonas Kolk; Philipp Herzig; Gero Decker; Han van der Aa; Artem Polyvyanyy; Stefanie Rinderle-Ma; Ingo Weber; Matthias Weidlich</t>
  </si>
  <si>
    <t>KI - Künstliche Intelligenz</t>
  </si>
  <si>
    <t>https://link.springer.com/article/10.1007/s13218-024-00863-8</t>
  </si>
  <si>
    <t>Simon Rädler; Luca Berardinelli; Karolin Winter; Abbas Rahimi; Stefanie Rinderle-Ma</t>
  </si>
  <si>
    <t>https://link.springer.com/article/10.1007/s10270-024-01211-y</t>
  </si>
  <si>
    <t>Kevin Lano; Hanan Siala</t>
  </si>
  <si>
    <t>https://link.springer.com/article/10.1007/s10515-024-00419-y</t>
  </si>
  <si>
    <t>Future of Education with Neuro-Symbolic AI Agents in Self-Improving Adaptive Instructional Systems</t>
  </si>
  <si>
    <t>Richard Jiarui Tong; Xiangen Hu</t>
  </si>
  <si>
    <t>Frontiers of Digital Education</t>
  </si>
  <si>
    <t>https://link.springer.com/article/10.1007/s44366-024-0008-9</t>
  </si>
  <si>
    <t>A Systematic Approach to Derive Conceptual Models from BPMN Models</t>
  </si>
  <si>
    <t>Ricardo Lopes; João Araújo; Denis Silva da Silveira; Alberto Sardinha</t>
  </si>
  <si>
    <t>Business Modeling and Software Design</t>
  </si>
  <si>
    <t>https://link.springer.com/chapter/10.1007/978-3-031-64073-5_6</t>
  </si>
  <si>
    <t>How AI can Advance Model Driven Engineering Method ?</t>
  </si>
  <si>
    <t>Mohamad Suhairi Md Subhi; Willem Nicolas; Akina Renard; Gabriela Maria Garcia Romero; Meriem Ouederni; Lotfi Chaari</t>
  </si>
  <si>
    <t>Intelligent Systems and Pattern Recognition</t>
  </si>
  <si>
    <t>https://link.springer.com/chapter/10.1007/978-3-031-46338-9_9</t>
  </si>
  <si>
    <t>Deep learning-based software engineering: progress, challenges, and opportunities</t>
  </si>
  <si>
    <t>Xiangping Chen; Xing Hu; Yuan Huang; He Jiang; Weixing Ji; Yanjie Jiang; Yanyan Jiang; Bo Liu; Hui Liu; Xiaochen Li; Xiaoli Lian; Guozhu Meng; Xin Peng; Hailong Sun; Lin Shi; Bo Wang; Chong Wang; Jiayi Wang; Tiantian Wang; Jifeng Xuan; Xin Xia; Yibiao Yang; Yixin Yang; Li Zhang; Yuming Zhou; Lu Zhang</t>
  </si>
  <si>
    <t>https://link.springer.com/article/10.1007/s11432-023-4127-5</t>
  </si>
  <si>
    <t>Generative AI with Modeling and Simulation of Activity and Flow-Based Diagrams</t>
  </si>
  <si>
    <t>Abdurrahman Alshareef; Nicholas Keller; Priscilla Carbo; Bernard P. Zeigler</t>
  </si>
  <si>
    <t>Simulation Tools and Techniques</t>
  </si>
  <si>
    <t>https://link.springer.com/chapter/10.1007/978-3-031-57523-5_8</t>
  </si>
  <si>
    <t>On Certification of Artificial Intelligence Systems</t>
  </si>
  <si>
    <t>D. Namiot; E. Ilyushin</t>
  </si>
  <si>
    <t>Physics of Particles and Nuclei</t>
  </si>
  <si>
    <t>https://link.springer.com/article/10.1134/S1063779624030614</t>
  </si>
  <si>
    <t>A Concrete Syntax Transformation Approach for Software Language Processing</t>
  </si>
  <si>
    <t>Kevin Lano; Qiaomu Xue; Howard Haughton</t>
  </si>
  <si>
    <t>https://link.springer.com/article/10.1007/s42979-024-02979-y</t>
  </si>
  <si>
    <t>Taming the frame problem: an automated approach for robust UML class diagram specification and verification</t>
  </si>
  <si>
    <t>Antonio Rosales Viesca; Mustafa Al Lail</t>
  </si>
  <si>
    <t>https://link.springer.com/article/10.1007/s11334-024-00575-0</t>
  </si>
  <si>
    <t>Leveraging pre-trained language models for code generation</t>
  </si>
  <si>
    <t>Ahmed Soliman; Samir Shaheen; Mayada Hadhoud</t>
  </si>
  <si>
    <t>Complex &amp; Intelligent Systems</t>
  </si>
  <si>
    <t>https://link.springer.com/article/10.1007/s40747-024-01373-8</t>
  </si>
  <si>
    <t>Raoni Sales; Ana Patrícia Fontes Magalhães Mascarenhas; Marco A. C. Simões; Josemar Rodrigues de Souza</t>
  </si>
  <si>
    <t>https://link.springer.com/article/10.1007/s10846-023-02036-5</t>
  </si>
  <si>
    <t>Data integration from traditional to big data: main features and comparisons of ETL approaches</t>
  </si>
  <si>
    <t>Afef Walha; Faiza Ghozzi; Faiez Gargouri</t>
  </si>
  <si>
    <t>https://link.springer.com/article/10.1007/s11227-024-06413-1</t>
  </si>
  <si>
    <t>Rethinking AI code generation: a one-shot correction approach based on user feedback</t>
  </si>
  <si>
    <t>Kim Tuyen Le; Artur Andrzejak</t>
  </si>
  <si>
    <t>https://link.springer.com/article/10.1007/s10515-024-00451-y</t>
  </si>
  <si>
    <t>Towards a Domain Model for Code Generation for Smart Tourism Destinations Using MDE</t>
  </si>
  <si>
    <t>Lamya Benaddi; Charaf Ouaddi; Adnane Souha; Abdeslam Jakimi; Brahim Ouchao; Rachid Saadane</t>
  </si>
  <si>
    <t>Big Data and Internet of Things</t>
  </si>
  <si>
    <t>https://link.springer.com/chapter/10.1007/978-3-031-74491-4_46</t>
  </si>
  <si>
    <t>NL2ProcessOps: Towards LLM-Guided Code Generation for Process Execution</t>
  </si>
  <si>
    <t>Flavia Monti; Francesco Leotta; Juergen Mangler; Massimo Mecella; Stefanie Rinderle-Ma</t>
  </si>
  <si>
    <t>https://link.springer.com/chapter/10.1007/978-3-031-70418-5_8</t>
  </si>
  <si>
    <t>Fatma Bozyigit; Tolgahan Bardakci; Alireza Khalilipour; Moharram Challenger; Guus RamackersÖnder Babur; Michel R. V. Chaudron</t>
  </si>
  <si>
    <t>https://link.springer.com/article/10.1007/s10270-024-01176-y</t>
  </si>
  <si>
    <t>Challenges and Potential of Artificial Intelligence in Neuroradiology</t>
  </si>
  <si>
    <t>Anthony J. Winder; Emma AM Stanley; Jens Fiehler; Nils D. Forkert</t>
  </si>
  <si>
    <t>Clinical Neuroradiology</t>
  </si>
  <si>
    <t>https://link.springer.com/article/10.1007/s00062-024-01382-7</t>
  </si>
  <si>
    <t>Agile model-driven re-engineering</t>
  </si>
  <si>
    <t>Kevin Lano; Howard Haughton; Ziwen Yuan; Hessa Alfraihi</t>
  </si>
  <si>
    <t>https://link.springer.com/article/10.1007/s11334-024-00568-z</t>
  </si>
  <si>
    <t>Modeling inter-organizational business process governance in the age of collaborative networks</t>
  </si>
  <si>
    <t>Vítor Ribeiro; João Barata; Paulo Rupino da Cunha</t>
  </si>
  <si>
    <t>Electronic Markets</t>
  </si>
  <si>
    <t>https://link.springer.com/article/10.1007/s12525-024-00730-2</t>
  </si>
  <si>
    <t>Taming uncertainty with MDE: an historical perspective</t>
  </si>
  <si>
    <t>Jean-Marc Jézéquel</t>
  </si>
  <si>
    <t>https://link.springer.com/article/10.1007/s10270-024-01227-4</t>
  </si>
  <si>
    <t>Human factors in model-driven engineering: future research goals and initiatives for MDE</t>
  </si>
  <si>
    <t>Grischa Liebel; Jil Klünder; Regina Hebig; Christopher Lazik; Inês Nunes; Isabella Graßl; Jan-Philipp Steghöfer; Joeri Exelmans; Julian Oertel; Kai Marquardt; Katharina Juhnke; Kurt Schneider; Lucas Gren; Lucia Happe; Marc Herrmann; Marvin Wyrich; Matthias Tichy; Miguel Goulão; Rebekka Wohlrab; Reyhaneh Kalantari; Robert Heinrich; Sandra Greiner; Satrio Adi Rukmono; Shalini Chakraborty; Silvia Abrahão; Vasco Amaral</t>
  </si>
  <si>
    <t>https://link.springer.com/article/10.1007/s10270-024-01188-8</t>
  </si>
  <si>
    <t>Engineering recommender systems for modelling languages: concept, tool and evaluation</t>
  </si>
  <si>
    <t>https://link.springer.com/article/10.1007/s10664-024-10483-3</t>
  </si>
  <si>
    <t>An innovative word embedded and optimization based hybrid artificial intelligence approach for aspect-based sentiment analysis of app and cellphone reviews</t>
  </si>
  <si>
    <t>N. Lakshmi Devi; B. Anilkumar; A. Mary Sowjanya; Srividya Kotagiri</t>
  </si>
  <si>
    <t>https://link.springer.com/article/10.1007/s11042-024-18510-7</t>
  </si>
  <si>
    <t>Technology for Automatic Usability Evaluation Using Model Driven Engineering</t>
  </si>
  <si>
    <t>Susel Matos Claro; Jenny Ruiz de la Peña; Leydis Lamoth Borrero; Monique Snoeck</t>
  </si>
  <si>
    <t>https://link.springer.com/chapter/10.1007/978-3-031-61007-3_15</t>
  </si>
  <si>
    <t>Automated detection of class diagram smells using self-supervised learning</t>
  </si>
  <si>
    <t>https://link.springer.com/article/10.1007/s10515-024-00429-w</t>
  </si>
  <si>
    <t>Machine learning-based model for prediction of concrete strength</t>
  </si>
  <si>
    <t>Vivek Singh Aswal; B. K. Singh; Rohit Maheshwari</t>
  </si>
  <si>
    <t>Multiscale and Multidisciplinary Modeling, Experiments and Design</t>
  </si>
  <si>
    <t>https://link.springer.com/article/10.1007/s41939-024-00609-x</t>
  </si>
  <si>
    <t>Use of Digital Threads and Digital Twin Systems in Socio-Cyber-Physical Systems</t>
  </si>
  <si>
    <t>A. I. Vodyaho; N. A. Zhukova; V. Ya. Ananeva</t>
  </si>
  <si>
    <t>Automatic Documentation and Mathematical Linguistics</t>
  </si>
  <si>
    <t>https://link.springer.com/article/10.3103/S0005105524700377</t>
  </si>
  <si>
    <t>What makes a good modeling research contribution?</t>
  </si>
  <si>
    <t>Richard F. Paige; Jordi Cabot</t>
  </si>
  <si>
    <t>https://link.springer.com/article/10.1007/s10270-024-01177-x</t>
  </si>
  <si>
    <t>Development methodologies for IoT-based systems: challenges and research directions</t>
  </si>
  <si>
    <t>Miguel J. Hornos; Mario Quinde</t>
  </si>
  <si>
    <t>https://link.springer.com/article/10.1007/s40860-024-00229-9</t>
  </si>
  <si>
    <t>A prospective on machine learning challenges, progress, and potential in polymer science</t>
  </si>
  <si>
    <t>Daniel C. Struble; Bradley G. Lamb; Boran Ma</t>
  </si>
  <si>
    <t>MRS Communications</t>
  </si>
  <si>
    <t>https://link.springer.com/article/10.1557/s43579-024-00587-8</t>
  </si>
  <si>
    <t>Advances in automated support for requirements engineering: a systematic literature review</t>
  </si>
  <si>
    <t>Muhammad Aminu Umar; Kevin Lano</t>
  </si>
  <si>
    <t>https://link.springer.com/article/10.1007/s00766-023-00411-0</t>
  </si>
  <si>
    <t>Large Language Model Assisted Software Engineering: Prospects, Challenges, and a Case Study</t>
  </si>
  <si>
    <t>Lenz Belzner; Thomas Gabor; Martin Wirsing</t>
  </si>
  <si>
    <t>https://link.springer.com/chapter/10.1007/978-3-031-46002-9_23</t>
  </si>
  <si>
    <t>Process Modeling with Large Language Models</t>
  </si>
  <si>
    <t>Humam Kourani; Alessandro Berti; Daniel Schuster; Wil M. P. van der Aalst</t>
  </si>
  <si>
    <t>https://link.springer.com/chapter/10.1007/978-3-031-61007-3_18</t>
  </si>
  <si>
    <t>Introduction to theme section on requirements formalisation</t>
  </si>
  <si>
    <t>Kevin Lano; Shekoufeh Rahimi; Sobhan Tehrani; Lola Burgueño; Mohammad Aminu Umar</t>
  </si>
  <si>
    <t>https://link.springer.com/article/10.1007/s10270-024-01241-6</t>
  </si>
  <si>
    <t>BAB Framework – Towards an Extensible Software Platform for AI-Augmented Process Aware Business Information Systems</t>
  </si>
  <si>
    <t>Borivoj BogdanovićĐorđe ObradovićMilan Segedinac; Zora Konjović</t>
  </si>
  <si>
    <t>Disruptive Information Technologies for a Smart Society</t>
  </si>
  <si>
    <t>https://link.springer.com/chapter/10.1007/978-3-031-71419-1_18</t>
  </si>
  <si>
    <t>Iot interoperability framework for smart home: MDA-inspired approach</t>
  </si>
  <si>
    <t>Renu Sharma; Anil Sharma</t>
  </si>
  <si>
    <t>Cluster Computing</t>
  </si>
  <si>
    <t>https://link.springer.com/article/10.1007/s10586-024-04268-y</t>
  </si>
  <si>
    <t>Review and Critical Analysis of Ontologies for Artificial Intelligence Systems</t>
  </si>
  <si>
    <t>Katarzyna Wasielewska-Michniewska; Maria Ganzha; Marcin Paprzycki; Wiesław Pawłowski</t>
  </si>
  <si>
    <t>Proceedings of International Conference on Image, Vision and Intelligent Systems 2023 (ICIVIS 2023)</t>
  </si>
  <si>
    <t>https://link.springer.com/chapter/10.1007/978-981-97-0855-0_70</t>
  </si>
  <si>
    <t>Towards Standardized benchmarks of LLMs in software modeling tasks: a conceptual framework</t>
  </si>
  <si>
    <t>Javier Cámara; Lola Burgueño; Javier Troya</t>
  </si>
  <si>
    <t>https://link.springer.com/article/10.1007/s10270-024-01206-9</t>
  </si>
  <si>
    <t>The Role of Interoperability for Digital Twins</t>
  </si>
  <si>
    <t>João Luiz Rebelo Moreira</t>
  </si>
  <si>
    <t>Enterprise Design, Operations, and Computing. EDOC 2023 Workshops</t>
  </si>
  <si>
    <t>https://link.springer.com/chapter/10.1007/978-3-031-54712-6_9</t>
  </si>
  <si>
    <t>A Multimodal conceptual framework to achieve automated software evolution for context-rich intelligent applications</t>
  </si>
  <si>
    <t>Songhui Yue</t>
  </si>
  <si>
    <t>https://link.springer.com/article/10.1007/s11334-024-00591-0</t>
  </si>
  <si>
    <t>Advancing flood susceptibility modeling using stacking ensemble machine learning: A multi-model approach</t>
  </si>
  <si>
    <t>Huilin Yang; Rui Yao; Linyao Dong; Peng Sun; Qiang Zhang; Yongqiang Wei; Shao Sun; Amir Aghakouchak</t>
  </si>
  <si>
    <t>Journal of Geographical Sciences</t>
  </si>
  <si>
    <t>https://link.springer.com/article/10.1007/s11442-024-2259-2</t>
  </si>
  <si>
    <t>Exploring the Use of LLMs for Teaching AI and Robotics Concepts at a Master’s Degree</t>
  </si>
  <si>
    <t>Miguel Á. González-Santamarta; Francisco Javier Rodríguez-Lera; Miguel Á. Conde-González; Francisco Rodríguez-Sedano; Camino Fernández-Llamas</t>
  </si>
  <si>
    <t>Advances in Artificial Intelligence</t>
  </si>
  <si>
    <t>https://link.springer.com/chapter/10.1007/978-3-031-62799-6_26</t>
  </si>
  <si>
    <t>An analysis of large language models: their impact and potential applications</t>
  </si>
  <si>
    <t>G. Bharathi Mohan; R. Prasanna Kumar; P. Vishal Krishh; A. Keerthinathan; G. Lavanya; Meka Kavya Uma Meghana; Sheba Sulthana; Srinath Doss</t>
  </si>
  <si>
    <t>https://link.springer.com/article/10.1007/s10115-024-02120-8</t>
  </si>
  <si>
    <t>Software Development Effort Estimation Using UML Activity Models with Regression Analysis</t>
  </si>
  <si>
    <t>Pulak Sahoo; Dayal Kumar Behera; Subhra Swetanisha; J. R. Mohanty</t>
  </si>
  <si>
    <t>Advances in Microelectronics, Embedded Systems and IoT</t>
  </si>
  <si>
    <t>https://link.springer.com/chapter/10.1007/978-981-97-0767-6_21</t>
  </si>
  <si>
    <t>Stylometric Analysis of Large Language Model-Generated Commentaries in the Context of Medical Neuroscience</t>
  </si>
  <si>
    <t>Jan K. Argasiński; Iwona Grabska-Gradzińska; Karol Przystalski; Jeremi K. Ochab; Tomasz Walkowiak</t>
  </si>
  <si>
    <t>Computational Science – ICCS 2024</t>
  </si>
  <si>
    <t>https://link.springer.com/chapter/10.1007/978-3-031-63775-9_20</t>
  </si>
  <si>
    <t>A review of digital twins and their application in cybersecurity based on artificial intelligence</t>
  </si>
  <si>
    <t>Mohammadhossein HomaeiÓscar Mogollón-Gutiérrez; José Carlos Sancho; Mar Ávila; Andrés Caro</t>
  </si>
  <si>
    <t>Artificial Intelligence Review</t>
  </si>
  <si>
    <t>https://link.springer.com/article/10.1007/s10462-024-10805-3</t>
  </si>
  <si>
    <t>From enterprise models to low-code applications: mapping DEMO to Mendix; illustrated in the social housing domain</t>
  </si>
  <si>
    <t>Marien R. Krouwel; Martin Op ’t Land; Henderik A. Proper</t>
  </si>
  <si>
    <t>https://link.springer.com/article/10.1007/s10270-024-01156-2</t>
  </si>
  <si>
    <t>Cyber Digital Twin with Deep Learning Model for Enterprise Products Management</t>
  </si>
  <si>
    <t>Ziqian Wang</t>
  </si>
  <si>
    <t>https://link.springer.com/article/10.1007/s11277-024-11146-8</t>
  </si>
  <si>
    <t>Query Reverse Engineering of Pre-deleted Uncorrelated Operators</t>
  </si>
  <si>
    <t>Quansheng Dou; Huixian Wang; Huanling Tang; Hao Pan; Shun Zhang</t>
  </si>
  <si>
    <t>Data Mining and Big Data</t>
  </si>
  <si>
    <t>https://link.springer.com/chapter/10.1007/978-981-97-0844-4_4</t>
  </si>
  <si>
    <t>A Tertiary Study on AI for Requirements Engineering</t>
  </si>
  <si>
    <t>Ali Mehraj; Zheying Zhang; Kari Systä</t>
  </si>
  <si>
    <t>Requirements Engineering: Foundation for Software Quality</t>
  </si>
  <si>
    <t>https://link.springer.com/chapter/10.1007/978-3-031-57327-9_10</t>
  </si>
  <si>
    <t>Experimenting with modeling-specific word embeddings</t>
  </si>
  <si>
    <t>José Antonio Hernández López; Carlos DuráJesús Sánchez Cuadrado</t>
  </si>
  <si>
    <t>https://link.springer.com/article/10.1007/s10270-024-01250-5</t>
  </si>
  <si>
    <t>Building BESSER: An Open-Source Low-Code Platform</t>
  </si>
  <si>
    <t>Iván Alfonso; Aaron Conrardy; Armen Sulejmani; Atefeh Nirumand; Fitash Ul Haq; Marcos Gomez-Vazquez; Jean-Sébastien Sottet; Jordi Cabot</t>
  </si>
  <si>
    <t>https://link.springer.com/chapter/10.1007/978-3-031-61007-3_16</t>
  </si>
  <si>
    <t>Requirements Modeling and Automatic Transformations Towards Autonomous Driving Scenarios Description</t>
  </si>
  <si>
    <t>Yanlin Hu; Tiexin Wang; Yize Shi</t>
  </si>
  <si>
    <t>Intelligent Systems and Applications</t>
  </si>
  <si>
    <t>https://link.springer.com/chapter/10.1007/978-3-031-47718-8_53</t>
  </si>
  <si>
    <t>A Model-Based Approach for the Transformation and Verification of an IoRT-Aware Business Process</t>
  </si>
  <si>
    <t>Najla Fattouch; Imen Ben Lahmar; Khouloud Boukadi</t>
  </si>
  <si>
    <t>https://link.springer.com/chapter/10.1007/978-3-031-64847-2_39</t>
  </si>
  <si>
    <t>Beyond Rule-Based Named Entity Recognition and Relation Extraction for Process Model Generation from Natural Language Text</t>
  </si>
  <si>
    <t>Julian Neuberger; Lars Ackermann; Stefan Jablonski</t>
  </si>
  <si>
    <t>Cooperative Information Systems</t>
  </si>
  <si>
    <t>https://link.springer.com/chapter/10.1007/978-3-031-46846-9_10</t>
  </si>
  <si>
    <t>Learning differentiable logic programs for abstract visual reasoning</t>
  </si>
  <si>
    <t>Hikaru Shindo; Viktor Pfanschilling; Devendra Singh Dhami; Kristian Kersting</t>
  </si>
  <si>
    <t>Machine Learning</t>
  </si>
  <si>
    <t>https://link.springer.com/article/10.1007/s10994-024-06610-2</t>
  </si>
  <si>
    <t>State of the Art: Automatic Generation of Business Process Models</t>
  </si>
  <si>
    <t>Selina Schüler; Sascha Alpers</t>
  </si>
  <si>
    <t>https://link.springer.com/chapter/10.1007/978-3-031-50974-2_13</t>
  </si>
  <si>
    <t>Real-time design patterns for the verification of safety-critical embedded systems in model-based approach</t>
  </si>
  <si>
    <t>Rania Mzid</t>
  </si>
  <si>
    <t>https://link.springer.com/article/10.1007/s11227-023-05866-0</t>
  </si>
  <si>
    <t>Declarative process model translation and text generation</t>
  </si>
  <si>
    <t>Hongbin Yang; Yang Zhang; Yirong Lu; Yu Zhou</t>
  </si>
  <si>
    <t>https://link.springer.com/article/10.1007/s11761-024-00441-8</t>
  </si>
  <si>
    <t>Using State Transition Diagrams for Automated Knowledge Base Construction</t>
  </si>
  <si>
    <t>Nikita O. Dorodnykh; Aleksandr Yu. Yurin</t>
  </si>
  <si>
    <t>Proceedings of the Eighth International Scientific Conference “Intelligent Information Technologies for Industry” (IITI’24), Volume 1</t>
  </si>
  <si>
    <t>https://link.springer.com/chapter/10.1007/978-3-031-77688-5_3</t>
  </si>
  <si>
    <t>Systematic Review of the Literature on Software Process Automation</t>
  </si>
  <si>
    <t>Leonardo Bermon-Angarita; Camilo Cano-Salazar</t>
  </si>
  <si>
    <t>Advances in Computing</t>
  </si>
  <si>
    <t>https://link.springer.com/chapter/10.1007/978-3-031-75236-0_27</t>
  </si>
  <si>
    <t>A Survey of LLM Datasets: From Autoregressive Model to AI Chatbot</t>
  </si>
  <si>
    <t>Fei Du; Xin-Jian Ma; Jing-Ru Yang; Yi Liu; Chao-Ran Luo; Xue-Bin Wang; Hai-Ou Jiang; Xiang Jing</t>
  </si>
  <si>
    <t>https://link.springer.com/article/10.1007/s11390-024-3767-3</t>
  </si>
  <si>
    <t>Machine learning technique for generation of human readable rules to detect software code smells in open-source software</t>
  </si>
  <si>
    <t>Stuti Tandon; Vijay Kumar; V. B. Singh</t>
  </si>
  <si>
    <t>Life Cycle Reliability and Safety Engineering</t>
  </si>
  <si>
    <t>https://link.springer.com/article/10.1007/s41872-024-00261-x</t>
  </si>
  <si>
    <t>Analysis of the Problems of Using Steganographic Methods in Implementing Illegal Actions and Their Role in Digital Forensics</t>
  </si>
  <si>
    <t>S. V. Bezzateev; M. Yu. Fedosenko</t>
  </si>
  <si>
    <t>Automatic Control and Computer Sciences</t>
  </si>
  <si>
    <t>https://link.springer.com/article/10.3103/S0146411624701207</t>
  </si>
  <si>
    <t>Comprehensive review of AI and ML tools for earthquake damage assessment and retrofitting strategies</t>
  </si>
  <si>
    <t>P. K. S. Bhadauria</t>
  </si>
  <si>
    <t>Earth Science Informatics</t>
  </si>
  <si>
    <t>https://link.springer.com/article/10.1007/s12145-024-01431-2</t>
  </si>
  <si>
    <t>Using DSLs to manage consistency in long-lived enterprise language specifications</t>
  </si>
  <si>
    <t>Peter Linington; Zoran Milosevic; Akira Tanaka; Igor Dejanović</t>
  </si>
  <si>
    <t>https://link.springer.com/article/10.1007/s10270-024-01243-4</t>
  </si>
  <si>
    <t>Challenges Engaging Formal CBSE in Industrial Applications</t>
  </si>
  <si>
    <t>Yi Li; Meng Sun</t>
  </si>
  <si>
    <t>Formal Aspects of Component Software</t>
  </si>
  <si>
    <t>https://link.springer.com/chapter/10.1007/978-3-031-52183-6_8</t>
  </si>
  <si>
    <t>Enhancing Large Language Models-Based Code Generation by Leveraging Genetic Improvement</t>
  </si>
  <si>
    <t>Giovanni Pinna; Damiano Ravalico; Luigi Rovito; Luca Manzoni; Andrea De Lorenzo</t>
  </si>
  <si>
    <t>Genetic Programming</t>
  </si>
  <si>
    <t>https://link.springer.com/chapter/10.1007/978-3-031-56957-9_7</t>
  </si>
  <si>
    <t>The Journey of Language Models in Understanding Natural Language</t>
  </si>
  <si>
    <t>Yuanrui Liu; Jingping Zhou; Guobiao Sang; Ruilong Huang; Xinzhe Zhao; Jintao Fang; Tiexin Wang; Bohan Li</t>
  </si>
  <si>
    <t>Web Information Systems and Applications</t>
  </si>
  <si>
    <t>https://link.springer.com/chapter/10.1007/978-981-97-7707-5_29</t>
  </si>
  <si>
    <t>Towards Systematic and Precise Compilation of Domain-Specific Modelling Languages</t>
  </si>
  <si>
    <t>Federico Ciccozzi</t>
  </si>
  <si>
    <t>ITNG 2024: 21st International Conference on Information Technology-New Generations</t>
  </si>
  <si>
    <t>https://link.springer.com/chapter/10.1007/978-3-031-56599-1_55</t>
  </si>
  <si>
    <t>GTMicro—microservice identification approach based on deep NLP transformer model for greenfield developments</t>
  </si>
  <si>
    <t>Deepali Bajaj; Urmil Bharti; Isha Gupta; Priya Gupta; Asha Yadav</t>
  </si>
  <si>
    <t>https://link.springer.com/article/10.1007/s41870-024-01766-5</t>
  </si>
  <si>
    <t>Safe, secure and trustworthy compute-in-memory accelerators</t>
  </si>
  <si>
    <t>Ziyu Wang; Yuting Wu; Yongmo Park; Wei D. Lu</t>
  </si>
  <si>
    <t>Nature Electronics</t>
  </si>
  <si>
    <t>https://link.springer.com/article/10.1038/s41928-024-01312-y</t>
  </si>
  <si>
    <t>Developing an Academic Case Study to Advance Digital Engineering</t>
  </si>
  <si>
    <t>Paul Wach; Megan Clifford; Dalton Clark; Geoff Kerr; David Long; Craig Arndt; Tim Sherburne; Yan Seetao; Tom Mc; Dermott; Dinesh Verma; Peter Beling; Nicole Hutchison</t>
  </si>
  <si>
    <t>The Proceedings of the 2024 Conference on Systems Engineering Research</t>
  </si>
  <si>
    <t>https://link.springer.com/chapter/10.1007/978-3-031-62554-1_17</t>
  </si>
  <si>
    <t>Quantum software engineering and quantum software development lifecycle: a survey</t>
  </si>
  <si>
    <t>Kanishk Dwivedi; Majid Haghparast; Tommi Mikkonen</t>
  </si>
  <si>
    <t>https://link.springer.com/article/10.1007/s10586-024-04362-1</t>
  </si>
  <si>
    <t>Key-based data augmentation with curriculum learning for few-shot code search</t>
  </si>
  <si>
    <t>Fan Zhang; Manman Peng; Qiang Wu; Yuanyuan Shen</t>
  </si>
  <si>
    <t>https://link.springer.com/article/10.1007/s00521-024-10670-9</t>
  </si>
  <si>
    <t>Experience-guided, mixed-precision matrix multiplication with apache TVM for ARM processors</t>
  </si>
  <si>
    <t>Adrián CastellóHéctor Martínez; Sandra Catalán; Francisco D. Igual; Enrique S. Quintana-Ortí</t>
  </si>
  <si>
    <t>https://link.springer.com/article/10.1007/s11227-024-06720-7</t>
  </si>
  <si>
    <t>A Graph Language Modeling Framework for the Ontological Enrichment of Conceptual Models</t>
  </si>
  <si>
    <t>Syed Juned Ali; Dominik Bork</t>
  </si>
  <si>
    <t>https://link.springer.com/chapter/10.1007/978-3-031-61057-8_7</t>
  </si>
  <si>
    <t>Measuring Occupants Activities-Generated Carbon Emissions in Healthcare Facilities Using Deep Learning</t>
  </si>
  <si>
    <t>Chuanjie Cheng; Ruimin Nie; Jing Pan; Jia Zhu; Daguang Han</t>
  </si>
  <si>
    <t>Proceedings of the 28th International Symposium on Advancement of Construction Management and Real Estate</t>
  </si>
  <si>
    <t>https://link.springer.com/chapter/10.1007/978-981-97-1949-5_118</t>
  </si>
  <si>
    <t>Neural network-ant-colony hybrid optimization of a bacterial fruit juice clarifying metallo-neutral-protease production</t>
  </si>
  <si>
    <t>Eloghosa Ikharia; Maurice Ekpenyong; David Ubi; Ernest Akwagiobe; Ubong Ben; Atim Asitok; Anthony Akpan; Sylvester Antai</t>
  </si>
  <si>
    <t>Journal of Food Science and Technology</t>
  </si>
  <si>
    <t>https://link.springer.com/article/10.1007/s13197-024-06095-w</t>
  </si>
  <si>
    <t>Enterprise Architecture and IT Governance to Support the BizDevOps Approach: a Systematic Mapping Study</t>
  </si>
  <si>
    <t>Guillermo Fuentes-Quijada; Francisco Ruiz-González; Angélica Caro</t>
  </si>
  <si>
    <t>Information Systems Frontiers</t>
  </si>
  <si>
    <t>https://link.springer.com/article/10.1007/s10796-024-10473-2</t>
  </si>
  <si>
    <t>Automated Architecture Recovery for Embedded Software Systems: An Industrial Case Study</t>
  </si>
  <si>
    <t>Domenico Amalfitano; Marco De Luca; Domenico Francesco De Angelis; Anna Rita Fasolino</t>
  </si>
  <si>
    <t>https://link.springer.com/chapter/10.1007/978-3-031-70797-1_4</t>
  </si>
  <si>
    <t>Low-Modeling of Software Systems</t>
  </si>
  <si>
    <t>Jordi Cabot</t>
  </si>
  <si>
    <t>Software Technologies</t>
  </si>
  <si>
    <t>https://link.springer.com/chapter/10.1007/978-3-031-61753-9_2</t>
  </si>
  <si>
    <t>Singleton and Factory Design Patterns Detection Based on Features and Machine Learning</t>
  </si>
  <si>
    <t>Abir Nacef; Sabeur Sehimi; Sahbi Bahroun; Samir Ben Ahmed</t>
  </si>
  <si>
    <t>Evaluation of Novel Approaches to Software Engineering</t>
  </si>
  <si>
    <t>https://link.springer.com/chapter/10.1007/978-3-031-64182-4_9</t>
  </si>
  <si>
    <t>SeamlessMDD: Framework for Seamless Integration of Generated and Hand-Written Code</t>
  </si>
  <si>
    <t>Bojana DragašNenad TodorovićTijana RajačićGordana Milosavljević</t>
  </si>
  <si>
    <t>Web Engineering</t>
  </si>
  <si>
    <t>https://link.springer.com/chapter/10.1007/978-3-031-62362-2_12</t>
  </si>
  <si>
    <t>Going beyond templates: composition and evolution in nested OSTRICH</t>
  </si>
  <si>
    <t>João Costa Seco; Hugo Lourenço; Joana Parreira; Carla Ferreira</t>
  </si>
  <si>
    <t>https://link.springer.com/article/10.1007/s10270-024-01178-w</t>
  </si>
  <si>
    <t>Leveraging Data Augmentation for Process Information Extraction</t>
  </si>
  <si>
    <t>Julian Neuberger; Leonie Doll; Benedikt Engelmann; Lars Ackermann; Stefan Jablonski</t>
  </si>
  <si>
    <t>https://link.springer.com/chapter/10.1007/978-3-031-61007-3_6</t>
  </si>
  <si>
    <t>NLP in Requirements Processing: A Content Analysis Based Systematic Literature Mapping</t>
  </si>
  <si>
    <t>Bell Manrique-Losada; Fernando Moreira; Eidher Julián Cadavid</t>
  </si>
  <si>
    <t>Good Practices and New Perspectives in Information Systems and Technologies</t>
  </si>
  <si>
    <t>https://link.springer.com/chapter/10.1007/978-3-031-60328-0_24</t>
  </si>
  <si>
    <t>A systematic review of refactoring opportunities by software antipattern detection</t>
  </si>
  <si>
    <t>Somayeh Kalhor; Mohammad Reza Keyvanpour; Afshin Salajegheh</t>
  </si>
  <si>
    <t>https://link.springer.com/article/10.1007/s10515-024-00443-y</t>
  </si>
  <si>
    <t>Knowledge-enhanced software refinement: leveraging reinforcement learning for search-based quality engineering</t>
  </si>
  <si>
    <t>Maryam Nooraei Abadeh</t>
  </si>
  <si>
    <t>https://link.springer.com/article/10.1007/s10515-024-00456-7</t>
  </si>
  <si>
    <t>Position paper on high fidelity simulations for coupled processes, multi-physics and chemistry in geological disposal of nuclear waste</t>
  </si>
  <si>
    <t>S. V. Churakov; F. Claret; A. Idiart; D. Jacques; J. Govaerts; O. Kolditz; N.; I. Prasianakis; J. Samper</t>
  </si>
  <si>
    <t>Environmental Earth Sciences</t>
  </si>
  <si>
    <t>https://link.springer.com/article/10.1007/s12665-024-11832-7</t>
  </si>
  <si>
    <t>A formal specification language and automatic modeling method of asset securitization contract</t>
  </si>
  <si>
    <t>Yang Li; Kai Hu; Jie Li; Kaixiang Lu; Yuan Ai</t>
  </si>
  <si>
    <t>https://link.springer.com/article/10.1016/j.jksuci.2024.102163</t>
  </si>
  <si>
    <t>A reference architecture for quantum computing as a service</t>
  </si>
  <si>
    <t>Aakash Ahmad; Ahmed B. Altamimi; Jamal Aqib</t>
  </si>
  <si>
    <t>https://link.springer.com/article/10.1016/j.jksuci.2024.102094</t>
  </si>
  <si>
    <t>A survey of deep causal models and their industrial applications</t>
  </si>
  <si>
    <t>Zongyu Li; Xiaobo Guo; Siwei Qiang</t>
  </si>
  <si>
    <t>https://link.springer.com/article/10.1007/s10462-024-10886-0</t>
  </si>
  <si>
    <t>Creating Virtual Assistants Based on Model Transformations</t>
  </si>
  <si>
    <t>N. O. Dorodnykh; O. A. Nikolaychuk; A. B. Stolbov; A. Yu. Yurin</t>
  </si>
  <si>
    <t>https://link.springer.com/article/10.1134/S1054661824700548</t>
  </si>
  <si>
    <t>A material handling system modeling framework: a data-driven approach for the generation of discrete-event simulation models</t>
  </si>
  <si>
    <t>Zakarya Soufi; Slaheddine Mestiri; Pierre David; Zakaria Yahouni; Johannes Fottner</t>
  </si>
  <si>
    <t>Flexible Services and Manufacturing Journal</t>
  </si>
  <si>
    <t>https://link.springer.com/article/10.1007/s10696-024-09535-z</t>
  </si>
  <si>
    <t>Model Updating Based on Physics Informed Machine Learning on Welded Stiffened Structure</t>
  </si>
  <si>
    <t>Kshitij Shrivastava; Kiran Vijayan; Vikas Arora</t>
  </si>
  <si>
    <t>Proceedings of the 15th International Conference on Vibration Problems</t>
  </si>
  <si>
    <t>https://link.springer.com/chapter/10.1007/978-981-99-5922-8_14</t>
  </si>
  <si>
    <t>Domain-Driven Design in Microservices-Based Systems Development: A Systematic Literature Review and Thematic Analysis</t>
  </si>
  <si>
    <t>J. Sangabriel-Alarcón; J. O. Ocharán-Hernández; X. Limón; M. K. Cortés-Verdín</t>
  </si>
  <si>
    <t>https://link.springer.com/article/10.1134/S0361768824700749</t>
  </si>
  <si>
    <t>A Survey of Natural Language-Based Editing of Low-Code Applications Using Large Language Models</t>
  </si>
  <si>
    <t>Simon Cornelius Gorissen; Stefan Sauer; Wolf G. Beckmann</t>
  </si>
  <si>
    <t>Human-Centered Software Engineering</t>
  </si>
  <si>
    <t>https://link.springer.com/chapter/10.1007/978-3-031-64576-1_15</t>
  </si>
  <si>
    <t>A Cloud-Agnostic Infrastructure Provisioning Approach for Scalable Microservices Architectures</t>
  </si>
  <si>
    <t>Camilo Vargas-Romero; Jeisson Vergara-Vargas</t>
  </si>
  <si>
    <t>https://link.springer.com/chapter/10.1007/978-3-031-75236-0_30</t>
  </si>
  <si>
    <t>Software Architectures and the Use of Knowledge Graphs to Support Their Design</t>
  </si>
  <si>
    <t>Ana-Maria Ghiran; Sven-Alexander Gal</t>
  </si>
  <si>
    <t>https://link.springer.com/chapter/10.1007/978-3-031-71333-0_12</t>
  </si>
  <si>
    <t>AL-SQUARES: SQL Synthesis System with the Addition of Reducer</t>
  </si>
  <si>
    <t>Huimin Liu; Quansheng Dou; Huixian Wang</t>
  </si>
  <si>
    <t>https://link.springer.com/chapter/10.1007/978-981-97-0844-4_3</t>
  </si>
  <si>
    <t>Stochastic pix2vid: A new spatiotemporal deep learning method for image-to-video synthesis in geologic CO\(_2\) storage prediction</t>
  </si>
  <si>
    <t>Misael M. Morales; Carlos Torres-Verdín; Michael J. Pyrcz</t>
  </si>
  <si>
    <t>Computational Geosciences</t>
  </si>
  <si>
    <t>https://link.springer.com/article/10.1007/s10596-024-10298-7</t>
  </si>
  <si>
    <t>A Method for Model-Driven IoT Application Development</t>
  </si>
  <si>
    <t>Benjamin Nast; Kurt Sandkuhl</t>
  </si>
  <si>
    <t>https://link.springer.com/chapter/10.1007/978-3-031-64182-4_7</t>
  </si>
  <si>
    <t>Generating Custom Learned Cost Model for Query Optimizer of DBMS</t>
  </si>
  <si>
    <t>Abdelkader Ouared; Moussa Amrani; Pierre-Yves Schobbens</t>
  </si>
  <si>
    <t>https://link.springer.com/chapter/10.1007/978-3-031-66339-0_2</t>
  </si>
  <si>
    <t>Towards User Profile Meta-Ontology</t>
  </si>
  <si>
    <t>Ankica BarišićMarco Winckler</t>
  </si>
  <si>
    <t>Design for Equality and Justice</t>
  </si>
  <si>
    <t>https://link.springer.com/chapter/10.1007/978-3-031-61688-4_6</t>
  </si>
  <si>
    <t>Deep variability modeling to enhance reproducibility of database performance testing</t>
  </si>
  <si>
    <t>Abdelkader Ouared; Moussa Amrani; Abdelhafid Chadli; Pierre-Yves Schobbens</t>
  </si>
  <si>
    <t>https://link.springer.com/article/10.1007/s10586-024-04533-0</t>
  </si>
  <si>
    <t>Automated Grading in Coding Exercises Using Large Language Models</t>
  </si>
  <si>
    <t>Paraskevas Lagakis; Stavros Demetriadis; Georgios Psathas</t>
  </si>
  <si>
    <t>Smart Mobile Communication &amp; Artificial Intelligence</t>
  </si>
  <si>
    <t>https://link.springer.com/chapter/10.1007/978-3-031-54327-2_37</t>
  </si>
  <si>
    <t>Navigating the Data Model Divide in Smart Manufacturing: An Empirical Investigation for Enhanced AI Integration</t>
  </si>
  <si>
    <t>István Koren; Matthias Jarke; Judith Michael; Malte Heithoff; Leah Tacke Genannt Unterberg; Max Stachon; Bernhard Rumpe; Wil M. P. van der Aalst</t>
  </si>
  <si>
    <t>https://link.springer.com/chapter/10.1007/978-3-031-61007-3_21</t>
  </si>
  <si>
    <t>Evaluating Large Language Models in Process Mining: Capabilities, Benchmarks, and Evaluation Strategies</t>
  </si>
  <si>
    <t>Alessandro Berti; Humam Kourani; Hannes Häfke; Chiao-Yun Li; Daniel Schuster</t>
  </si>
  <si>
    <t>https://link.springer.com/chapter/10.1007/978-3-031-61007-3_2</t>
  </si>
  <si>
    <t>Jidoka: automation with a human touch</t>
  </si>
  <si>
    <t>Eban Escott</t>
  </si>
  <si>
    <t>https://link.springer.com/article/10.1007/s10270-024-01256-z</t>
  </si>
  <si>
    <t>Review Study on the Adaptive and Personalized Intelligent Tutoring Systems in E-learning</t>
  </si>
  <si>
    <t>Atmane El Hadbi; El Kaber Hachem; Hamid Bourray; Mohammed Hatim Rziki; Houda Oubalahcen</t>
  </si>
  <si>
    <t>International Conference on Advanced Intelligent Systems for Sustainable Development (AI2SD'2023)</t>
  </si>
  <si>
    <t>https://link.springer.com/chapter/10.1007/978-3-031-54288-6_5</t>
  </si>
  <si>
    <t>Comparing Care Pathways Between COVID-19 Pandemic Waves Using Electronic Health Records: A Process Mining Case Study</t>
  </si>
  <si>
    <t>Konstantin Georgiev; Jacques D. Fleuriot; Petros Papapanagiotou; Joanne Mc; Peake; Susan D. Shenkin; Atul Anand</t>
  </si>
  <si>
    <t>Journal of Healthcare Informatics Research</t>
  </si>
  <si>
    <t>https://link.springer.com/article/10.1007/s41666-024-00181-6</t>
  </si>
  <si>
    <t>OMPGPT: A Generative Pre-trained Transformer Model for OpenMP</t>
  </si>
  <si>
    <t>Le Chen; Arijit Bhattacharjee; Nesreen Ahmed; Niranjan Hasabnis; Gal Oren; Vy Vo; Ali Jannesari</t>
  </si>
  <si>
    <t>Euro-Par 2024: Parallel Processing</t>
  </si>
  <si>
    <t>https://link.springer.com/chapter/10.1007/978-3-031-69577-3_9</t>
  </si>
  <si>
    <t>Ulysses Tesemõ: a new large corpus for Brazilian legal and governmental domain</t>
  </si>
  <si>
    <t>Felipe A. Siqueira; Douglas Vitório; Ellen Souza; José A. P. Santos; Hidelberg O. Albuquerque; Márcio S. Dias; Nádia F. F. Silva; André C. P. L. F. de Carvalho; Adriano L. I. Oliveira; Carmelo Bastos-Filho</t>
  </si>
  <si>
    <t>Language Resources and Evaluation</t>
  </si>
  <si>
    <t>https://link.springer.com/article/10.1007/s10579-024-09762-8</t>
  </si>
  <si>
    <t>Improving reuse during the development process for web systems</t>
  </si>
  <si>
    <t>Ahmed M. El-Halawany; Hamdy K. Elminir; Hazem El-Bakry</t>
  </si>
  <si>
    <t>https://link.springer.com/article/10.1038/s41598-024-74643-7</t>
  </si>
  <si>
    <t>P-R-Dash: A Dashboard-Constructing Tool for Twinning Business Processes</t>
  </si>
  <si>
    <t>Lam-Son Lê</t>
  </si>
  <si>
    <t>https://link.springer.com/article/10.1007/s42979-024-02850-0</t>
  </si>
  <si>
    <t>LLM4PM: A Case Study on Using Large Language Models for Process Modeling in Enterprise Organizations</t>
  </si>
  <si>
    <t>Clara Ziche; Giovanni Apruzzese</t>
  </si>
  <si>
    <t>Business Process Management: Blockchain, Robotic Process Automation, Central and Eastern European, Educators and Industry Forum</t>
  </si>
  <si>
    <t>https://link.springer.com/chapter/10.1007/978-3-031-70445-1_35</t>
  </si>
  <si>
    <t>Intelligent Computational Methods for Damage Detection of Laminated Composite Structures for Mobility Applications: A Comprehensive Review</t>
  </si>
  <si>
    <t>Muhammad Muzammil Azad; Yubin Cheon; Izaz Raouf; Salman Khalid; Heung Soo Kim</t>
  </si>
  <si>
    <t>https://link.springer.com/article/10.1007/s11831-024-10146-y</t>
  </si>
  <si>
    <t>Repairing Process Models Through Simulation and Explainable AI</t>
  </si>
  <si>
    <t>Francesco Vinci; Massimiliano de Leoni</t>
  </si>
  <si>
    <t>Business Process Management</t>
  </si>
  <si>
    <t>https://link.springer.com/chapter/10.1007/978-3-031-70396-6_8</t>
  </si>
  <si>
    <t>Utilizing interpretable stacking ensemble learning and NSGA-III for the prediction and optimisation of building photo-thermal environment and energy consumption</t>
  </si>
  <si>
    <t>Yeqin Shen; Yubing Hu; Kai Cheng; Hainan Yan; Kaixiang Cai; Jianye Hua; Xuemin Fei; Qinyu Wang</t>
  </si>
  <si>
    <t>https://link.springer.com/article/10.1007/s12273-024-1108-7</t>
  </si>
  <si>
    <t>Model-Based Systems Engineering in Smart Manufacturing - Future Trends Toward Sustainability</t>
  </si>
  <si>
    <t>Ali Asghar Bataleblu; Erwin Rauch; David S. Cochran</t>
  </si>
  <si>
    <t>Proceedings of the 15th International Conference on Axiomatic Design 2023</t>
  </si>
  <si>
    <t>https://link.springer.com/chapter/10.1007/978-3-031-49920-3_20</t>
  </si>
  <si>
    <t>Uncovering LLMs for Service-Composition: Challenges and Opportunities</t>
  </si>
  <si>
    <t>Robin D. Pesl; Miles Stötzner; Ilche Georgievski; Marco Aiello</t>
  </si>
  <si>
    <t>Service-Oriented Computing – ICSOC 2023 Workshops</t>
  </si>
  <si>
    <t>https://link.springer.com/chapter/10.1007/978-981-97-0989-2_4</t>
  </si>
  <si>
    <t>An Effective Model for Performance Prediction of a Centrifugal Pump with Nose Caps Using ANN</t>
  </si>
  <si>
    <t>Neeta Amol Mandhare; G. Suganya; K. Karunamurthy</t>
  </si>
  <si>
    <t>Advances in Clean Energy and Sustainability, Volume 2</t>
  </si>
  <si>
    <t>https://link.springer.com/chapter/10.1007/978-981-97-5419-9_8</t>
  </si>
  <si>
    <t>MSIF: Multi-source Information Fusion for Financial Question Answering</t>
  </si>
  <si>
    <t>Man Lin; Delong Zeng; Jiarui Ouyang; Ying Shen</t>
  </si>
  <si>
    <t>Artificial Neural Networks and Machine Learning – ICANN 2024</t>
  </si>
  <si>
    <t>https://link.springer.com/chapter/10.1007/978-3-031-72356-8_26</t>
  </si>
  <si>
    <t>Multi-label text classification via secondary use of large clinical real-world data sets</t>
  </si>
  <si>
    <t>Sai Pavan Kumar Veeranki; Akhila Abdulnazar; Diether Kramer; Markus Kreuzthaler; David Benjamin Lumenta</t>
  </si>
  <si>
    <t>https://link.springer.com/article/10.1038/s41598-024-76424-8</t>
  </si>
  <si>
    <t>A Graph Transformation-Based Engine for the Automated Exploration of Constraint Models</t>
  </si>
  <si>
    <t>Christopher Stone; András Z. Salamon; Ian Miguel</t>
  </si>
  <si>
    <t>Graph Transformation</t>
  </si>
  <si>
    <t>https://link.springer.com/chapter/10.1007/978-3-031-64285-2_13</t>
  </si>
  <si>
    <t>Metamodel and Formalization to Model, Transform, Deploy, and Execute Quantum Workflows</t>
  </si>
  <si>
    <t>Martin Beisel; Johanna Barzen; Marvin Bechtold; Frank Leymann; Felix Truger; Benjamin Weder</t>
  </si>
  <si>
    <t>Cloud Computing and Services Science</t>
  </si>
  <si>
    <t>https://link.springer.com/chapter/10.1007/978-3-031-68165-3_6</t>
  </si>
  <si>
    <t>Blockchain technology for society 4.0: a comprehensive review of key applications, requirement analysis, research trends, challenges and future avenues</t>
  </si>
  <si>
    <t>Parijata Majumdar; Sanjoy Mitra</t>
  </si>
  <si>
    <t>https://link.springer.com/article/10.1007/s10586-024-04337-2</t>
  </si>
  <si>
    <t>GAT-GRU Based Model for Water Network Flow Prediction</t>
  </si>
  <si>
    <t>Zheng Sheng; Zhikai Cai</t>
  </si>
  <si>
    <t>Proceedings of The 9th International Conference on Water Resource and Environment</t>
  </si>
  <si>
    <t>https://link.springer.com/chapter/10.1007/978-981-97-0948-9_14</t>
  </si>
  <si>
    <t>An Explorative Study on Code Comprehension: Issues and Challenges</t>
  </si>
  <si>
    <t>Raj Kamal Kaur; Babita Pandey; Devendra Kumar Pandey; Aditya Khamparia</t>
  </si>
  <si>
    <t>The Smart IoT Blueprint: Engineering a Connected Future</t>
  </si>
  <si>
    <t>https://link.springer.com/chapter/10.1007/978-3-031-63103-0_21</t>
  </si>
  <si>
    <t>Exploring ChatGPT Prompt Engineering for Business Process Models Semantic Quality Improvement</t>
  </si>
  <si>
    <t>Sarah Ayad; Fatimah Al; Sayoud</t>
  </si>
  <si>
    <t>https://link.springer.com/chapter/10.1007/978-3-031-60221-4_39</t>
  </si>
  <si>
    <t>Enterprise Architecture Model for the Mortgage Loan Lending Process in a Financial Institution Using TOGAF</t>
  </si>
  <si>
    <t>Oscar Alonso Flores-Chavez; Andrei Alonso Falen-Salazar; Emilio Antonio Herrera-Trujillo</t>
  </si>
  <si>
    <t>International Conference on Applied Technologies</t>
  </si>
  <si>
    <t>https://link.springer.com/chapter/10.1007/978-3-031-58950-8_13</t>
  </si>
  <si>
    <t>Ensemble learning-assisted prediction of prolonged hospital length of stay after spine correction surgery: a multi-center cohort study</t>
  </si>
  <si>
    <t>Wenle Li; Yusi Zhang; Xin Zhou; Xubin Quan; Binghao Chen; Xuewen Hou; Qizhong Xu; Weiheng He; Liang Chen; Xiaozhu Liu; Yang Zhang; Tianyu Xiang; Runmin Li; Qiang Liu; Shi-Nan Wu; Kai Wang; Wencai Liu; Jialiang Zheng; Haopeng Luan; Xiaolin Yu; Anfa Chen; Chan Xu; Tongqing Luo; Zhaohui Hu</t>
  </si>
  <si>
    <t>Journal of Orthopaedic Surgery and Research</t>
  </si>
  <si>
    <t>https://link.springer.com/article/10.1186/s13018-024-04576-4</t>
  </si>
  <si>
    <t>Studies on the Use of Large Language Models for the Automation of Business Processes in Enterprise Resource Planning Systems</t>
  </si>
  <si>
    <t>Jonas Schnepf; Tuğranur Engin; Simon Anderer; Bernd Scheuermann</t>
  </si>
  <si>
    <t>https://link.springer.com/chapter/10.1007/978-3-031-70239-6_2</t>
  </si>
  <si>
    <t>Targeted training for numerical reasoning with large language models</t>
  </si>
  <si>
    <t>Xiao Li; Sichen Liu; Yin Zhu; Gong Cheng</t>
  </si>
  <si>
    <t>https://link.springer.com/article/10.1007/s10115-024-02216-1</t>
  </si>
  <si>
    <t>An overview of quantum software engineering in Latin America</t>
  </si>
  <si>
    <t>Álvaro M. Aparicio-Morales; Enrique Moguel; Luis Mariano Bibbo; Alejandro Fernandez; Jose Garcia-Alonso; Juan M. Murillo</t>
  </si>
  <si>
    <t>Quantum Information Processing</t>
  </si>
  <si>
    <t>https://link.springer.com/article/10.1007/s11128-024-04586-5</t>
  </si>
  <si>
    <t>Observability for Quantum Workflows in Heterogeneous Multi-cloud Environments</t>
  </si>
  <si>
    <t>Martin Beisel; Johanna Barzen; Frank Leymann; Lavinia Stiliadou; Benjamin Weder</t>
  </si>
  <si>
    <t>https://link.springer.com/chapter/10.1007/978-3-031-61057-8_36</t>
  </si>
  <si>
    <t>Accessibility in the Software Engineering (SE) Process and in Integrated Development Environments (IDEs): A Systematic Literature Review</t>
  </si>
  <si>
    <t>Nataša Rajh; Klaus Miesenberger; Reinhard Koutny</t>
  </si>
  <si>
    <t>Computers Helping People with Special Needs</t>
  </si>
  <si>
    <t>https://link.springer.com/chapter/10.1007/978-3-031-62846-7_2</t>
  </si>
  <si>
    <t>A Picture Is Worth a Thousand Words: Exploring Diagram and Video-Based OOP Exercises to Counter LLM Over-Reliance</t>
  </si>
  <si>
    <t>Bruno Pereira Cipriano; Pedro Alves; Paul Denny</t>
  </si>
  <si>
    <t>Technology Enhanced Learning for Inclusive and Equitable Quality Education</t>
  </si>
  <si>
    <t>https://link.springer.com/chapter/10.1007/978-3-031-72315-5_6</t>
  </si>
  <si>
    <t>Virtual design on the heat pump refrigeration cycle: challenges and approaches</t>
  </si>
  <si>
    <t>Yoon Jei Hwang; Noma Park</t>
  </si>
  <si>
    <t>International Journal of Air-Conditioning and Refrigeration</t>
  </si>
  <si>
    <t>https://link.springer.com/article/10.1007/s44189-024-00052-0</t>
  </si>
  <si>
    <t>Test-based behaviour model derivation and adaption to enable automated test case scheduling for automated production systems</t>
  </si>
  <si>
    <t>Kathrin Land; Birgit Vogel-Heuser; Richard Off</t>
  </si>
  <si>
    <t>Production Engineering</t>
  </si>
  <si>
    <t>https://link.springer.com/article/10.1007/s11740-024-01289-9</t>
  </si>
  <si>
    <t>Hybrid Collaborative Networks in Energy Ecosystems</t>
  </si>
  <si>
    <t>Kankam Okatakyie Adu-Kankam; Luis M. Camarinha-Matos; Eric Obeng</t>
  </si>
  <si>
    <t>Navigating Unpredictability: Collaborative Networks in Non-linear Worlds</t>
  </si>
  <si>
    <t>https://link.springer.com/chapter/10.1007/978-3-031-71739-0_1</t>
  </si>
  <si>
    <t>Self-Provisioning Infrastructures for the Next Generation Serverless Computing</t>
  </si>
  <si>
    <t>Stefan Nastic</t>
  </si>
  <si>
    <t>https://link.springer.com/article/10.1007/s42979-024-03022-w</t>
  </si>
  <si>
    <t>A Meta-model for Documenting Conversational Requirements in Chatbots</t>
  </si>
  <si>
    <t>Larissa Pereira Gonçalves; Edna Dias Canedo; Gleison Santos</t>
  </si>
  <si>
    <t>https://link.springer.com/chapter/10.1007/978-3-031-70245-7_5</t>
  </si>
  <si>
    <t>ArgServices: A Microservice-Based Architecture for Argumentation Machines</t>
  </si>
  <si>
    <t>Mirko Lenz; Lorik Dumani; Ralf Schenkel; Ralph Bergmann</t>
  </si>
  <si>
    <t>Robust Argumentation Machines</t>
  </si>
  <si>
    <t>https://link.springer.com/chapter/10.1007/978-3-031-63536-6_21</t>
  </si>
  <si>
    <t>Challenges of software verification: the past, the present, the future</t>
  </si>
  <si>
    <t>Pietro Ferrara; Vincenzo Arceri; Agostino Cortesi</t>
  </si>
  <si>
    <t>International Journal on Software Tools for Technology Transfer</t>
  </si>
  <si>
    <t>https://link.springer.com/article/10.1007/s10009-024-00765-y</t>
  </si>
  <si>
    <t>Intelligent Low-Code Platform As a Rule Construction Environment: Practices for Resolving Differences in Understanding</t>
  </si>
  <si>
    <t>Yu. I. Rogozov</t>
  </si>
  <si>
    <t>Scientific and Technical Information Processing</t>
  </si>
  <si>
    <t>https://link.springer.com/article/10.3103/S014768822470028X</t>
  </si>
  <si>
    <t>Language-Model Assisted Learning How to Program?</t>
  </si>
  <si>
    <t>Jochen L. Leidner; Michael Reiche</t>
  </si>
  <si>
    <t>Artificial Intelligence. ECAI 2023 International Workshops</t>
  </si>
  <si>
    <t>https://link.springer.com/chapter/10.1007/978-3-031-50485-3_41</t>
  </si>
  <si>
    <t>Software Testing Approach for Digital Twin Verification and Validation</t>
  </si>
  <si>
    <t>Milad Zahediyami; Simon Gorecki; Mamadou Kaba Traoré</t>
  </si>
  <si>
    <t>https://link.springer.com/chapter/10.1007/978-3-031-71743-7_8</t>
  </si>
  <si>
    <t>Hardware real-time individualised blood glucose predictor generator based on grammars and cartesian genetic programming</t>
  </si>
  <si>
    <t>Jorge Cano; J. Ignacio HidalgoÓscar Garnica</t>
  </si>
  <si>
    <t>Genetic Programming and Evolvable Machines</t>
  </si>
  <si>
    <t>https://link.springer.com/article/10.1007/s10710-024-09500-7</t>
  </si>
  <si>
    <t>Identifying and fixing ambiguities in, and semantically accurate formalisation of, behavioural requirements</t>
  </si>
  <si>
    <t>Thuy Nguyen; Imen Sayar; Sophie Ebersold; Jean-Michel Bruel</t>
  </si>
  <si>
    <t>https://link.springer.com/article/10.1007/s10270-023-01142-0</t>
  </si>
  <si>
    <t>Automatic Code Scraping Based Test Case Generation</t>
  </si>
  <si>
    <t>Arunkumar Chinnaswamy; B. A. Sabarish</t>
  </si>
  <si>
    <t>The Future of Artificial Intelligence and Robotics</t>
  </si>
  <si>
    <t>https://link.springer.com/chapter/10.1007/978-3-031-60935-0_42</t>
  </si>
  <si>
    <t>Research on Software-Defined High-Confidence Space Equipment Architecture</t>
  </si>
  <si>
    <t>Xingxing Wu; Ruixue Wu; Lei Gao; Boan Zou; Peigang Zhang; Yong ping Men; Yuan Zhou</t>
  </si>
  <si>
    <t>Signal and Information Processing, Networking and Computers</t>
  </si>
  <si>
    <t>https://link.springer.com/chapter/10.1007/978-981-97-2124-5_3</t>
  </si>
  <si>
    <t>An Evaluation Method for Digital Twin Development Platforms</t>
  </si>
  <si>
    <t>José Monteiro; João Barata</t>
  </si>
  <si>
    <t>Extended Reality</t>
  </si>
  <si>
    <t>https://link.springer.com/chapter/10.1007/978-3-031-71707-9_36</t>
  </si>
  <si>
    <t>To Be or Not To Be—After AI Revolution</t>
  </si>
  <si>
    <t>Viktória Bakonyi; Zoltán Illés; Dávid Szabó</t>
  </si>
  <si>
    <t>Proceedings of Ninth International Congress on Information and Communication Technology</t>
  </si>
  <si>
    <t>https://link.springer.com/chapter/10.1007/978-981-97-3289-0_4</t>
  </si>
  <si>
    <t>Potential distribution of Biscogniauxia mediterranea and Obolarina persica causal agents of oak charcoal disease in Iran’s Zagros forests</t>
  </si>
  <si>
    <t>Meysam Bakhshi; Ganje; Shirin Mahmoodi; Kourosh Ahmadi; Mansoureh Mirabolfathy</t>
  </si>
  <si>
    <t>https://link.springer.com/article/10.1038/s41598-024-57298-2</t>
  </si>
  <si>
    <t>Spreadsheet quality assurance: a literature review</t>
  </si>
  <si>
    <t>Pak-Lok Poon; Man Fai Lau; Yuen Tak Yu; Sau-Fun Tang</t>
  </si>
  <si>
    <t>Frontiers of Computer Science</t>
  </si>
  <si>
    <t>https://link.springer.com/article/10.1007/s11704-023-2384-6</t>
  </si>
  <si>
    <t>Methods to Develop a Comprehensive Rule-Based Clash Avoidance System Based on Expert Opinion</t>
  </si>
  <si>
    <t>Tabassum Mushtary Meem; Omar Doukari; Ivanka Iordanova</t>
  </si>
  <si>
    <t>Proceedings of the Canadian Society for Civil Engineering Annual Conference 2023, Volume 5</t>
  </si>
  <si>
    <t>https://link.springer.com/chapter/10.1007/978-3-031-61503-0_24</t>
  </si>
  <si>
    <t>Boosting general-purpose stream processing with reconfigurable hardware</t>
  </si>
  <si>
    <t>Alberto Ottimo; Gabriele Mencagli; Marco Danelutto</t>
  </si>
  <si>
    <t>https://link.springer.com/article/10.1007/s11227-024-05894-4</t>
  </si>
  <si>
    <t>Lifting Spreadsheets Made Easy: Combining Power and Magic in Sheet2RDF</t>
  </si>
  <si>
    <t>Armando Stellato; Manuel Fiorelli; Tiziano Lorenzetti; Andrea Turbati</t>
  </si>
  <si>
    <t>Metadata and Semantic Research</t>
  </si>
  <si>
    <t>https://link.springer.com/chapter/10.1007/978-3-031-65990-4_11</t>
  </si>
  <si>
    <t>What’s Behind the Screen? Unveiling UI Hierarchies in Process-Related UI Logs</t>
  </si>
  <si>
    <t>A. Martínez-Rojas; A. Rodríguez-Ruíz; J. G. Enríquez; A. Jiménez-Ramírez</t>
  </si>
  <si>
    <t>https://link.springer.com/chapter/10.1007/978-3-031-70396-6_15</t>
  </si>
  <si>
    <t>CDMiA: Revealing Impacts of Data Migrations on Schemas in Multi-model Systems</t>
  </si>
  <si>
    <t>Annabelle GilletÉric Leclercq</t>
  </si>
  <si>
    <t>https://link.springer.com/chapter/10.1007/978-3-031-61000-4_14</t>
  </si>
  <si>
    <t>32nd Annual Computational Neuroscience Meeting: CNS*2023</t>
  </si>
  <si>
    <t>Journal of Computational Neuroscience</t>
  </si>
  <si>
    <t>https://link.springer.com/article/10.1007/s10827-024-00871-5</t>
  </si>
  <si>
    <t>Non-Invasive Hardware Trojans Modeling and Insertion: A Formal Verification Approach</t>
  </si>
  <si>
    <t>Hala Ibrahim; Haytham Azmi; M. Watheq El-Kharashi; Mona Safar</t>
  </si>
  <si>
    <t>Journal of Electronic Testing</t>
  </si>
  <si>
    <t>https://link.springer.com/article/10.1007/s10836-024-06100-2</t>
  </si>
  <si>
    <t>Optimising Sustainability Accounting: Using Language Models to Match and Merge Survey Indicators</t>
  </si>
  <si>
    <t>Vijanti Ramautar; Noah Ritfeld; Sjaak Brinkkemper; Sergio España</t>
  </si>
  <si>
    <t>https://link.springer.com/chapter/10.1007/978-3-031-59465-6_21</t>
  </si>
  <si>
    <t>AI vs. Dinosaurs – Automated Re-implementation of Legacy Mainframe Applications in Java by Combining Program Synthesis and GPT</t>
  </si>
  <si>
    <t>Simon Fischer-Heselhaus; Philipp Brune</t>
  </si>
  <si>
    <t>Mobile, Secure, and Programmable Networking</t>
  </si>
  <si>
    <t>https://link.springer.com/chapter/10.1007/978-3-031-52426-4_14</t>
  </si>
  <si>
    <t>Adaptable multi-objective optimization framework: application to metal additive manufacturing</t>
  </si>
  <si>
    <t>Mohamed Imad Eddine Heddar; Brahim Mehdi; Nedjoua Matougui; Souheil Antoine Tahan; Mohammad Jahazi</t>
  </si>
  <si>
    <t>https://link.springer.com/article/10.1007/s00170-024-13489-9</t>
  </si>
  <si>
    <t>Using GPT-4 to Generate Failure Logic</t>
  </si>
  <si>
    <t>Kester Clegg; Ibrahim Habli; John Mc; Dermid</t>
  </si>
  <si>
    <t>Computer Safety, Reliability, and Security. SAFECOMP 2024 Workshops</t>
  </si>
  <si>
    <t>https://link.springer.com/chapter/10.1007/978-3-031-68738-9_11</t>
  </si>
  <si>
    <t>Systematic evaluation of high-throughput PBK modelling strategies for the prediction of intravenous and oral pharmacokinetics in humans</t>
  </si>
  <si>
    <t>René Geci; Domenico Gadaleta; Marina García de Lomana; Rita Ortega-Vallbona; Erika Colombo; Eva Serrano-Candelas; Alicia Paini; Lars Kuepfer; Stephan Schaller</t>
  </si>
  <si>
    <t>Archives of Toxicology</t>
  </si>
  <si>
    <t>https://link.springer.com/article/10.1007/s00204-024-03764-9</t>
  </si>
  <si>
    <t>Investigating the readability of test code</t>
  </si>
  <si>
    <t>Dietmar Winkler; Pirmin Urbanke; Rudolf Ramler</t>
  </si>
  <si>
    <t>https://link.springer.com/article/10.1007/s10664-023-10390-z</t>
  </si>
  <si>
    <t>Towards a general user model to develop intelligent user interfaces</t>
  </si>
  <si>
    <t>Alberto Gaspar; Miriam Gil; José Ignacio Panach; Verónica Romero</t>
  </si>
  <si>
    <t>https://link.springer.com/article/10.1007/s11042-024-18240-w</t>
  </si>
  <si>
    <t>High-resolution global maps of yield potential with local relevance for targeted crop production improvement</t>
  </si>
  <si>
    <t>Fernando Aramburu-Merlos; Marloes P. van Loon; Martin K. van Ittersum; Patricio Grassini</t>
  </si>
  <si>
    <t>Nature Food</t>
  </si>
  <si>
    <t>https://link.springer.com/article/10.1038/s43016-024-01029-3</t>
  </si>
  <si>
    <t>Application of Data-Driven Surrogate Models in Structural Engineering: A Literature Review</t>
  </si>
  <si>
    <t>Delbaz Samadian; Imrose B. Muhit; Nashwan Dawood</t>
  </si>
  <si>
    <t>https://link.springer.com/article/10.1007/s11831-024-10152-0</t>
  </si>
  <si>
    <t>On the use of large language models in model-driven engineering</t>
  </si>
  <si>
    <t>Juri Di Rocco; Davide Di Ruscio; Claudio Di Sipio; Phuong T. Nguyen; Riccardo Rubei</t>
  </si>
  <si>
    <t>https://link.springer.com/article/10.1007/s10270-025-01263-8</t>
  </si>
  <si>
    <t>Code generation for classical-quantum software systems modeled in UML</t>
  </si>
  <si>
    <t>https://link.springer.com/article/10.1007/s10270-024-01259-w</t>
  </si>
  <si>
    <t>Model-driven engineering for digital twins: a systematic mapping study</t>
  </si>
  <si>
    <t>Daniel Lehner; Jingxi Zhang; Jérôme Pfeiffer; Sabine Sint; Ann-Kathrin Splettstößer; Manuel Wimmer; Andreas Wortmann</t>
  </si>
  <si>
    <t>https://link.springer.com/article/10.1007/s10270-025-01264-7</t>
  </si>
  <si>
    <t>Translating BPMN models into X-Klaim programs for developing multi-robot missions</t>
  </si>
  <si>
    <t>Khalid Bourr; Francesco Tiezzi; Lorenzo Bettini; Stefano Seriani</t>
  </si>
  <si>
    <t>https://link.springer.com/article/10.1007/s10009-025-00832-y</t>
  </si>
  <si>
    <t>Data Exchange for SysML: A Review</t>
  </si>
  <si>
    <t>Chen Zhou; Baoran An; Bin Yu; Suicheng Li</t>
  </si>
  <si>
    <t>Mechanical Design and Simulation: Exploring Innovations for the Future</t>
  </si>
  <si>
    <t>https://link.springer.com/chapter/10.1007/978-981-97-7887-4_73</t>
  </si>
  <si>
    <t>A Research landscape on formal verification of UML dynamic modeling</t>
  </si>
  <si>
    <t>Runfang Wu; Ye Du; Yu Tang</t>
  </si>
  <si>
    <t>https://link.springer.com/article/10.1007/s11227-025-07464-8</t>
  </si>
  <si>
    <t>Automatic Code Generation Techniques: A Systematic Literature Review</t>
  </si>
  <si>
    <t>Maha Alharbi; Mohammad Alshayeb</t>
  </si>
  <si>
    <t>https://link.springer.com/article/10.1007/s10515-025-00551-3</t>
  </si>
  <si>
    <t>Guest editorial for the special section on the 26th international conference on model-driven engineering languages and systems (MODELS 2023)</t>
  </si>
  <si>
    <t>Antonio Cicchetti; Thomas Kühne; Alfonso Pierantonio; Gabriele Taentzer</t>
  </si>
  <si>
    <t>https://link.springer.com/article/10.1007/s10270-025-01322-0</t>
  </si>
  <si>
    <t>Size matters less: how fine-tuned small LLMs excel in BPMN generation</t>
  </si>
  <si>
    <t>Ghada Soliman; Nour Abdel Wars; Hagar Hesham</t>
  </si>
  <si>
    <t>Journal of Electrical Systems and Information Technology</t>
  </si>
  <si>
    <t>https://link.springer.com/article/10.1186/s43067-025-00288-9</t>
  </si>
  <si>
    <t>GRAPHxx: DSML engineering for knowledge graph building and streamlining with GraphRAG</t>
  </si>
  <si>
    <t>https://link.springer.com/article/10.1007/s10270-025-01297-y</t>
  </si>
  <si>
    <t>Automated project scheduling from UML sequence diagrams using OCR and critical path analysis</t>
  </si>
  <si>
    <t>Abdulrahman Alyami; Hisham Allahem; Ayman Mohamed Mostafa; Mahmood A. Mahmood</t>
  </si>
  <si>
    <t>https://link.springer.com/article/10.1038/s41598-025-32431-x</t>
  </si>
  <si>
    <t>Comparative Analysis of Natural Language Query Responses on BPMN Model Serializations: RDF Graphs Versus BPMN XML</t>
  </si>
  <si>
    <t>Proceedings of 23rd International Conference on Informatics in Economy (IE 2024)</t>
  </si>
  <si>
    <t>https://link.springer.com/chapter/10.1007/978-981-96-0161-5_12</t>
  </si>
  <si>
    <t>Enhancing declarative business process management availability through generative AI</t>
  </si>
  <si>
    <t>Wesley da Silva Santos; Juliana Rezende Coutinho; Fernanda Baião; Georges Miranda Spyrides; Hélio Côrtes Vieira Lopes</t>
  </si>
  <si>
    <t>https://link.springer.com/article/10.1007/s44311-025-00029-1</t>
  </si>
  <si>
    <t>MP: motion program synthesis with machine learning interpretability and knowledge graph analogy</t>
  </si>
  <si>
    <t>Cheng-Hao Cai</t>
  </si>
  <si>
    <t>https://link.springer.com/article/10.1007/s10515-025-00495-8</t>
  </si>
  <si>
    <t>Towards an Approach for Extending BPMN with Quality Dimension</t>
  </si>
  <si>
    <t>Zohra Alyani; Mohamed Turki; Karima Dhouib; Faiez Gargouri</t>
  </si>
  <si>
    <t>https://link.springer.com/chapter/10.1007/978-3-031-85067-7_29</t>
  </si>
  <si>
    <t>An Analysis of the Semantic Foundation of KerML and SysML v2</t>
  </si>
  <si>
    <t>João Paulo A. Almeida; Luís Ferreira Pires; Giancarlo Guizzardi; Gerd Wagner</t>
  </si>
  <si>
    <t>https://link.springer.com/chapter/10.1007/978-3-031-75872-0_8</t>
  </si>
  <si>
    <t>What do we need from modeling tools for teaching? A survey of the community of higher-education modeling teachers</t>
  </si>
  <si>
    <t>Steffen Zschaler; Timothy Lethbridge; Antonio Bucchiarone; Federico Bonetti; Reyhaneh Kalantari</t>
  </si>
  <si>
    <t>https://link.springer.com/article/10.1007/s10270-025-01336-8</t>
  </si>
  <si>
    <t>Oscar Pastor; Rene Noel; Jose Ignacio Panach</t>
  </si>
  <si>
    <t>https://link.springer.com/article/10.1007/s10270-025-01299-w</t>
  </si>
  <si>
    <t>iStar2uml: toward automatic generation of UML model from iStar model</t>
  </si>
  <si>
    <t>Yilong Yang; Younggi Bok; Hongyue Pan; Yang Li; Nan Niu; Tong Li</t>
  </si>
  <si>
    <t>https://link.springer.com/article/10.1007/s00766-024-00434-1</t>
  </si>
  <si>
    <t>Can explainable artificial intelligence support software modelers in model comprehension?</t>
  </si>
  <si>
    <t>Francisco Javier Alcaide; José Raúl Romero; Aurora Ramírez</t>
  </si>
  <si>
    <t>https://link.springer.com/article/10.1007/s10270-024-01251-4</t>
  </si>
  <si>
    <t>Exploring modeling methods for information systems analysis and design: a data-driven retrospective</t>
  </si>
  <si>
    <t>Iris Reinhartz-Berger; Adir Solomon; Jelena Zdravkovic; John Krogstie; Henderik A. Proper</t>
  </si>
  <si>
    <t>https://link.springer.com/article/10.1007/s10270-025-01302-4</t>
  </si>
  <si>
    <t>Model-driven engineering of SAP core data services - the bigER2CDS modeling tool</t>
  </si>
  <si>
    <t>Gallus Huber; Dominik Bork</t>
  </si>
  <si>
    <t>https://link.springer.com/article/10.1007/s10270-025-01320-2</t>
  </si>
  <si>
    <t>Modeling in Jjodel: towards bridging complexity and usability in model-driven engineering</t>
  </si>
  <si>
    <t>Antonio Bucchiarone; Juri Di Rocco; Damiano Di Vincenzo; Alfonso Pierantonio</t>
  </si>
  <si>
    <t>https://link.springer.com/article/10.1007/s10270-025-01324-y</t>
  </si>
  <si>
    <t>Adaptive and accessible user interfaces for seniors through model-driven engineering</t>
  </si>
  <si>
    <t>Shavindra Wickramathilaka; John Grundy; Kashumi Madampe; Omar Haggag</t>
  </si>
  <si>
    <t>https://link.springer.com/article/10.1007/s10515-025-00547-z</t>
  </si>
  <si>
    <t>Nala2BPMN: Automating BPMN Model Generation with Large Language Models</t>
  </si>
  <si>
    <t>Ali Nour Eldin; Nour Assy; Olan Anesini; Benjamin Dalmas; Walid Gaaloul</t>
  </si>
  <si>
    <t>https://link.springer.com/chapter/10.1007/978-3-031-81375-7_27</t>
  </si>
  <si>
    <t>Generative AI meets CAD: enhancing engineering design to manufacturing processes with large language models</t>
  </si>
  <si>
    <t>Amirmohammad Daareyni; Antti Martikkala; Hossein Mokhtarian; Iñigo Flores Ituarte</t>
  </si>
  <si>
    <t>https://link.springer.com/article/10.1007/s00170-025-15830-2</t>
  </si>
  <si>
    <t>A survey on large language model-based alpha mining</t>
  </si>
  <si>
    <t>Junjie Zhang; Shuoling Liu; Tongzhe Zhang; Yuchen Shi</t>
  </si>
  <si>
    <t>https://link.springer.com/article/10.1631/FITEE.2500386</t>
  </si>
  <si>
    <t>Artificial intelligence security and privacy: a survey</t>
  </si>
  <si>
    <t>Xinlei He; Guowen Xu; Xingshuo Han; Qian Wang; Lingchen Zhao; Chao Shen; Chenhao Lin; Zhengyu Zhao; Qian Li; Le Yang; Shouling Ji; Shaofeng Li; Haojin Zhu; Zhibo Wang; Rui Zheng; Tianqing Zhu; Qi Li; Chaoxiang He; Qifan Wang; Hongsheng Hu; Shuo Wang; Shi-Feng Sun; Hongwei Yao; Zhan Qin; Kai Chen; Yue Zhao; Hongwei Li; Xinyi Huang; Dengguo Feng</t>
  </si>
  <si>
    <t>https://link.springer.com/article/10.1007/s11432-025-4388-5</t>
  </si>
  <si>
    <t>Large Language Models for Democratizing Business Process Modeling: BPMN Model Generation and Style Guide Adherence</t>
  </si>
  <si>
    <t>Seline Wenger; Maja Spahic-Bogdanovic; Andreas Martin</t>
  </si>
  <si>
    <t>Artificial Intelligence Research</t>
  </si>
  <si>
    <t>https://link.springer.com/chapter/10.1007/978-3-031-78255-8_22</t>
  </si>
  <si>
    <t>Model Driven Development for AI-Based Healthcare Systems: A Review</t>
  </si>
  <si>
    <t>Colm Brandon; Amandeep Singh; Tiziana Margaria</t>
  </si>
  <si>
    <t>https://link.springer.com/chapter/10.1007/978-3-031-73741-1_15</t>
  </si>
  <si>
    <t>ViT-DtC: vision transformer-based design-to-code framework for code generation from generated UI designs and hand-drawn sketches</t>
  </si>
  <si>
    <t>Areeg Ahmed; Shahira Azab; Sherin M. Moussa; Yasser Abdelhamid</t>
  </si>
  <si>
    <t>https://link.springer.com/article/10.1007/s00521-025-11565-z</t>
  </si>
  <si>
    <t>From Black Box to Glass Box: A Model-Driven Engineering Approach for Explainable AI</t>
  </si>
  <si>
    <t>Mohamed Amine El Youssr; Mahmoud El Hamlaoui; Youness Laghouaouta</t>
  </si>
  <si>
    <t>Proceedings of the 4th International Conference on Advances in Communication Technology and Computer Engineering (ICACTCE’24)</t>
  </si>
  <si>
    <t>https://link.springer.com/chapter/10.1007/978-3-031-94623-3_41</t>
  </si>
  <si>
    <t>Maximilian Schaller; Stephen Boyd</t>
  </si>
  <si>
    <t>Optimization and Engineering</t>
  </si>
  <si>
    <t>https://link.springer.com/article/10.1007/s11081-025-10057-2</t>
  </si>
  <si>
    <t>Overview of Current Challenges in Multi-architecture Software Engineering and a Vision for the Future</t>
  </si>
  <si>
    <t>Piotr Sowiński; Ignacio Lacalle; Rafael Vaño; Carlos E. Palau; Maria Ganzha; Marcin Paprzycki</t>
  </si>
  <si>
    <t>Big Data Analytics in Astronomy, Science, and Engineering</t>
  </si>
  <si>
    <t>https://link.springer.com/chapter/10.1007/978-3-031-86193-2_5</t>
  </si>
  <si>
    <t>State of the Art and Research Directions for Visual Conceptual Modeling in Robotics</t>
  </si>
  <si>
    <t>Daniel Borcard; Hans-Georg Fill</t>
  </si>
  <si>
    <t>https://link.springer.com/chapter/10.1007/978-3-031-95397-2_26</t>
  </si>
  <si>
    <t>Low-Modeling: Leveraging Transformer-Based Models for Automated Model Generation</t>
  </si>
  <si>
    <t>Nihal Salih; Mahmoud El Hamlaoui; Tarik Fissaa</t>
  </si>
  <si>
    <t>https://link.springer.com/chapter/10.1007/978-3-031-94623-3_28</t>
  </si>
  <si>
    <t>Process Modeler vs. Chatbot: Is Generative AI Taking over Process Modeling?</t>
  </si>
  <si>
    <t>Nataliia Klievtsova; Janik-Vasily Benzin; Juergen Mangler; Timotheus Kampik; Stefanie Rinderle-Ma</t>
  </si>
  <si>
    <t>Process Mining Workshops</t>
  </si>
  <si>
    <t>https://link.springer.com/chapter/10.1007/978-3-031-82225-4_47</t>
  </si>
  <si>
    <t>Developing configurations and solutions for logical puzzles with UML and OCL</t>
  </si>
  <si>
    <t>Martin Gogolla; Jesús Sánchez Cuadrado</t>
  </si>
  <si>
    <t>https://link.springer.com/article/10.1007/s10270-025-01272-7</t>
  </si>
  <si>
    <t>Safety behavior abstraction and model evolution in autonomous driving</t>
  </si>
  <si>
    <t>Chao Tan; Tiexin Wang; Man Zhang; Tao Yue</t>
  </si>
  <si>
    <t>https://link.springer.com/article/10.1007/s10270-024-01261-2</t>
  </si>
  <si>
    <t>Circulise4LCE, a model-driven sustainability development framework for local circular economy engineering and simulation</t>
  </si>
  <si>
    <t>Yves Wautelet; Xavier Rouget</t>
  </si>
  <si>
    <t>https://link.springer.com/article/10.1007/s10270-025-01314-0</t>
  </si>
  <si>
    <t>Interview Study to Determine the Potential of Large Language Model Usage in IT-Consultancy</t>
  </si>
  <si>
    <t>Moritz Jehnert; Christoph Meyer; Kurt Sandkuhl</t>
  </si>
  <si>
    <t>Business Information Systems</t>
  </si>
  <si>
    <t>https://link.springer.com/chapter/10.1007/978-3-031-94193-1_7</t>
  </si>
  <si>
    <t>Review: machine learning approaches for diverse alloy systems</t>
  </si>
  <si>
    <t>Arafat Rahman; Md Sojib Hossain; Abdullah-Bin Siddique</t>
  </si>
  <si>
    <t>Journal of Materials Science</t>
  </si>
  <si>
    <t>https://link.springer.com/article/10.1007/s10853-025-11154-4</t>
  </si>
  <si>
    <t>A Modeling Method for Work Systems Knowledge Capture and Traceability</t>
  </si>
  <si>
    <t>Andrei Chiș</t>
  </si>
  <si>
    <t>https://link.springer.com/chapter/10.1007/978-3-031-94590-8_29</t>
  </si>
  <si>
    <t>End-to-end development of product lines for web systems</t>
  </si>
  <si>
    <t>Maya R. A. Setyautami; Reiner Hähnle; Ade Azurat; Eko K. Budiardjo</t>
  </si>
  <si>
    <t>https://link.springer.com/article/10.1007/s10009-025-00784-3</t>
  </si>
  <si>
    <t>Enhancing the ability of LLMs for spaceborne equipment code generation via retrieval-augmented generation and contrastive learning</t>
  </si>
  <si>
    <t>Rui He; Liang Zhang; Liangqing Lyu; Changbin Xue</t>
  </si>
  <si>
    <t>https://link.springer.com/article/10.1007/s10515-025-00545-1</t>
  </si>
  <si>
    <t>Artificial Intelligent Technologies to Support Software Engineering: A Survey</t>
  </si>
  <si>
    <t>Luigi Colucci Cante; Antonio Esposito; Mariangela Graziano; Beniamino Di Martino</t>
  </si>
  <si>
    <t>Complex, Intelligent and Software Intensive Systems</t>
  </si>
  <si>
    <t>https://link.springer.com/chapter/10.1007/978-3-031-96096-3_23</t>
  </si>
  <si>
    <t>Daniel Busch; Alexander Bainczyk; Steven Smyth; Bernhard Steffen</t>
  </si>
  <si>
    <t>https://link.springer.com/article/10.1007/s10009-025-00798-x</t>
  </si>
  <si>
    <t>Generative AI in Software Engineering: Enhancing Development and Innovation</t>
  </si>
  <si>
    <t>Fadwa Saoiabi; Nassim Kharmoum; Chaimae Elasri; Souad Najoua Lagmiri; Soumia Ziti</t>
  </si>
  <si>
    <t>Smart Business and Technologies</t>
  </si>
  <si>
    <t>https://link.springer.com/chapter/10.1007/978-3-031-86698-2_28</t>
  </si>
  <si>
    <t>Integrating smart contracts into the modeling paradigm to harness the potential of models</t>
  </si>
  <si>
    <t>Cristian Gómez-Macías; Francisco Javier Pérez-Blanco; David Granada; Juan Manuel Vara</t>
  </si>
  <si>
    <t>https://link.springer.com/article/10.1007/s10270-024-01260-3</t>
  </si>
  <si>
    <t>DropMismatch: removing mismatched UI elements for better pixel to code generation</t>
  </si>
  <si>
    <t>Ming Li; Tao Lin</t>
  </si>
  <si>
    <t>https://link.springer.com/article/10.1007/s10489-025-06384-7</t>
  </si>
  <si>
    <t>Fundamentals of Conceptual Modeling</t>
  </si>
  <si>
    <t>Heinrich C. Mayr; Bernhard Thalheim</t>
  </si>
  <si>
    <t>Enterprise Design, Operations, and Computing. EDOC 2024 Workshops</t>
  </si>
  <si>
    <t>https://link.springer.com/chapter/10.1007/978-3-031-79059-1_19</t>
  </si>
  <si>
    <t>Artificial intelligence in computational modeling of thrombosis: Bridging mechanistic insights and clinical translation</t>
  </si>
  <si>
    <t>Mohamad Al Bannoud; Tiago Dias Martins; Silmara Aparecida de Lima Montalvão; Joyce Maria Annichino-Bizzacchi; Rubens Maciel Filho; Maria Regina Wolf Maciel</t>
  </si>
  <si>
    <t>Journal of Thrombosis and Thrombolysis</t>
  </si>
  <si>
    <t>https://link.springer.com/article/10.1007/s11239-025-03222-y</t>
  </si>
  <si>
    <t>Beyond Programming Assistance Towards the Integration of Generative AI into Computer Science Education: A Scoping Review</t>
  </si>
  <si>
    <t>Sonia Proust-Androwkha; Valéry PsychéRevekka Kyriakoglou; Anis Boubaker; Sébastien LalléLamprini Chartofylaka; Guilherme Medeiros Machado; Nour El Mawas</t>
  </si>
  <si>
    <t>Artificial Intelligence in Education</t>
  </si>
  <si>
    <t>https://link.springer.com/chapter/10.1007/978-3-031-98462-4_48</t>
  </si>
  <si>
    <t>Advances in integration of machine learning and life cycle assessment within construction sector: a literature review</t>
  </si>
  <si>
    <t>Samrity Jalota; Mohammad Farhad Ayazi</t>
  </si>
  <si>
    <t>Innovative Infrastructure Solutions</t>
  </si>
  <si>
    <t>https://link.springer.com/article/10.1007/s41062-025-02124-5</t>
  </si>
  <si>
    <t>Assessing the Suitability of Large Language Models in Generating UML Class Diagrams as Conceptual Models</t>
  </si>
  <si>
    <t>Marco Calamo; Massimo Mecella; Monique Snoeck</t>
  </si>
  <si>
    <t>https://link.springer.com/chapter/10.1007/978-3-031-95397-2_13</t>
  </si>
  <si>
    <t>Conceptual Modelling of Data Pipelines: A Literature Review</t>
  </si>
  <si>
    <t>Paulo Henrique Brunheroto; Fernando Deschamps; Eduardo de Freitas Rocha Loures</t>
  </si>
  <si>
    <t>Intelligent Production and Industry 5.0 with Human Touch, Resilience, and Circular Economy</t>
  </si>
  <si>
    <t>https://link.springer.com/chapter/10.1007/978-3-031-77723-3_44</t>
  </si>
  <si>
    <t>Deep learning models for culturally aware cyberbullying detection in Muslim societies: a systematic review</t>
  </si>
  <si>
    <t>Golam Md Mohiuddin; Md Shohel Sayeed; Ong Lee Yeng</t>
  </si>
  <si>
    <t>https://link.springer.com/article/10.1007/s44163-025-00577-2</t>
  </si>
  <si>
    <t>Stroke Risk Prediction and Prevention: Traditional versus Machine Learning Approaches</t>
  </si>
  <si>
    <t>M. Sheetal Singh; Khelchandra Thongam; Prakash Choudhary; P. K. Bhagat</t>
  </si>
  <si>
    <t>https://link.springer.com/article/10.1007/s11831-025-10406-5</t>
  </si>
  <si>
    <t>Generative Artificial Intelligence in Agile Software Development Processes: A Literature Review Focused on User eXperience</t>
  </si>
  <si>
    <t>Héctor Cornide-Reyes; Diego Monsalves; Eduardo Durán; Fabián Silva-Aravena; Jenny Morales</t>
  </si>
  <si>
    <t>Social Computing and Social Media</t>
  </si>
  <si>
    <t>https://link.springer.com/chapter/10.1007/978-3-031-93536-7_16</t>
  </si>
  <si>
    <t>Empowering Relational Concept Analysis Using Large Language Model Knowledge Delivery</t>
  </si>
  <si>
    <t>Alain Gutierrez; Marianne Huchard; Pierre Martin; Huaxi Zhang</t>
  </si>
  <si>
    <t>Conceptual Knowledge Structures</t>
  </si>
  <si>
    <t>https://link.springer.com/chapter/10.1007/978-3-032-03364-2_8</t>
  </si>
  <si>
    <t>Review of empowering computer-aided engineering with artificial intelligence</t>
  </si>
  <si>
    <t>Xu-Wen Zhao; Xiao-Meng Tong; Fang-Wei Ning; Mao-Lin Cai; Fei Han; Hong-Guang Li</t>
  </si>
  <si>
    <t>Advances in Manufacturing</t>
  </si>
  <si>
    <t>https://link.springer.com/article/10.1007/s40436-025-00545-0</t>
  </si>
  <si>
    <t>Physics-informed machine learning for advancing computational medical imaging: integrating data-driven approaches with fundamental physical principles</t>
  </si>
  <si>
    <t>Mohsen Ahmadi; Debojit Biswas; Maohua Lin; Frank D. Vrionis; Javad Hashemi; Yufei Tang</t>
  </si>
  <si>
    <t>https://link.springer.com/article/10.1007/s10462-025-11303-w</t>
  </si>
  <si>
    <t>Dynamic context-aware multi-modal deep learning for longitudinal prediction of Parkinson’s disease progression</t>
  </si>
  <si>
    <t>Amin Dehghanghanatkaman</t>
  </si>
  <si>
    <t>https://link.springer.com/article/10.1038/s41598-025-31898-y</t>
  </si>
  <si>
    <t>Intelligent optimal control of endoreversible single-effect HVAC-AR system using machine learning</t>
  </si>
  <si>
    <t>A. F. I. Mamadou; M. O. K. Idrissou; S. A. O. Sanya; J. V. C. Vargas; A. R. Alexandra</t>
  </si>
  <si>
    <t>https://link.springer.com/article/10.1007/s44189-025-00088-w</t>
  </si>
  <si>
    <t>Toward Automating Agent-Based Model Generation: A Benchmark for Model Extraction Using Question-Answering Techniques</t>
  </si>
  <si>
    <t>Siamak Khatami; Christopher Frantz</t>
  </si>
  <si>
    <t>Advances in Social Simulation</t>
  </si>
  <si>
    <t>https://link.springer.com/chapter/10.1007/978-3-031-91782-0_17</t>
  </si>
  <si>
    <t>Proof Repair Utilizing Large Language Models: A Case Study on the Copland Remote Attestation Proofbase</t>
  </si>
  <si>
    <t>Amer Tahat; David Hardin; Adam Petz; Perry Alexander</t>
  </si>
  <si>
    <t>https://link.springer.com/chapter/10.1007/978-3-031-75434-0_10</t>
  </si>
  <si>
    <t>Rigorous engineering of collective adaptive systems – 3rd special section: part I</t>
  </si>
  <si>
    <t>Martin Wirsing; Rocco De Nicola; Stefan Jähnichen; Mirco Tribastone</t>
  </si>
  <si>
    <t>https://link.springer.com/article/10.1007/s10009-025-00837-7</t>
  </si>
  <si>
    <t>AST2CVCode: A New Benchmark Dataset for Source Code Generation on Computer Vision Applications</t>
  </si>
  <si>
    <t>Wafa Saad Alshehri; Salma Kammoun Jarraya; Arwa Abdulaziz Allinjawi</t>
  </si>
  <si>
    <t>International Conference on Advanced Intelligent Systems for Sustainable Developent (AI2SD 2024)</t>
  </si>
  <si>
    <t>https://link.springer.com/chapter/10.1007/978-3-031-91337-2_46</t>
  </si>
  <si>
    <t>Towards a Novel Approach for Modeling and Checking a Smart Agriculture-Aware Business Process</t>
  </si>
  <si>
    <t>https://link.springer.com/article/10.1007/s42979-025-03965-8</t>
  </si>
  <si>
    <t>Transforming natural language into code: advancing automated code synthesis for software development</t>
  </si>
  <si>
    <t>Bashar Al shboul; Ali Qaqour; Hani Bani-Salameh; Khaled Almakadmeh</t>
  </si>
  <si>
    <t>https://link.springer.com/article/10.1007/s10586-025-05688-0</t>
  </si>
  <si>
    <t>LegiCode: A blockchain-legal LLM framework for real-time compliance in smart contract generation</t>
  </si>
  <si>
    <t>Linkai Zhu; Xueyan Zhang; Zeyu Zhang; Di Wu; Longxiang Gao</t>
  </si>
  <si>
    <t>https://link.springer.com/article/10.1007/s10664-025-10760-9</t>
  </si>
  <si>
    <t>Toward LLM-enabled business process coherence checking based on multi-level process documentation</t>
  </si>
  <si>
    <t>Marek Schulte; Sandro Franzoi; Frank Köhne; Jan vom Brocke</t>
  </si>
  <si>
    <t>https://link.springer.com/article/10.1007/s44311-025-00024-6</t>
  </si>
  <si>
    <t>Generating Domain Models with LLMs Using Instruction Tuning: A Research Preview</t>
  </si>
  <si>
    <t>Gökberk Çelikmasat; Atay Özgövde; Fatma Başak Aydemir</t>
  </si>
  <si>
    <t>https://link.springer.com/chapter/10.1007/978-3-031-88531-0_11</t>
  </si>
  <si>
    <t>An empirical study of manual abstraction between class diagrams and code of open-source systems</t>
  </si>
  <si>
    <t>Wenli Zhang; Weixing Zhang; Daniel Strüber; Regina Hebig</t>
  </si>
  <si>
    <t>https://link.springer.com/article/10.1007/s10270-025-01289-y</t>
  </si>
  <si>
    <t>Foundation Models for the Digital Twins Creation of Cyber-Physical Systems</t>
  </si>
  <si>
    <t>Shaukat Ali; Paolo Arcaini; Aitor Arrieta</t>
  </si>
  <si>
    <t>Leveraging Applications of Formal Methods, Verification and Validation. Application Areas</t>
  </si>
  <si>
    <t>https://link.springer.com/chapter/10.1007/978-3-031-75390-9_2</t>
  </si>
  <si>
    <t>Balancing fitness and precision in process model repair: framework formalization, assessment, and benefits for simulation</t>
  </si>
  <si>
    <t>https://link.springer.com/article/10.1007/s44311-025-00007-7</t>
  </si>
  <si>
    <t>Automatic Code Generation from GUI Screenshots with Vision-Language Models</t>
  </si>
  <si>
    <t>Jingbin Liang; Jing Liang; Shuang Li</t>
  </si>
  <si>
    <t>Computer Animation and Social Agents</t>
  </si>
  <si>
    <t>https://link.springer.com/chapter/10.1007/978-981-96-2684-7_19</t>
  </si>
  <si>
    <t>Special section on uncertainty, modeling, CPSs and AI: honoring Prof. Antonio Vallecillo</t>
  </si>
  <si>
    <t>Javier Troya; Alfonso Pierantonio</t>
  </si>
  <si>
    <t>https://link.springer.com/article/10.1007/s10270-025-01285-2</t>
  </si>
  <si>
    <t>Development and evolution of Xtext-based DSLs on GitHub: an empirical investigation</t>
  </si>
  <si>
    <t>Weixing Zhang; Daniel Strüber; Regina Hebig</t>
  </si>
  <si>
    <t>https://link.springer.com/article/10.1007/s10664-025-10775-2</t>
  </si>
  <si>
    <t>Leveraging Generative Vision Models for Extracting Process Models from Documents</t>
  </si>
  <si>
    <t>Marvin Voelter; Raheleh Hadian; Timotheus Kampik; Marius Breitmayer; Manfred Reichert</t>
  </si>
  <si>
    <t>https://link.springer.com/chapter/10.1007/978-3-031-78666-2_21</t>
  </si>
  <si>
    <t>A model and workflow-driven approach for engineering domain-specific low-code platforms and applications</t>
  </si>
  <si>
    <t>Francisco Martínez-Lasaca; Pablo Díez; Esther Guerra; Juan de Lara</t>
  </si>
  <si>
    <t>https://link.springer.com/article/10.1007/s10270-025-01308-y</t>
  </si>
  <si>
    <t>Enhancing automated network function onboarding through language extension and code refactoring</t>
  </si>
  <si>
    <t>Hesham Elabd; Juergen Dingel; Tung Fai Lau; Ali Tizghadam</t>
  </si>
  <si>
    <t>https://link.springer.com/article/10.1007/s10270-025-01311-3</t>
  </si>
  <si>
    <t>A knowledge-based approach for guided development of Infrastructure as Code</t>
  </si>
  <si>
    <t>Zoe Vasileiou; Indika Kumara; Georgios Meditskos; Kamil Tokmakov; Dragan RadolovićJesús Gorroñogoitia Cruz; Elisabetta Di Nitto; Damian Andrew Tamburri; Willem-Jan Van Den Heuvel; Stefanos Vrochidis</t>
  </si>
  <si>
    <t>https://link.springer.com/article/10.1007/s10270-025-01294-1</t>
  </si>
  <si>
    <t>Large multimodal models evaluation: a survey</t>
  </si>
  <si>
    <t>Zicheng Zhang; Junying Wang; Farong Wen; Yijin Guo; Xiangyu Zhao; Xinyu Fang; Shengyuan Ding; Ziheng Jia; Jiahao Xiao; Ye Shen; Yushuo Zheng; Xiaorong Zhu; Yalun Wu; Ziheng Jiao; Wei Sun; Zijian Chen; Kaiwei Zhang; Kang Fu; Yuqin Cao; Ming Hu; Yue Zhou; Xuemei Zhou; Juntai Cao; Wei Zhou; Jinyu Cao; Ronghui Li; Donghao Zhou; Yuan Tian; Xiangyang Zhu; Chunyi Li; Haoning Wu; Xiaohong Liu; Junjun He; Yu Zhou; Hui Liu; Lin Zhang; Zesheng Wang; Huiyu Duan; Yingjie Zhou; Xiongkuo Min; Qi Jia; Dongzhan Zhou; Wenlong Zhang; Jiezhang Cao; Xue Yang; Junzhi Yu; Songyang Zhang; Haodong Duan; Guangtao Zhai</t>
  </si>
  <si>
    <t>https://link.springer.com/article/10.1007/s11432-025-4676-4</t>
  </si>
  <si>
    <t>A reference architecture for the development of GLSP-based web modeling tools</t>
  </si>
  <si>
    <t>Haydar Metin; Dominik Bork</t>
  </si>
  <si>
    <t>https://link.springer.com/article/10.1007/s10270-024-01257-y</t>
  </si>
  <si>
    <t>Establishing Traceability Between Natural Language Requirements and Software Artifacts by Combining RAG and LLMs</t>
  </si>
  <si>
    <t>Syed Juned Ali; Varun Naganathan; Dominik Bork</t>
  </si>
  <si>
    <t>https://link.springer.com/chapter/10.1007/978-3-031-75872-0_16</t>
  </si>
  <si>
    <t>Rock Slope Stability Prediction: A Review of Machine Learning Techniques</t>
  </si>
  <si>
    <t>Arifuggaman Arif; Chunlei Zhang; Mahabub Hasan Sajib; Md Nasir Uddin; Md Habibullah; Ruimin Feng; Mingjie Feng; Md Saifur Rahman; Ye Zhang</t>
  </si>
  <si>
    <t>Geotechnical and Geological Engineering</t>
  </si>
  <si>
    <t>https://link.springer.com/article/10.1007/s10706-025-03091-5</t>
  </si>
  <si>
    <t>Multi-modal Summarization in Model-Based Engineering: Automotive Software Development Case Study</t>
  </si>
  <si>
    <t>Nenad Petrovic; Yurui Zhang; Moaad Maaroufi; Kuo-Yi Chao; Lukasz Mazur; Fengjunjie Pan; Vahid Zolfaghari; Alois Knoll</t>
  </si>
  <si>
    <t>https://link.springer.com/chapter/10.1007/978-3-032-00071-2_10</t>
  </si>
  <si>
    <t>From Natural Language to Code Generation in a Specific Domain of Application: A Systematic Map</t>
  </si>
  <si>
    <t>Mohammed Imahrain; Ilham El Farissi</t>
  </si>
  <si>
    <t>Proceedings of the 4th International Conference on Electronic Engineering and Renewable Energy Systems—Volume 1</t>
  </si>
  <si>
    <t>https://link.springer.com/chapter/10.1007/978-981-96-0644-3_11</t>
  </si>
  <si>
    <t>Simulation of system architectures using optimization and machine learning: the state of the art and research opportunities</t>
  </si>
  <si>
    <t>Wallace Manzano; Valdemar Vicente Graciano Neto; Thiago Bianchi; Mohamad Kassab; Elisa Yumi Nakagawa</t>
  </si>
  <si>
    <t>https://link.springer.com/article/10.1007/s10270-025-01280-7</t>
  </si>
  <si>
    <t>ArtifactOps and ArtifactDL: a methodology and a language for conceptualizing and operationalising different types of pipelines</t>
  </si>
  <si>
    <t>Raúl Miñón; Josu Diaz-de-Arcaya; Ana I. Torre-Bastida; Juan López-de-Armentia; Gorka Zarate; Lander Bonilla; Asier Garcia-Perez; Jon Aguirre-Usandizaga</t>
  </si>
  <si>
    <t>Journal of Cloud Computing</t>
  </si>
  <si>
    <t>https://link.springer.com/article/10.1186/s13677-025-00761-w</t>
  </si>
  <si>
    <t>Nenad TodorovićAleksandar LukićNikola TodorovićBojana DragašGordana Milosavljević</t>
  </si>
  <si>
    <t>https://link.springer.com/article/10.1007/s10270-025-01296-z</t>
  </si>
  <si>
    <t>An Approach to Building Knowledge Bases for Aviation Diagnostics Tasks</t>
  </si>
  <si>
    <t>N. O. Dorodnykh; O. A. Nikolaichuk; Yu. V. Kotlov; A. Yu. Yurin</t>
  </si>
  <si>
    <t>https://link.springer.com/article/10.3103/S1068799825010167</t>
  </si>
  <si>
    <t>Large Language Models for Process Knowledge Acquisition</t>
  </si>
  <si>
    <t>Malik Schinckus; Anthony Simonofski; Nicolás Bono Rosselló</t>
  </si>
  <si>
    <t>https://link.springer.com/article/10.1007/s12599-025-00976-w</t>
  </si>
  <si>
    <t>Research on multi-scale modeling method for digital twin workshop with considering multi-levels, domains and dimensions</t>
  </si>
  <si>
    <t>Yaoguang Hu; Zixuan Zhang; Xiaonan Yang; Xinlong Li; Zixi Wang</t>
  </si>
  <si>
    <t>https://link.springer.com/article/10.1007/s00170-025-16816-w</t>
  </si>
  <si>
    <t>AI-driven fuzzy requirement engineering for cybersecurity: integrating linguistic decision models</t>
  </si>
  <si>
    <t>Shahnawaz Ahmad; Mohd. Arif; Mohd.; Aquib Ansari; Mohd. Nazim</t>
  </si>
  <si>
    <t>Iran Journal of Computer Science</t>
  </si>
  <si>
    <t>https://link.springer.com/article/10.1007/s42044-025-00324-x</t>
  </si>
  <si>
    <t>Exploring Prompt Engineering for Generating G-Code to Program CNC Milling Machines</t>
  </si>
  <si>
    <t>Hector Rafael Morano Okuno</t>
  </si>
  <si>
    <t>Proceedings of Tenth International Congress on Information and Communication Technology</t>
  </si>
  <si>
    <t>https://link.springer.com/chapter/10.1007/978-981-96-6432-0_9</t>
  </si>
  <si>
    <t>Efficacy of Various Large Language Models in Generating Smart Contracts</t>
  </si>
  <si>
    <t>Siddhartha Chatterjee; Bina Ramamurthy</t>
  </si>
  <si>
    <t>Advances in Information and Communication</t>
  </si>
  <si>
    <t>https://link.springer.com/chapter/10.1007/978-3-031-85363-0_31</t>
  </si>
  <si>
    <t>Large language models: applications, limitations, challenges, and recommendations in cybersecurity, digital forensics, and ethical hacking</t>
  </si>
  <si>
    <t>Jean Paul A. Yaacoub; Hassan N. Noura; Ola Salman; Guy Pujolle</t>
  </si>
  <si>
    <t>Annals of Telecommunications</t>
  </si>
  <si>
    <t>https://link.springer.com/article/10.1007/s12243-025-01134-9</t>
  </si>
  <si>
    <t>Evaluating large language models on business process modeling: framework, benchmark, and self-improvement analysis</t>
  </si>
  <si>
    <t>https://link.springer.com/article/10.1007/s10270-025-01318-w</t>
  </si>
  <si>
    <t>Exploring Models’ Interoperability in Digital Thread and Twin: A Proposal for an Ontology-Driven Approach Based on Intra-And Cross-Organizational Enterprise Integration</t>
  </si>
  <si>
    <t>Zhengyu Liu; Arkopaul Sarkar; Sina Namaki Araghi; Bernard Archimede; Rebecca Arista; Mohamed Hedi Karray</t>
  </si>
  <si>
    <t>Building Resilience into Production: Contemporary Challenges for the Future</t>
  </si>
  <si>
    <t>https://link.springer.com/chapter/10.1007/978-3-031-92082-0_32</t>
  </si>
  <si>
    <t>Overview of AI and communication for 6G network: fundamentals, challenges, and future research opportunities</t>
  </si>
  <si>
    <t>Qimei Cui; Xiaohu You; Ni Wei; Guoshun Nan; Xuefei Zhang; Jianhua Zhang; Xinchen Lyu; Ming Ai; Xiaofeng Tao; Zhiyong Feng; Ping Zhang; Qingqing Wu; Meixia Tao; Yongming Huang; Chongwen Huang; Guangyi Liu; Chenghui Peng; Zhiwen Pan; Tao Sun; Dusit Niyato; Tao Chen; Muhammad Khurram Khan; Abbas Jamalipour; Mohsen Guizani; Chau Yuen</t>
  </si>
  <si>
    <t>https://link.springer.com/article/10.1007/s11432-024-4337-1</t>
  </si>
  <si>
    <t>Trojan Horse Chronicles: A Comprehensive Study on Historical Perspectives, Modern Attacks, and Machine Learning Defences</t>
  </si>
  <si>
    <t>Manush Shah; Utkarsh Patel; Prit Patel; Sachi Joshi; Harsh Patel; Dhruv Soni; Upesh Patel; Shivam Patel</t>
  </si>
  <si>
    <t>ICT: Applications and Social Interfaces</t>
  </si>
  <si>
    <t>https://link.springer.com/chapter/10.1007/978-981-96-4139-0_23</t>
  </si>
  <si>
    <t>Defining Classes and Semantic Relationships from User Scenarios Through a Heuristic Approach</t>
  </si>
  <si>
    <t>A. D. Hafiza Aunsa; Vita Santa Barletta; Paolo Buono; C. M. Nadeem Faisal; Antonio Piccinno; Zafar Saeed; Luciana Provenzano</t>
  </si>
  <si>
    <t>End-User Development</t>
  </si>
  <si>
    <t>https://link.springer.com/chapter/10.1007/978-3-031-95452-8_21</t>
  </si>
  <si>
    <t>How fair are we? From conceptualization to automated assessment of fairness definitions</t>
  </si>
  <si>
    <t>Giordano d’ Aloisio; Claudio Di Sipio; Antinisca Di Marco; Davide Di Ruscio</t>
  </si>
  <si>
    <t>https://link.springer.com/article/10.1007/s10270-025-01277-2</t>
  </si>
  <si>
    <t>Registries in Machine Learning-Based Drug Discovery: A Shortcut to Code Reuse</t>
  </si>
  <si>
    <t>Peter B. R. Hartog; Emma Svensson; Lewis Mervin; Samuel Genheden; Ola Engkvist; Igor V. Tetko</t>
  </si>
  <si>
    <t>AI in Drug Discovery</t>
  </si>
  <si>
    <t>https://link.springer.com/chapter/10.1007/978-3-031-72381-0_9</t>
  </si>
  <si>
    <t>An MDD Framework Towards the Automated Development of Ubiquitous Context-Aware Recommender Systems for Commerce</t>
  </si>
  <si>
    <t>Christos Mettouris; Achilleas Achilleos; Georgia Kapitsaki; George A. Papadopoulos</t>
  </si>
  <si>
    <t>https://link.springer.com/article/10.1007/s42979-025-03896-4</t>
  </si>
  <si>
    <t>LLM4Model: Automated Requirements Specification Model Authoring</t>
  </si>
  <si>
    <t>Asha Rajbhoj; Akanksha Somase; Tanay Sant; Sushant Vale; Vinay Kulkarni</t>
  </si>
  <si>
    <t>https://link.springer.com/chapter/10.1007/978-3-031-94590-8_16</t>
  </si>
  <si>
    <t>LLM4TDG: test-driven generation of large language models based on enhanced constraint reasoning</t>
  </si>
  <si>
    <t>Jingqiang Liu; Ruigang Liang; Xiaoxi Zhu; Yue Zhang; Yuling Liu; Qixu Liu</t>
  </si>
  <si>
    <t>Cybersecurity</t>
  </si>
  <si>
    <t>https://link.springer.com/article/10.1186/s42400-024-00335-4</t>
  </si>
  <si>
    <t>DPS: Design pattern summarisation using code features</t>
  </si>
  <si>
    <t>Najam Nazar; Sameer Sikka; Christoph Treude</t>
  </si>
  <si>
    <t>https://link.springer.com/article/10.1007/s10664-025-10788-x</t>
  </si>
  <si>
    <t>Eixão-UAM: LLM-assisted iterative design of a low-altitude urban air mobility corridor in Brasilia</t>
  </si>
  <si>
    <t>Li Weigang; Juliano Adorno Maia; Emilia Stenzel; Lucas Ramson Siefert</t>
  </si>
  <si>
    <t>https://link.springer.com/article/10.1631/FITEE.2500541</t>
  </si>
  <si>
    <t>Development and experimental validation of a machine learning model for the prediction of new antimalarials</t>
  </si>
  <si>
    <t>Mukul Kore; Dimple Acharya; Lakshya Sharma; Shruthi Sridhar Vembar; Sandeep Sundriyal</t>
  </si>
  <si>
    <t>BMC Chemistry</t>
  </si>
  <si>
    <t>https://link.springer.com/article/10.1186/s13065-025-01395-4</t>
  </si>
  <si>
    <t>Using biometric data to improve our understanding and support of business process model comprehension</t>
  </si>
  <si>
    <t>John Krogstie; Kshitij Sharma</t>
  </si>
  <si>
    <t>https://link.springer.com/article/10.1007/s10270-025-01329-7</t>
  </si>
  <si>
    <t>A Universal Prompting Strategy for Extracting Process Model Information from Natural Language Text Using Large Language Models</t>
  </si>
  <si>
    <t>Julian Neuberger; Lars Ackermann; Han van der Aa; Stefan Jablonski</t>
  </si>
  <si>
    <t>https://link.springer.com/chapter/10.1007/978-3-031-75872-0_3</t>
  </si>
  <si>
    <t>Machine Learning for Prediction of the Importance of Factors Influencing Prosumer Attitudes</t>
  </si>
  <si>
    <t>Ewa Walaszczyk; Michał Nadolny; Marcin Hernes; Agata Kozina; Bogdan Franczyk</t>
  </si>
  <si>
    <t>Emerging Challenges in Intelligent Management Information Systems</t>
  </si>
  <si>
    <t>https://link.springer.com/chapter/10.1007/978-3-031-78465-1_16</t>
  </si>
  <si>
    <t>Machine learning in design for additive manufacturing: A state-of-the-art discussion for a support tool in product design lifecycle</t>
  </si>
  <si>
    <t>Michele Trovato; Luca Belluomo; Michele Bici; Mariorosario Prist; Francesca Campana; Paolo Cicconi</t>
  </si>
  <si>
    <t>https://link.springer.com/article/10.1007/s00170-025-15273-9</t>
  </si>
  <si>
    <t>Quantum software engineering and potential of quantum computing in software engineering research: a review</t>
  </si>
  <si>
    <t>Ashis Kumar Mandal; Md Nadim; Chanchal K. Roy; Banani Roy; Kevin A. Schneider</t>
  </si>
  <si>
    <t>https://link.springer.com/article/10.1007/s10515-025-00493-w</t>
  </si>
  <si>
    <t>Editorial</t>
  </si>
  <si>
    <t>Vishwani D. Agrawal</t>
  </si>
  <si>
    <t>https://link.springer.com/article/10.1007/s10836-025-06176-4</t>
  </si>
  <si>
    <t>Configuration of Software Product Lines Driven by the Softgoals: The TEAEM Approach</t>
  </si>
  <si>
    <t>Eddy Kiomba Kambilo; Nicolas Herbaut; Irina Rychkova; Carine Souveyet</t>
  </si>
  <si>
    <t>https://link.springer.com/chapter/10.1007/978-3-031-77908-4_16</t>
  </si>
  <si>
    <t>Defining and generating multi-level and uncertainty-wise test oracles for cyber-physical systems</t>
  </si>
  <si>
    <t>Pablo Valle; Aitor Arrieta; Liping Han; Shaukat Ali; Tao Yue</t>
  </si>
  <si>
    <t>https://link.springer.com/article/10.1007/s10270-025-01271-8</t>
  </si>
  <si>
    <t>Machine learning applications in forecasting patient satisfaction and clinical outcomes after carpal tunnel release: a retrospective study</t>
  </si>
  <si>
    <t>Zohreh Manoochehri; Sara Manoochehri; Seyed Reza Bagheri; Alireza Abdi; Ehsan Alimohammadi</t>
  </si>
  <si>
    <t>BMC Musculoskeletal Disorders</t>
  </si>
  <si>
    <t>https://link.springer.com/article/10.1186/s12891-025-09079-9</t>
  </si>
  <si>
    <t>Evaluating the quality of GenAI applications in software engineering: a multi-case study</t>
  </si>
  <si>
    <t>Liang Yu; Emil Alégroth; Panagiota Chatzipetrou; Tony Gorschek</t>
  </si>
  <si>
    <t>https://link.springer.com/article/10.1007/s10664-025-10759-2</t>
  </si>
  <si>
    <t>Towards robust electronic health record systems: integrating formal verification and process modeling techniques</t>
  </si>
  <si>
    <t>Saba Khan; Nadeem Akhtar; Muhammad Faheem Mushtaq; Nagwan Abdel Samee; Noha F. Mahmoud; Imran Ashraf</t>
  </si>
  <si>
    <t>BMC Medical Research Methodology</t>
  </si>
  <si>
    <t>https://link.springer.com/article/10.1186/s12874-025-02637-8</t>
  </si>
  <si>
    <t>Leveraging LLMs for Domain Modeling: The Impact of Granularity and Strategy on Quality</t>
  </si>
  <si>
    <t>Iris Reinhartz-Berger; Syed Juned Ali; Dominik Bork</t>
  </si>
  <si>
    <t>https://link.springer.com/chapter/10.1007/978-3-031-94569-4_1</t>
  </si>
  <si>
    <t>AI Assisted Programming</t>
  </si>
  <si>
    <t>Wolfgang Ahrendt; Bernhard K. Aichernig; Klaus Havelund</t>
  </si>
  <si>
    <t>https://link.springer.com/chapter/10.1007/978-3-031-75434-0_7</t>
  </si>
  <si>
    <t>Advancements in automated program repair: a comprehensive review</t>
  </si>
  <si>
    <t>Sena Dikici; Turgay Tugay Bilgin</t>
  </si>
  <si>
    <t>https://link.springer.com/article/10.1007/s10115-025-02383-9</t>
  </si>
  <si>
    <t>Extracting use case elements from requirement documents: a natural language processing approach</t>
  </si>
  <si>
    <t>Sonal Sonawane; Shubha Puthran</t>
  </si>
  <si>
    <t>https://link.springer.com/article/10.1007/s00766-025-00445-6</t>
  </si>
  <si>
    <t>Privacy dilemmas and opportunities in large language models: a brief review</t>
  </si>
  <si>
    <t>Hongyi Li; Jiawei Ye; Jie Wu</t>
  </si>
  <si>
    <t>https://link.springer.com/article/10.1007/s11704-024-40583-8</t>
  </si>
  <si>
    <t>Pen2Code—Translating Handwritten Pseudocode into Functional Source Code</t>
  </si>
  <si>
    <t>Suraj B. Alagawadi; Mohammed Sayeed Akram; Sameer Parekh; Shivam Tomar; A. Clara Kanmani</t>
  </si>
  <si>
    <t>Work Integrated Learning-Directions for the Future</t>
  </si>
  <si>
    <t>https://link.springer.com/chapter/10.1007/978-981-96-0201-8_40</t>
  </si>
  <si>
    <t>A machine learning based multi-scale finite element framework for nonlinear composite materials</t>
  </si>
  <si>
    <t>Yijing Zhou; Shabnam J. Semnani</t>
  </si>
  <si>
    <t>https://link.springer.com/article/10.1007/s00366-025-02121-3</t>
  </si>
  <si>
    <t>Cognitive Computing Continuum: State-of-the-Art Review and ENACT Vision &amp; Approach</t>
  </si>
  <si>
    <t>Ioanna Angeliki Kapetanidou; Alexandros Nizamis; Efstathios Karanastasis; Gabriel-Mihail Danciu; Clara Isabel Valero López; Thanasis Kotsiopoulos; Juan Gascón; Jaime Flor; Ross Campbell; Athanasios Liatifis; Nadia Masood Khan; Dejan Drajic; Stefan Jarcau; Vlad Mocanu; Mihnea Lopataru; Haya Al kassir; Dimitrios Pliatsios; Efthymios Chondrogiannis; Antonios Litke; Srdjan Krco; Usman Wajid; Septimiu Nechifor; Panagiotis Sarigiannidis; Panagiotis Trakadas; Konstantinos Votis</t>
  </si>
  <si>
    <t>https://link.springer.com/article/10.1007/s10723-025-09810-9</t>
  </si>
  <si>
    <t>On Translating Association-Oriented Structures of Unified Process Metamodel Into OWL</t>
  </si>
  <si>
    <t>Krystian Wojtkiewicz; Marcin Kasperski; Marcin Jodłowiec</t>
  </si>
  <si>
    <t>Intelligent Information and Database Systems</t>
  </si>
  <si>
    <t>https://link.springer.com/chapter/10.1007/978-981-96-6008-7_10</t>
  </si>
  <si>
    <t>Enabling large language models for real-world materials discovery</t>
  </si>
  <si>
    <t>Santiago Miret; N. M. Anoop Krishnan</t>
  </si>
  <si>
    <t>Nature Machine Intelligence</t>
  </si>
  <si>
    <t>https://link.springer.com/article/10.1038/s42256-025-01058-y</t>
  </si>
  <si>
    <t>Large language models learning to write rhyming Tang poetry A Xunzi Yayun R1 case study</t>
  </si>
  <si>
    <t>Wenhua Zhao; Xiyu Wang; Jiacheng He; Zhi; Xiao Zhao; Chang Liu; Liu Liu</t>
  </si>
  <si>
    <t>npj Heritage Science</t>
  </si>
  <si>
    <t>https://www.nature.com/articles/s40494-025-02087-x</t>
  </si>
  <si>
    <t>A Review on Interplay of AutoML and MLOps “AutoMLOps”: Current State, Challenges, and Future Scope</t>
  </si>
  <si>
    <t>Kuldeep Singh; Anurag Goswami; Sonal Kukreja</t>
  </si>
  <si>
    <t>Proceedings of Fourth International Conference on Computing and Communication Networks</t>
  </si>
  <si>
    <t>https://link.springer.com/chapter/10.1007/978-981-96-3247-3_9</t>
  </si>
  <si>
    <t>Automating software size measurement from python code using language models</t>
  </si>
  <si>
    <t>Samet Tenekeci; Hüseyin ÜnlüBedir Arda Gül; Damla KeleşMurat Küçük; Onur Demirörs</t>
  </si>
  <si>
    <t>https://link.springer.com/article/10.1007/s10515-025-00571-z</t>
  </si>
  <si>
    <t>A Systematic Literature Review of KAOS Extensions</t>
  </si>
  <si>
    <t>Enyo Gonçalves; Leandro Monte; Sabrina Souza; Marcos de Oliveira; João Araujo</t>
  </si>
  <si>
    <t>https://link.springer.com/chapter/10.1007/978-3-031-88531-0_12</t>
  </si>
  <si>
    <t>Simulation of Data Flow Diagram Using Coloured Petri Net</t>
  </si>
  <si>
    <t>Veena Jokhakar; Tejas Rajnikant Shah</t>
  </si>
  <si>
    <t>Soft Computing for Problem Solving</t>
  </si>
  <si>
    <t>https://link.springer.com/chapter/10.1007/978-981-96-8456-4_18</t>
  </si>
  <si>
    <t>Leveraging Swin Transformer for advanced sentiment analysis: a new paradigm</t>
  </si>
  <si>
    <t>Gaurav Kumar Rajput; Saurabh Kumar Srivastava; Namit Gupta</t>
  </si>
  <si>
    <t>Cognitive Neurodynamics</t>
  </si>
  <si>
    <t>https://link.springer.com/article/10.1007/s11571-025-10378-z</t>
  </si>
  <si>
    <t>Applying Large Language Models to Software Development: Enhancing Requirements, Design and Code</t>
  </si>
  <si>
    <t>Gonçalo Santos; Clara Silveira; Vitor Santos; Arnaldo Santos; Henrique Mamede</t>
  </si>
  <si>
    <t>New Trends in Disruptive Technologies, Tech Ethics and Artificial Intelligence</t>
  </si>
  <si>
    <t>https://link.springer.com/chapter/10.1007/978-3-031-99474-6_20</t>
  </si>
  <si>
    <t>Optimizing Cache Utilization in CPU Compilation Through Compiler Autotuning</t>
  </si>
  <si>
    <t>Vlad Mihai Mihăescu; Paul Ştefan Popescu; Marian Cristian Mihăescu</t>
  </si>
  <si>
    <t>Artificial Intelligence Applications and Innovations</t>
  </si>
  <si>
    <t>https://link.springer.com/chapter/10.1007/978-3-031-96239-4_28</t>
  </si>
  <si>
    <t>Boosting bug localization in software models of video games with simulations and component-specific genetic operations</t>
  </si>
  <si>
    <t>Rodrigo Casamayor; Lorena Arcega; Francisca Pérez; Carlos Cetina</t>
  </si>
  <si>
    <t>https://link.springer.com/article/10.1007/s10270-024-01253-2</t>
  </si>
  <si>
    <t>Affordances, constraints, and implications of ChatGPT in education from a social-ecological perspective: A data mining approach</t>
  </si>
  <si>
    <t>Yuchun Zhong; Jie Lian; Hao Huang; Hao Deng</t>
  </si>
  <si>
    <t>https://link.springer.com/article/10.1007/s10639-024-13237-2</t>
  </si>
  <si>
    <t>Assisted Data Annotation for Business Process Information Extraction from Textual Documents</t>
  </si>
  <si>
    <t>Julian Neuberger; Han van der Aa; Lars Ackermann; Daniel Buschek; Jannic Herrmann; Stefan Jablonski</t>
  </si>
  <si>
    <t>https://link.springer.com/chapter/10.1007/978-3-031-81375-7_11</t>
  </si>
  <si>
    <t>Flow-Based Detection of Botnets Through Bio-inspired Optimisation of Machine Learning</t>
  </si>
  <si>
    <t>Biju Issac; Kyle Fryer; Seibu Mary Jacob</t>
  </si>
  <si>
    <t>Cybersecurity and Human Capabilities Through Symbiotic Artificial Intelligence</t>
  </si>
  <si>
    <t>https://link.springer.com/chapter/10.1007/978-3-031-82031-1_31</t>
  </si>
  <si>
    <t>Scientific literature on carbon dioxide removal revealed as much larger through AI-enhanced systematic mapping</t>
  </si>
  <si>
    <t>Sarah Lück; Max Callaghan; Malgorzata Borchers; Annette Cowie; Sabine Fuss; Matthew Gidden; Jens Hartmann; Claudia Kammann; David P. Keller; Florian Kraxner; William F. Lamb; Niall Mac Dowell; Finn Müller-Hansen; Gregory F. Nemet; Benedict S. Probst; Phil Renforth; Tim Repke; Wilfried Rickels; Ingrid Schulte; Pete Smith; Stephen M. Smith; Daniela Thrän; Tiffany G. Troxler; Volker Sick; Mijndert van der Spek; Jan C. Minx</t>
  </si>
  <si>
    <t>https://link.springer.com/article/10.1038/s41467-025-61485-8</t>
  </si>
  <si>
    <t>Designing Trading Strategies with LLMs: A DSL-Driven Framework Using In-Context Learning</t>
  </si>
  <si>
    <t>Jinheng Wu; Di Zhang; Qiang Niu</t>
  </si>
  <si>
    <t>Advanced Intelligent Computing Technology and Applications</t>
  </si>
  <si>
    <t>https://link.springer.com/chapter/10.1007/978-981-96-9891-2_24</t>
  </si>
  <si>
    <t>Upon Conversationalizing Information Systems</t>
  </si>
  <si>
    <t>Nikolaos Malamas; Haralabos Metaxas; Konstantinos Panayiotou; Andreas L. Symeonidis</t>
  </si>
  <si>
    <t>Human Interface and the Management of Information</t>
  </si>
  <si>
    <t>https://link.springer.com/chapter/10.1007/978-3-031-93828-3_7</t>
  </si>
  <si>
    <t>Operationalizing and Automating Data Validation in Data Spaces</t>
  </si>
  <si>
    <t>Achraf Hmimou; Petar Jovanovic; Sergi Nadal; Oscar Romero; Anna Queralt</t>
  </si>
  <si>
    <t>https://link.springer.com/article/10.1007/s41019-025-00317-7</t>
  </si>
  <si>
    <t>A Handy Simulated Radar Interface for Black Flight Identification System</t>
  </si>
  <si>
    <t>Arwin Datumaya Wahyudi Sumari; Rosa Andrie Asmara; Helda Risman; Ika Noer Syamsiana; Dimas Rossiawan Hendra Putra; Astika Ayuningtyas</t>
  </si>
  <si>
    <t>Intelligent Informatics</t>
  </si>
  <si>
    <t>https://link.springer.com/chapter/10.1007/978-981-97-2147-4_4</t>
  </si>
  <si>
    <t>Review of Design of Business Process Simulation Models</t>
  </si>
  <si>
    <t>Samira Khraiwesh; Luise Pufahl</t>
  </si>
  <si>
    <t>https://link.springer.com/chapter/10.1007/978-3-031-92474-3_27</t>
  </si>
  <si>
    <t>Digital twin for smart manufacturing equipment: modeling and applications</t>
  </si>
  <si>
    <t>Xuehao Sun; Fengli Zhang; Jinjiang Wang; Zhibin Yang; Zuguang Huang; Ruijuan Xue</t>
  </si>
  <si>
    <t>https://link.springer.com/article/10.1007/s00170-025-15468-0</t>
  </si>
  <si>
    <t>IoT botnets Unveiled: architectural analysis, threat vectors, and cutting-edge detection techniques</t>
  </si>
  <si>
    <t>Umang Garg; Preeti Mishra; Neha Gupta; Emmanuel S. Pilli</t>
  </si>
  <si>
    <t>https://link.springer.com/article/10.1007/s10586-025-05633-1</t>
  </si>
  <si>
    <t>Towards a Domain Model of Smart Tourism Based on the 6As Framework</t>
  </si>
  <si>
    <t>Lahbib Naimi; Charaf Ouaddi; Lamya Benaddi; Adnane Souha; Abdeslam Jakimi</t>
  </si>
  <si>
    <t>Innovations in Smart Cities Applications Volume 8</t>
  </si>
  <si>
    <t>https://link.springer.com/chapter/10.1007/978-3-031-88653-9_28</t>
  </si>
  <si>
    <t>Terpsichora: A Tool to Generate Synthetic MP-Declare Process Models</t>
  </si>
  <si>
    <t>https://link.springer.com/chapter/10.1007/978-3-031-82225-4_46</t>
  </si>
  <si>
    <t>PM-LLM-Benchmark: Evaluating Large Language Models on Process Mining Tasks</t>
  </si>
  <si>
    <t>Alessandro Berti; Humam Kourani; Wil M. P. van der Aalst</t>
  </si>
  <si>
    <t>https://link.springer.com/chapter/10.1007/978-3-031-82225-4_45</t>
  </si>
  <si>
    <t>Design pattern recognition: a study of large language models</t>
  </si>
  <si>
    <t>Sushant Kumar Pandey; Sivajeet Chand; Jennifer Horkoff; Miroslaw Staron; Miroslaw Ochodek; Darko Durisic</t>
  </si>
  <si>
    <t>https://link.springer.com/article/10.1007/s10664-025-10625-1</t>
  </si>
  <si>
    <t>Full stack optimization of microservice architecture: systematic review and research opportunity</t>
  </si>
  <si>
    <t>Meihong Yang; Xiaoli Wang; Binlei Cai; Yinglong Wang; Ying Guo</t>
  </si>
  <si>
    <t>https://link.springer.com/article/10.1007/s10586-025-05690-6</t>
  </si>
  <si>
    <t>An inclusive survey on automation of refactoring: challenges and opportunities</t>
  </si>
  <si>
    <t>Divya Rajput; Anuradha Chug</t>
  </si>
  <si>
    <t>International Journal of System Assurance Engineering and Management</t>
  </si>
  <si>
    <t>https://link.springer.com/article/10.1007/s13198-025-02914-1</t>
  </si>
  <si>
    <t>Context-aware code summarization with multi-relational graph neural network</t>
  </si>
  <si>
    <t>Yanlin Wang; Ensheng Shi; Lun Du; Xiaodi Yang; Yuxuan Hu; Yanli Wang; Daya Guo; Shi Han; Hongyu Zhang; Dongmei Zhang</t>
  </si>
  <si>
    <t>https://link.springer.com/article/10.1007/s10515-025-00490-z</t>
  </si>
  <si>
    <t>Towards Secure, Privacy-Enhanced and Configurable Conversational Assistants: An Enterprise-Focused Approach</t>
  </si>
  <si>
    <t>Dimosthenis Natsos; Nikolaos Malamas; Andreas L. Symeonidis</t>
  </si>
  <si>
    <t>HCI for Cybersecurity, Privacy and Trust</t>
  </si>
  <si>
    <t>https://link.springer.com/chapter/10.1007/978-3-031-92840-6_6</t>
  </si>
  <si>
    <t>Conversationally Actionable Process Model Creation</t>
  </si>
  <si>
    <t>Nataliia Klievtsova; Timotheus Kampik; Juergen Mangler; Stefanie Rinderle-Ma</t>
  </si>
  <si>
    <t>https://link.springer.com/chapter/10.1007/978-3-031-81375-7_3</t>
  </si>
  <si>
    <t>Decoding GenAI Assimilation in Teams: A Multi-Method Study of GenAI’s Impact on Collaborative Performance in Project-Based Work</t>
  </si>
  <si>
    <t>Gaurav Gupta; Neha Chaudhuri</t>
  </si>
  <si>
    <t>https://link.springer.com/article/10.1007/s10796-025-10646-7</t>
  </si>
  <si>
    <t>A Decomposed Hybrid Approach to Business Process Modeling with LLMs</t>
  </si>
  <si>
    <t>https://link.springer.com/chapter/10.1007/978-3-031-81375-7_14</t>
  </si>
  <si>
    <t>Discrete Event Simulation Based Approach for Cyber Physical Logistics System Development</t>
  </si>
  <si>
    <t>Rachid Benmoussa</t>
  </si>
  <si>
    <t>Product Lifecycle Management. Integrating Digital Technologies for Sustainability and Innovation</t>
  </si>
  <si>
    <t>https://link.springer.com/chapter/10.1007/978-3-031-93319-6_15</t>
  </si>
  <si>
    <t>Navigating intent-based networking: from user descriptions to deployable configurations</t>
  </si>
  <si>
    <t>Ala’ A. Al; Samarneh; Ahmad T. Al-Hammouri; Omar Y. Al-Jarrah</t>
  </si>
  <si>
    <t>https://link.springer.com/article/10.1007/s00521-025-11193-7</t>
  </si>
  <si>
    <t>Assertions in software testing: survey, landscape, and trends</t>
  </si>
  <si>
    <t>Masoumeh Taromirad; Per Runeson</t>
  </si>
  <si>
    <t>https://link.springer.com/article/10.1007/s10009-025-00794-1</t>
  </si>
  <si>
    <t>Digital twin and the asset administration shell</t>
  </si>
  <si>
    <t>Jingxi Zhang; Carsten Ellwein; Malte Heithoff; Judith Michael; Andreas Wortmann</t>
  </si>
  <si>
    <t>https://link.springer.com/article/10.1007/s10270-024-01255-0</t>
  </si>
  <si>
    <t>Repairing Process Descriptions by Discovering Deviations from Process Models</t>
  </si>
  <si>
    <t>Nan Sai; Karolin Winter; Remco Dijkman</t>
  </si>
  <si>
    <t>https://link.springer.com/chapter/10.1007/978-3-031-95397-2_5</t>
  </si>
  <si>
    <t>Integrating Digital Twins for Enhancing Smart Agriculture Within a Circular Economy Framework</t>
  </si>
  <si>
    <t>Komalaporn Kummalue; Suepphong Chernbumroong; Chitaporn Pratan; Sulaiya Piemchaiwat; Sri Devi Ravana; Subrata Dutta</t>
  </si>
  <si>
    <t>https://link.springer.com/chapter/10.1007/978-3-031-93319-6_31</t>
  </si>
  <si>
    <t>How are LLMs Used for Conceptual Modeling? An Exploratory Study on Interaction Behavior and User Perception</t>
  </si>
  <si>
    <t>Syed Juned Ali; Iris Reinhartz-Berger; Dominik Bork</t>
  </si>
  <si>
    <t>https://link.springer.com/chapter/10.1007/978-3-031-75872-0_14</t>
  </si>
  <si>
    <t>The Role of Standardization for Simulation in Model-Based Systems Engineering: A Survey Study Supplemented with Industrial Experiences</t>
  </si>
  <si>
    <t>Erik Rosenlund; Johan Cederbladh; Per Strandberg; Daniel Krems</t>
  </si>
  <si>
    <t>https://link.springer.com/article/10.1007/s10270-025-01344-8</t>
  </si>
  <si>
    <t>Enhancing Expressiveness in Automation Control Programming: Addressing Current Gaps and Future Needs</t>
  </si>
  <si>
    <t>Olivier Cardin</t>
  </si>
  <si>
    <t>Service Oriented, Holonic and Multi-agent Manufacturing Systems for Industry of the Future</t>
  </si>
  <si>
    <t>https://link.springer.com/chapter/10.1007/978-3-031-85316-6_25</t>
  </si>
  <si>
    <t>Supporting the Development of Oracle APEX Low-Code Applications with Large Language Models</t>
  </si>
  <si>
    <t>Simon C. Gorissen; Stefan Sauer; Wolf G. Beckmann</t>
  </si>
  <si>
    <t>Product-Focused Software Process Improvement</t>
  </si>
  <si>
    <t>https://link.springer.com/chapter/10.1007/978-3-031-78386-9_15</t>
  </si>
  <si>
    <t>Cloud Edge Patterns for Federated Learning Applied to the Architectural Design of a Privacy-Preserving Monitoring System for Diabetic Patients</t>
  </si>
  <si>
    <t>Gennaro Junior Pezzullo; Beniamino Di Martino; Antonio Esposito</t>
  </si>
  <si>
    <t>Advanced Information Networking and Applications</t>
  </si>
  <si>
    <t>https://link.springer.com/chapter/10.1007/978-3-031-87778-0_22</t>
  </si>
  <si>
    <t>AI-Based Requirements Analysis Assistant that Applies Explicit Knowledge and Includes Humans in the Loop</t>
  </si>
  <si>
    <t>Steven Alter</t>
  </si>
  <si>
    <t>https://link.springer.com/chapter/10.1007/978-3-031-94569-4_2</t>
  </si>
  <si>
    <t>AOAME: An Enterprise Knowledge Graphs Editor for Domain Experts</t>
  </si>
  <si>
    <t>Emanuele Laurenzi</t>
  </si>
  <si>
    <t>https://link.springer.com/chapter/10.1007/978-3-031-94590-8_22</t>
  </si>
  <si>
    <t>Modularized simulation model of an electric drivetrain for hardware-in-the-loop testing</t>
  </si>
  <si>
    <t>Manuel Mennicken; Georg Jacobs; Lukas Feldmann; Jonas Odenthal; Patrick Jagla; Gregor Hoepfner</t>
  </si>
  <si>
    <t>Forschung im Ingenieurwesen</t>
  </si>
  <si>
    <t>https://link.springer.com/article/10.1007/s10010-025-00826-x</t>
  </si>
  <si>
    <t>Introduction to the REoCAS Colloquium in Honor of Rocco De Nicola’s 70th Birthday</t>
  </si>
  <si>
    <t>Mirco Tribastone; Stefan Jähnichen; Martin Wirsing</t>
  </si>
  <si>
    <t>Leveraging Applications of Formal Methods, Verification and Validation. REoCAS Colloquium in Honor of Rocco De Nicola</t>
  </si>
  <si>
    <t>https://link.springer.com/chapter/10.1007/978-3-031-73709-1_1</t>
  </si>
  <si>
    <t>A design and modeling approach for resource-constrained internet of things devices</t>
  </si>
  <si>
    <t>Tan Xinyu; Kujala Pekka; Hakala Ismo</t>
  </si>
  <si>
    <t>Design Automation for Embedded Systems</t>
  </si>
  <si>
    <t>https://link.springer.com/article/10.1007/s10617-025-09294-6</t>
  </si>
  <si>
    <t>Towards Conversational Requirements Engineering: Detecting Defects in Requirements Using Large Language Models</t>
  </si>
  <si>
    <t>Jakob Güttinger; Jan-Niclas Fenger; Thomas Kirchmeier; Christoph Legat</t>
  </si>
  <si>
    <t>https://link.springer.com/chapter/10.1007/978-3-031-85316-6_2</t>
  </si>
  <si>
    <t>AGTS: Novel automated generation of smart contract test suites for Hyperledger Fabric</t>
  </si>
  <si>
    <t>Lixue Liu; Qiqi Gu; Wei Ke</t>
  </si>
  <si>
    <t>https://link.springer.com/article/10.1038/s41598-025-14218-2</t>
  </si>
  <si>
    <t>The Impact of Model Simulation on Semantic Conceptual Model Quality for Novice Modelers</t>
  </si>
  <si>
    <t>Felix Cammaerts; Beatriz Marín; Monique Snoeck</t>
  </si>
  <si>
    <t>https://link.springer.com/article/10.1007/s10270-025-01317-x</t>
  </si>
  <si>
    <t>CodeDiffuSe: A masked diffusion framework for structure-aware code completion and repair</t>
  </si>
  <si>
    <t>Aytug Onan; Hesham A. Alhumyani</t>
  </si>
  <si>
    <t>https://link.springer.com/article/10.1007/s44443-025-00237-6</t>
  </si>
  <si>
    <t>Automated broken object-level authorization attack detection in REST APIs through OpenAPI to colored petri nets transformation</t>
  </si>
  <si>
    <t>Ailton Santos Filho; Ricardo J. Rodríguez; Eduardo L. Feitosa</t>
  </si>
  <si>
    <t>https://link.springer.com/article/10.1007/s10207-024-00970-5</t>
  </si>
  <si>
    <t>A Comprehensive Review of Digital Video Watermarking Techniques in Spatial, Frequency, and Compressed Domain</t>
  </si>
  <si>
    <t>Riddhi; Preeti Garg; Vineet Sharma</t>
  </si>
  <si>
    <t>https://link.springer.com/article/10.1007/s11831-025-10443-0</t>
  </si>
  <si>
    <t>Improved trace element discrimination of kimberlitic and carbonatitic zircon: implications for zircon origin in kimberlite and the search for superdeep diamonds</t>
  </si>
  <si>
    <t>Matthew F. Hardman; D. Graham Pearson; S. Andy Du; Frane; Izaac Cabral-Neto; Rogério G. Azzone; Qiao Shu; Jason Hinde; Alexei S. Rukhlov</t>
  </si>
  <si>
    <t>Mineralogy and Petrology</t>
  </si>
  <si>
    <t>https://link.springer.com/article/10.1007/s00710-025-00916-2</t>
  </si>
  <si>
    <t>Explainable Knowledge-Aware Process Intelligence</t>
  </si>
  <si>
    <t>Eva Piccirilli; Claudio Di Ciccio; Marco Montali; Rafael Peñaloza; Luigi Pontieri; Francesco Ricca</t>
  </si>
  <si>
    <t>https://link.springer.com/article/10.1007/s13218-025-00897-6</t>
  </si>
  <si>
    <t>Grass-Root Enterprise Modelling: How Large Language Models Can Help</t>
  </si>
  <si>
    <t>Peter-Alexander Kolev; Hauke Hansen Pruss; Jim Robert Wilken; Kurt Sandkuhl</t>
  </si>
  <si>
    <t>https://link.springer.com/chapter/10.1007/978-3-031-77908-4_8</t>
  </si>
  <si>
    <t>Automatic Heterogeneous Runtime Using Signal Processing Domain-Specific and Parallel Patterns</t>
  </si>
  <si>
    <t>Yaseen Zaidi; Simon Winberg</t>
  </si>
  <si>
    <t>International Journal of Parallel Programming</t>
  </si>
  <si>
    <t>https://link.springer.com/article/10.1007/s10766-025-00790-7</t>
  </si>
  <si>
    <t>A new method for tuning the CNN pre-trained models as a feature extractor for malware detection</t>
  </si>
  <si>
    <t>Halit Bakır</t>
  </si>
  <si>
    <t>Pattern Analysis and Applications</t>
  </si>
  <si>
    <t>https://link.springer.com/article/10.1007/s10044-024-01381-x</t>
  </si>
  <si>
    <t>Agents in software engineering: survey, landscape, and vision</t>
  </si>
  <si>
    <t>Yanlin Wang; Wanjun Zhong; Yanxian Huang; Ensheng Shi; Min Yang; Jiachi Chen; Hui Li; Yuchi Ma; Qianxiang Wang; Zibin Zheng</t>
  </si>
  <si>
    <t>https://link.springer.com/article/10.1007/s10515-025-00544-2</t>
  </si>
  <si>
    <t>Web Development Based on Design-Transfer Through Client Adaptations</t>
  </si>
  <si>
    <t>Jonathan Delgado Guerrero; Leandro Antonelli; Diego Firmenich</t>
  </si>
  <si>
    <t>Collaboration in Knowledge Discovery and Decision Making</t>
  </si>
  <si>
    <t>https://link.springer.com/chapter/10.1007/978-3-031-91690-8_17</t>
  </si>
  <si>
    <t>Modeling Network Traffic Generators for Cyber Ranges: A Systematic Literature Review</t>
  </si>
  <si>
    <t>Jonas Vasconcelos Bistene; Anderson Fernandes Pereira dos Santos; Clayton Escouper das Chagas; Ronaldo Moreira Salles</t>
  </si>
  <si>
    <t>Journal of Network and Systems Management</t>
  </si>
  <si>
    <t>https://link.springer.com/article/10.1007/s10922-025-09901-8</t>
  </si>
  <si>
    <t>OR based multi-objective decision-making in e-commerce improvement</t>
  </si>
  <si>
    <t>Venkata Surya Bhavana Harish Gollavilli; Harikumar Nagarajan; Poovendran Alagarsundaram; Kalyan Gattupalli; Surendar Rama Sitaraman; Haris M. Khalid</t>
  </si>
  <si>
    <t>https://link.springer.com/article/10.1007/s11761-025-00448-9</t>
  </si>
  <si>
    <t>The compliance gap in data supply chains: contract specification languages and smart contracts as compliance technologies</t>
  </si>
  <si>
    <t>Pablo Marcello Baquero; David Restrepo Amariles; Daniel Amyot; Amal Ahmed Anda; Mustafa Bayirli; Luigi Logrippo; Alberto Lopes; John Mylopoulos; Alireza Parvizimosaed; Aidin Rasti; Marco Roveri</t>
  </si>
  <si>
    <t>Artificial Intelligence and Law</t>
  </si>
  <si>
    <t>https://link.springer.com/article/10.1007/s10506-025-09464-8</t>
  </si>
  <si>
    <t>A Concept for Dynamic Adaptation of Intelligent User Interfaces Based on Emotion and Behavior</t>
  </si>
  <si>
    <t>Yasmina Tajja; Ludger Martin; Moritz Herrmann</t>
  </si>
  <si>
    <t>https://link.springer.com/chapter/10.1007/978-3-032-00071-2_17</t>
  </si>
  <si>
    <t>The Application of Intelligent Logging Interpretation Technology in the Re-evaluation of Old Oil Areas</t>
  </si>
  <si>
    <t>Ting-ting Li; Jun-peng Yao; Shi-tao Cui; Hua Xiao; Wen-mao Yu; Xiao-yan Sun</t>
  </si>
  <si>
    <t>Proceedings of the International Field Exploration and Development Conference 2024</t>
  </si>
  <si>
    <t>https://link.springer.com/chapter/10.1007/978-981-96-4759-0_25</t>
  </si>
  <si>
    <t>LLM-Assisted Relational Concept Analysis for Class Model Restructuring</t>
  </si>
  <si>
    <t>Hani Guenoune; Alain Gutierrez; Marianne Huchard; Mathieu Lafourcade; Pierre Martin; André Miralles; Huaxi Zhang</t>
  </si>
  <si>
    <t>https://link.springer.com/chapter/10.1007/978-3-032-03364-2_7</t>
  </si>
  <si>
    <t>Dynamic Adaption of Metamodels Based on Knowledge Graphs</t>
  </si>
  <si>
    <t>Danial M. Amlashi; Alexander Voelz; Junsup Song</t>
  </si>
  <si>
    <t>https://link.springer.com/chapter/10.1007/978-3-031-94931-9_2</t>
  </si>
  <si>
    <t>The Role of Large Language Models in Evolving Digital Landscapes: A Subject-Oriented Analysis</t>
  </si>
  <si>
    <t>Lucas Greif; Matthes Elstermann</t>
  </si>
  <si>
    <t>Human Centred Intelligent Systems</t>
  </si>
  <si>
    <t>https://link.springer.com/chapter/10.1007/978-981-97-8598-8_11</t>
  </si>
  <si>
    <t>Intelligent Hbim modeling of traditional timber architectural heritage, integrating machine vision and architectural expertise</t>
  </si>
  <si>
    <t>Yi Deng; Qianju Li; Shihan Guo; Ling Cai</t>
  </si>
  <si>
    <t>https://www.nature.com/articles/s40494-025-02151-6</t>
  </si>
  <si>
    <t>ARCeR: An Agentic RAG for the Automated Definition of Cyber Ranges</t>
  </si>
  <si>
    <t>Matteo Lupinacci; Francesco Blefari; Francesco Romeo; Francesco Aurelio Pironti; Angelo Furfaro</t>
  </si>
  <si>
    <t>Availability, Reliability and Security</t>
  </si>
  <si>
    <t>https://link.springer.com/chapter/10.1007/978-3-032-00630-1_2</t>
  </si>
  <si>
    <t>Enhancement of Low-Level Event Abstraction with Large Language Models (LLMs)</t>
  </si>
  <si>
    <t>Edyta Brzychczy; Krzysztof Kluza; Leszek Szała</t>
  </si>
  <si>
    <t>https://link.springer.com/chapter/10.1007/978-3-031-78666-2_16</t>
  </si>
  <si>
    <t>EEG Based Mental State Classification Using AdaBoost Model</t>
  </si>
  <si>
    <t>Tanmay Sinha Roy; Joyanta Kumar Roy; Nirupama Mandal; Bansari Deb Majumder; Moumita Ghosh</t>
  </si>
  <si>
    <t>Emerging Technologies with Advanced Devices from Micro to Nano</t>
  </si>
  <si>
    <t>https://link.springer.com/chapter/10.1007/978-3-031-84331-0_64</t>
  </si>
  <si>
    <t>Construct of digital theater for cross-industry BIM data fusion: A scenario-driven ontology-based framework</t>
  </si>
  <si>
    <t>Encheng Ma; Lieyun Ding; Yao Wang; Li Jiang; Qun Zhang</t>
  </si>
  <si>
    <t>https://link.springer.com/article/10.1007/s12273-025-1315-x</t>
  </si>
  <si>
    <t>Advances in simulation parameters and methods for three-dimensional mesoscopic model of asphalt mixture</t>
  </si>
  <si>
    <t>Yanlin Chen; Chaojun Wan; Mohsen Alae; Feipeng Xiao</t>
  </si>
  <si>
    <t>Frontiers of Structural and Civil Engineering</t>
  </si>
  <si>
    <t>https://link.springer.com/article/10.1007/s11709-025-1228-x</t>
  </si>
  <si>
    <t>A Constraint-Based Model Approach for Self-Healing Robotic Assembly</t>
  </si>
  <si>
    <t>Wanqi Zhao; Johannes Mey; Dmytro Pukhkaiev; Sebastian Götz; Uwe Aßmann</t>
  </si>
  <si>
    <t>Advanced Smart Information and Communication Technology and Systems</t>
  </si>
  <si>
    <t>https://link.springer.com/chapter/10.1007/978-3-031-94799-5_8</t>
  </si>
  <si>
    <t>Enhancing Domain Modeling with Pre-trained Large Language Models: An Automated Assistant for Domain Modelers</t>
  </si>
  <si>
    <t>Dominik ProkopŠtěpán Stenchlák; Petr Škoda; Jakub Klímek; Martin Nečaský</t>
  </si>
  <si>
    <t>https://link.springer.com/chapter/10.1007/978-3-031-75872-0_13</t>
  </si>
  <si>
    <t>Instruction Fine-Tuning Guidance: How PEFT Methods Impact the Generation of Language Model via Different Attributions</t>
  </si>
  <si>
    <t>Linjia Jiang; Shumin Shi; Cheng Yang</t>
  </si>
  <si>
    <t>Intelligent Multilingual Information Processing</t>
  </si>
  <si>
    <t>https://link.springer.com/chapter/10.1007/978-981-96-5123-8_19</t>
  </si>
  <si>
    <t>Ophtimus-V2-Tx: a compact domain-specific LLM for ophthalmic diagnosis and treatment planning</t>
  </si>
  <si>
    <t>Minwook Kwon; Kuk Jin Jang; Seung Ju Baek; Yong Seop Han; Hyonyoung Choi; Insup Lee; Jin Hyun Kim</t>
  </si>
  <si>
    <t>https://link.springer.com/article/10.1038/s41598-025-27410-1</t>
  </si>
  <si>
    <t>Experiential Learning for Citizen Developers</t>
  </si>
  <si>
    <t>Sabine Matook; Yazhu Maggie Wang; Micheal Axelsen</t>
  </si>
  <si>
    <t>https://link.springer.com/article/10.1007/s12599-024-00921-3</t>
  </si>
  <si>
    <t>Tool assisted Agile approach for legacy application migration</t>
  </si>
  <si>
    <t>Nachiketa Chatterjee; Srijoni Majumdar; Partha Pratim Das; Amlan Chakrabarti</t>
  </si>
  <si>
    <t>https://link.springer.com/article/10.1007/s13198-025-02823-3</t>
  </si>
  <si>
    <t>Analyzing and mitigating (with LLMs) the security misconfigurations of Helm charts from Artifact Hub</t>
  </si>
  <si>
    <t>Francesco Minna; Fabio Massacci; Katja Tuma</t>
  </si>
  <si>
    <t>https://link.springer.com/article/10.1007/s10664-025-10688-0</t>
  </si>
  <si>
    <t>Automatic GPU memory access optimization for AoSoA-based application in OP2 framework</t>
  </si>
  <si>
    <t>Tong Lei; Zongjing Chen; Yonggang Che; Chuanfu Xu; Zhe Dai; Jian Zhang</t>
  </si>
  <si>
    <t>https://link.springer.com/article/10.1007/s11227-025-07734-5</t>
  </si>
  <si>
    <t>Fault Diagnosis of Photovoltaic Modules Based on Feature Extraction</t>
  </si>
  <si>
    <t>Xueqi Wang; Lixia Cao</t>
  </si>
  <si>
    <t>Neural Computing for Advanced Applications</t>
  </si>
  <si>
    <t>https://link.springer.com/chapter/10.1007/978-981-97-7007-6_23</t>
  </si>
  <si>
    <t>Modeling and analysis of data corruption attacks and energy consumption effects on edge servers using concurrent stochastic games</t>
  </si>
  <si>
    <t>Abdelhakim Baouya; Brahim Hamid; Levent Gürgen; Saddek Bensalem</t>
  </si>
  <si>
    <t>Soft Computing</t>
  </si>
  <si>
    <t>https://link.springer.com/article/10.1007/s00500-025-10467-5</t>
  </si>
  <si>
    <t>Low-impact, near real-time risk assessment for legacy IT infrastructures</t>
  </si>
  <si>
    <t>Eszter Kail; Annamária Riethné Nagy; Rita Fleiner; Anna Bánáti; Ernő Rigó</t>
  </si>
  <si>
    <t>https://link.springer.com/article/10.1007/s10207-024-00971-4</t>
  </si>
  <si>
    <t>Refactoring goal-oriented models: a linguistic improvement using large language models</t>
  </si>
  <si>
    <t>Nouf Alturayeif; Jameleddine Hassine</t>
  </si>
  <si>
    <t>https://link.springer.com/article/10.1007/s10270-024-01254-1</t>
  </si>
  <si>
    <t>A Proposal for an Adaptive Compiler Architecture and Design for Precision and Scale Aware Compilation Using Data-Oriented Design</t>
  </si>
  <si>
    <t>Zintis Erics; Arnis Cirulis</t>
  </si>
  <si>
    <t>Universal Access in Human-Computer Interaction</t>
  </si>
  <si>
    <t>https://link.springer.com/chapter/10.1007/978-3-031-93848-1_13</t>
  </si>
  <si>
    <t>Exploring the Effect of Genetic Improvement for Large Language Models-Generated Code</t>
  </si>
  <si>
    <t>https://link.springer.com/article/10.1007/s42979-025-04281-x</t>
  </si>
  <si>
    <t>PLM Traceability Approaches Along the V-Model – A Systematic Literature Review</t>
  </si>
  <si>
    <t>Detlef Gerhard; Jannick Bayar</t>
  </si>
  <si>
    <t>Product Lifecycle Management. Leveraging AI, Digital Twins, and Smart Technologies</t>
  </si>
  <si>
    <t>https://link.springer.com/chapter/10.1007/978-3-031-93323-3_21</t>
  </si>
  <si>
    <t>Training a Transformer Model for OpenMP Pragma Generation</t>
  </si>
  <si>
    <t>Arijit Bhattacharjee; Ali Jannesari</t>
  </si>
  <si>
    <t>Euro-Par 2024: Parallel Processing Workshops</t>
  </si>
  <si>
    <t>https://link.springer.com/chapter/10.1007/978-3-031-90203-1_52</t>
  </si>
  <si>
    <t>Low-cycle fatigue life modeling of similar and dissimilar carbon steel under rotary friction welding effect using adaptive neuro-fuzzy inference system (ANFIS)</t>
  </si>
  <si>
    <t>Madyan Abduljabbar Marir; Ewe Lay Sheng; Imad Obaid Bachi; Mohd Rashdan Isa</t>
  </si>
  <si>
    <t>Discover Applied Sciences</t>
  </si>
  <si>
    <t>https://link.springer.com/article/10.1007/s42452-025-06972-9</t>
  </si>
  <si>
    <t>Reversed Model Verification by Inferring Conceptual Models from Simulation Code</t>
  </si>
  <si>
    <t>Rumyana Neykova; Derek Groen</t>
  </si>
  <si>
    <t>Computational Science – ICCS 2025</t>
  </si>
  <si>
    <t>https://link.springer.com/chapter/10.1007/978-3-031-97635-3_43</t>
  </si>
  <si>
    <t>Genetic Algorithm for Sequential Optimization of Data Sampling for Construction Surrogate Models</t>
  </si>
  <si>
    <t>Irina Bolodurina; Alexander Shukhman; Jie Cui; Lyubov Grishina; Leonid Legashev</t>
  </si>
  <si>
    <t>Computing Technologies and Applied Mathematics</t>
  </si>
  <si>
    <t>https://link.springer.com/chapter/10.1007/978-3-031-90546-9_8</t>
  </si>
  <si>
    <t>Implementation and optimization of batch 3D FFT for sunway many-core processor</t>
  </si>
  <si>
    <t>Mian Huo; Yuwen Zhao; Fangfang Liu</t>
  </si>
  <si>
    <t>https://link.springer.com/article/10.1007/s42514-025-00232-3</t>
  </si>
  <si>
    <t>Enabling production re-configurability through Digital Twins: a case study approach</t>
  </si>
  <si>
    <t>S. Plitsos; K. Giannakos; T. Farmakis; P. Eirinakis; T. Hohmann; O. Jotz; G. Vivo</t>
  </si>
  <si>
    <t>https://link.springer.com/article/10.1007/s10845-025-02611-7</t>
  </si>
  <si>
    <t>Short-term coalbed methane concentration prediction and early warning based on the STL-ENN-GRU hybrid model</t>
  </si>
  <si>
    <t>Kangle Li; Lin Jiang; Yan Zhang; Mei Wang; Yuancheng Li; Kun Yang</t>
  </si>
  <si>
    <t>https://link.springer.com/article/10.1007/s12145-025-01704-4</t>
  </si>
  <si>
    <t>Test Architecture Generation by Leveraging BERT and Control and Data Flows</t>
  </si>
  <si>
    <t>Guangyu Wang; Ji Wu; Haiyan Yang; Qing Sun; Tao Yue</t>
  </si>
  <si>
    <t>Engineering of Complex Computer Systems</t>
  </si>
  <si>
    <t>https://link.springer.com/chapter/10.1007/978-3-031-66456-4_7</t>
  </si>
  <si>
    <t>Interoperability Solutions for Enhanced Energy Network Efficiency: Models, Management, and Integration</t>
  </si>
  <si>
    <t>Glib Stepanov; Rina Novogrudska</t>
  </si>
  <si>
    <t>https://link.springer.com/chapter/10.1007/978-3-031-94799-5_4</t>
  </si>
  <si>
    <t>A Software-Hardware Co-design Platform for Convolutional Neural Network Accelerator with Tengine</t>
  </si>
  <si>
    <t>Zhiwei Liu; Shangwen Sui; Wanyu Lu; Bin Yu; Ao Li</t>
  </si>
  <si>
    <t>6GN for Future Wireless Networks</t>
  </si>
  <si>
    <t>https://link.springer.com/chapter/10.1007/978-3-031-93193-2_14</t>
  </si>
  <si>
    <t>Towards the Comprehensibility of Manually, Automatically, and Semi-automatically Created Process Models: A Conceptual Framework</t>
  </si>
  <si>
    <t>Maximilian Möller</t>
  </si>
  <si>
    <t>https://link.springer.com/chapter/10.1007/978-3-031-94590-8_35</t>
  </si>
  <si>
    <t>Transformation of IEC 61131-3 onto an Embedded Platform Using LLVM</t>
  </si>
  <si>
    <t>Nils Frank; Benjamin Kormann</t>
  </si>
  <si>
    <t>Computer Aided Systems Theory – EUROCAST 2024</t>
  </si>
  <si>
    <t>https://link.springer.com/chapter/10.1007/978-3-031-82957-4_13</t>
  </si>
  <si>
    <t>Advancing prompt-based language models in the legal domain: adaptive strategies and research challenges</t>
  </si>
  <si>
    <t>Reshma Sheik; Sneha Ann Reji; A. Sharon; M. Avisha Rai; S. Jaya Nirmala</t>
  </si>
  <si>
    <t>https://link.springer.com/article/10.1007/s10506-025-09459-5</t>
  </si>
  <si>
    <t>Cost-Effective, MAS-Based, Refrigerated Container System at Container Terminals</t>
  </si>
  <si>
    <t>Manolis Doudounakis; Nikolaos I. Spanoudakis; Fotios D. Kanellos</t>
  </si>
  <si>
    <t>Multi-Agent Systems</t>
  </si>
  <si>
    <t>https://link.springer.com/chapter/10.1007/978-3-031-93930-3_20</t>
  </si>
  <si>
    <t>Large Language Models for Robotics: A Systematic Literature Review on Prompt Engineering</t>
  </si>
  <si>
    <t>Jakob Wolber; Lv Muyang; Dominik Koch; Lucas Bretz; Gisela Lanza; Felix Baer</t>
  </si>
  <si>
    <t>Sustainable Manufacturing Innovations: Focus on New Energy Vehicles, Production Robots, and Software-Defined Manufacturing</t>
  </si>
  <si>
    <t>https://link.springer.com/chapter/10.1007/978-3-031-84744-8_17</t>
  </si>
  <si>
    <t>Tab: template-aware bug report title generation via two-phase fine-tuned models</t>
  </si>
  <si>
    <t>Xiao Liu; Yinkang Xu; Weifeng Sun; Naiqi Huang; Song Sun; Qiang Li; Dan Yang; Meng Yan</t>
  </si>
  <si>
    <t>https://link.springer.com/article/10.1007/s10515-025-00505-9</t>
  </si>
  <si>
    <t>An Enhanced Credit Evaluation Mechanism of Supply Chain Finance Based on Blockchain Technology</t>
  </si>
  <si>
    <t>Kang Haiyan; Cao Yiran; Hu Chengqian; Li Yanfang</t>
  </si>
  <si>
    <t>LISS 2024</t>
  </si>
  <si>
    <t>https://link.springer.com/chapter/10.1007/978-981-96-9697-0_90</t>
  </si>
  <si>
    <t>Regional assessment of mold growth risk in light wood-framed wall envelope based on meteorological data-driven and neural network model</t>
  </si>
  <si>
    <t>Yanyu Zhao; Xinmiao Meng; Shiyi Mei; Xudong Zhu; Juan Yang; Ying Gao</t>
  </si>
  <si>
    <t>European Journal of Wood and Wood Products</t>
  </si>
  <si>
    <t>https://link.springer.com/article/10.1007/s00107-024-02156-1</t>
  </si>
  <si>
    <t>Pre-processing of the Text of ECU 911 Emergency Calls</t>
  </si>
  <si>
    <t>Marcos Orellana; Pablo Andres Molina Pinos; Patricio Santiago García-Montero; Jorge Luis Zambrano-Martinez</t>
  </si>
  <si>
    <t>Information and Communication Technologies</t>
  </si>
  <si>
    <t>https://link.springer.com/chapter/10.1007/978-3-031-75431-9_18</t>
  </si>
  <si>
    <t>SnapNCode: An Integrated Development Environment for Programming Physical Objects Interactions</t>
  </si>
  <si>
    <t>Xiaoyan Wei; Zijian Yue; Hsiang-Ting Chen</t>
  </si>
  <si>
    <t>Distributed, Ambient and Pervasive Interactions</t>
  </si>
  <si>
    <t>https://link.springer.com/chapter/10.1007/978-3-031-92977-9_11</t>
  </si>
  <si>
    <t>Formal Security Analysis of Deep Neural Network Architecture</t>
  </si>
  <si>
    <t>Marwa Zeroual; Brahim Hamid; Morayo Adedjouma; Jason Jaskolka</t>
  </si>
  <si>
    <t>https://link.springer.com/chapter/10.1007/978-3-031-85356-2_7</t>
  </si>
  <si>
    <t>On the potential of large language models to solve semantics-aware process mining tasks</t>
  </si>
  <si>
    <t>Adrian Rebmann; Fabian David Schmidt; Goran GlavašHan van der Aa</t>
  </si>
  <si>
    <t>https://link.springer.com/article/10.1007/s44311-025-00019-3</t>
  </si>
  <si>
    <t>Model-based GUI automation</t>
  </si>
  <si>
    <t>Joshua Spinak</t>
  </si>
  <si>
    <t>https://link.springer.com/article/10.1007/s10270-025-01319-9</t>
  </si>
  <si>
    <t>Predicting long time contributors with knowledge units of programming languages: an empirical study</t>
  </si>
  <si>
    <t>Md Ahasanuzzaman; Gustavo A. Oliva; Ahmed E. Hassan</t>
  </si>
  <si>
    <t>https://link.springer.com/article/10.1007/s10664-025-10655-9</t>
  </si>
  <si>
    <t>Decentralized applications: a requirements engineering perspective</t>
  </si>
  <si>
    <t>Justin Compère; Sarah Bouraga</t>
  </si>
  <si>
    <t>https://link.springer.com/article/10.1007/s00766-025-00456-3</t>
  </si>
  <si>
    <t>Process-Algebraic Semantics for Verifying Intelligent Robotic Control Software</t>
  </si>
  <si>
    <t>Ziggy Attala; Fang Yan; Simon Foster; Ana Cavalcanti; Jim Woodcock</t>
  </si>
  <si>
    <t>NASA Formal Methods</t>
  </si>
  <si>
    <t>https://link.springer.com/chapter/10.1007/978-3-031-93706-4_2</t>
  </si>
  <si>
    <t>A concept for accelerating robust oil production strategy optimizations: evolutionary representativeness</t>
  </si>
  <si>
    <t>Leandro H. Danes; Guilherme D. Avansi; Marx V Miranda; Igor V. L. Silva; Denis J. Schiozer</t>
  </si>
  <si>
    <t>https://link.springer.com/article/10.1007/s10596-025-10390-6</t>
  </si>
  <si>
    <t>Spatial analysis of under-five mortality in Africa using geographically weighted poisson regression</t>
  </si>
  <si>
    <t>Johnson Adedeji Olusola; Adedeji Adigun Oyinloye; Kemi F. Akeju; Ropo Ebenezer Ogunsakin; Sibusiso Moyo</t>
  </si>
  <si>
    <t>Discover Public Health</t>
  </si>
  <si>
    <t>https://link.springer.com/article/10.1186/s12982-025-00731-2</t>
  </si>
  <si>
    <t>Surrogate modeling of passive microwave circuits using recurrent neural networks and domain confinement</t>
  </si>
  <si>
    <t>Kaustab C. Sahu; Slawomir Koziel; Anna Pietrenko-Dabrowska</t>
  </si>
  <si>
    <t>https://link.springer.com/article/10.1038/s41598-025-91643-3</t>
  </si>
  <si>
    <t>Applications of PBPK Models to Predict Tissue Residues and Extralabel Withdrawal Times of Drugs in Food Animals: Perspectives from the Food Animal Residue Avoidance Databank (FARAD) Program</t>
  </si>
  <si>
    <t>Zhoumeng Lin; Xue Wu; Kun Mi; Ronald E. Baynes; Lisa A. Tell; Jim E. Riviere</t>
  </si>
  <si>
    <t>The AAPS Journal</t>
  </si>
  <si>
    <t>https://link.springer.com/article/10.1208/s12248-025-01149-z</t>
  </si>
  <si>
    <t>Multi-objective global sensitivity analysis of shipborne equipment based on AGPSO-CNN-BiLSTM-attention</t>
  </si>
  <si>
    <t>Shuang; Shuang Wu; Ming Yan; Lei Zhang; Linhan Feng; Ning Yang; Haichao Liu</t>
  </si>
  <si>
    <t>https://link.springer.com/article/10.1038/s41598-025-24905-9</t>
  </si>
  <si>
    <t>Prediction of ultimate bearing capacity of single pile in composite formation based on HGS-XGBoost algorithm</t>
  </si>
  <si>
    <t>Zong-jun Sun; Ying-feng Han; Feng Jiang; Gang Wang; Wen Zheng; Fei Liu; Yue Wu</t>
  </si>
  <si>
    <t>Applied Geophysics</t>
  </si>
  <si>
    <t>https://link.springer.com/article/10.1007/s11770-025-1203-2</t>
  </si>
  <si>
    <t>Exploring the mechanisms of desert plant adaptation to arid climates: a multi-omics analysis of dehydration and rehydration responses in Syntrichia caninervis</t>
  </si>
  <si>
    <t>Qilin Yang; Huan Zhang; Fangliu Yin; Haron Salih; Rui; Rui Yang; Bei Gao; Xiaoshuang Li; Daoyuan Zhang</t>
  </si>
  <si>
    <t>Stress Biology</t>
  </si>
  <si>
    <t>https://link.springer.com/article/10.1007/s44154-025-00241-w</t>
  </si>
  <si>
    <t>Goals as reward-producing programs</t>
  </si>
  <si>
    <t>Guy Davidson; Graham Todd; Julian Togelius; Todd M. Gureckis; Brenden M. Lake</t>
  </si>
  <si>
    <t>https://link.springer.com/article/10.1038/s42256-025-00981-4</t>
  </si>
  <si>
    <t>Molecular modelling and gene expression analysis to probe the GT-γ trihelix transcription factors in Solanum tuberosum under drought stress</t>
  </si>
  <si>
    <t>Tayyaba Bint Tariq; Faiza Munir; Ishrat Jabeen; Alvina Gul; Rabia Amir</t>
  </si>
  <si>
    <t>https://link.springer.com/article/10.1038/s41598-025-96485-7</t>
  </si>
  <si>
    <t>Decision Support Mathematical Model for a Production Line Design in a Context of High Demand</t>
  </si>
  <si>
    <t>Christophe Sauvey; Wajdi Trabelsi</t>
  </si>
  <si>
    <t>Computational Economics</t>
  </si>
  <si>
    <t>https://link.springer.com/article/10.1007/s10614-024-10836-6</t>
  </si>
  <si>
    <t>DNN-based dynamic modeling of bolted joints with gradient virtual material segmentation positions optimization</t>
  </si>
  <si>
    <t>Xuemin Chen; Wei Zhang; Yidan Zhu; Zhiwen Huang; Weicheng Guo; Jianmin Zhu</t>
  </si>
  <si>
    <t>Journal of Mechanical Science and Technology</t>
  </si>
  <si>
    <t>https://link.springer.com/article/10.1007/s12206-025-1007-6</t>
  </si>
  <si>
    <t>Improving harvester yield maps postprocessing leveraging remote sensing data in rice crop</t>
  </si>
  <si>
    <t>D. Fita; C. Rubio; B. Franch; S. Castiñeira-Ibáñez; D. Tarrazó-Serrano; A. San Bautista</t>
  </si>
  <si>
    <t>Precision Agriculture</t>
  </si>
  <si>
    <t>https://link.springer.com/article/10.1007/s11119-025-10219-3</t>
  </si>
  <si>
    <t>Suggestions for extending the FAIR Principles based on a linguistic perspective on semantic interoperability</t>
  </si>
  <si>
    <t>Lars Vogt; Philip Strömert; Nicolas Matentzoglu; Naouel Karam; Marcel Konrad; Manuel Prinz; Roman Baum</t>
  </si>
  <si>
    <t>Scientific Data</t>
  </si>
  <si>
    <t>https://link.springer.com/article/10.1038/s41597-025-05011-x</t>
  </si>
  <si>
    <t>Data-Driven Spectral Methods for Stochastic Surrogate Modeling and Efficient Data Assimilation in Subsurface Flows</t>
  </si>
  <si>
    <t>Tarek Diaa-Eldeen; Carl Fredrik Berg; Morten Hovd</t>
  </si>
  <si>
    <t>Mathematical Geosciences</t>
  </si>
  <si>
    <t>https://link.springer.com/article/10.1007/s11004-025-10186-5</t>
  </si>
  <si>
    <t>Safe and efficient multi-agent planning for human–integrated smart manufacturing</t>
  </si>
  <si>
    <t>Bassam Massouh; Fredrik Danielsson; Sudha Ramasamy</t>
  </si>
  <si>
    <t>https://link.springer.com/article/10.1007/s10845-025-02740-z</t>
  </si>
  <si>
    <t>Robust design optimization with gradient-based surrogates and adaptive sampling</t>
  </si>
  <si>
    <t>Garo Bedonian; Jason E. Hicken; Edwin Forster</t>
  </si>
  <si>
    <t>https://link.springer.com/article/10.1007/s00158-025-04110-y</t>
  </si>
  <si>
    <t>Hot deformation of biomedical titanium alloys: a review of deformation mechanisms, constitutive modeling and processing maps analysis</t>
  </si>
  <si>
    <t>Sodiq Abiodun Kareem; Justus Uchenna Anaele; Olajesu Favor Olanrewaju; Emmanuel Omosegunfunmi Aikulola; Nkemakolam Chikodinaka Osondu-Okoro; Esther Dolapo Adewale; Samuel Ranti Oke; Michael Oluwatosin Bodunrin</t>
  </si>
  <si>
    <t>International Journal of Material Forming</t>
  </si>
  <si>
    <t>https://link.springer.com/article/10.1007/s12289-025-01949-w</t>
  </si>
  <si>
    <t>Weixing Zhang; Bowen Jiang; Yuhong Fu; Haowei Cheng; Maximilian Hummel; Vincenzo Scotti; Nathan Hagel; Jialong Li; Georg Grossmann; Markus Stumptner; Regina Hebig; Daniel Strüber; Anne Koziolek</t>
  </si>
  <si>
    <t>https://link.springer.com/article/10.1007/s10664-026-10921-4</t>
  </si>
  <si>
    <t>UML4UI: UML as a foundation for model-based and model-driven user interface engineering</t>
  </si>
  <si>
    <t>Jean Vanderdonckt; Emilio Insfran; Abel Gómez; Silvia Abrahão</t>
  </si>
  <si>
    <t>https://link.springer.com/article/10.1007/s10270-026-01406-5</t>
  </si>
  <si>
    <t>Luca Franziska Hörner; Maximilian Möller; Manfred Reichert</t>
  </si>
  <si>
    <t>https://link.springer.com/article/10.1007/s12599-025-00983-x</t>
  </si>
  <si>
    <t>Natural Language Processing for BPMN Model Generation with LLMs: A Systematic Literature Review</t>
  </si>
  <si>
    <t>Alena Wimmer; Ana Costa; Luise Pufahl</t>
  </si>
  <si>
    <t>https://link.springer.com/chapter/10.1007/978-3-032-13426-4_31</t>
  </si>
  <si>
    <t>LLM as a Code Generator in Agile Model Driven Development</t>
  </si>
  <si>
    <t>Ahmed R. Sadik; Sebastian Brulin; Markus Olhofer; Antonello Ceravola; Frank Joublin</t>
  </si>
  <si>
    <t>https://link.springer.com/chapter/10.1007/978-3-031-96841-9_10</t>
  </si>
  <si>
    <t>Automating Simulation Model Creation and Requirements Derivation in Cyber-physical Systems Using SysML and AI</t>
  </si>
  <si>
    <t>Michael Maletz; Daniel Krems; Stefan Zagler; Johannes Fritz</t>
  </si>
  <si>
    <t>2025 FISITA World Mobility Conference Technical Proceedings: Volume 2</t>
  </si>
  <si>
    <t>https://link.springer.com/chapter/10.1007/978-3-032-13865-1_5</t>
  </si>
  <si>
    <t>A conversational tool for AI-driven feedback for UML modeling</t>
  </si>
  <si>
    <t>Pasquale Ardimento; Mario Luca Bernardi; Marta Cimitile; Michele Scalera</t>
  </si>
  <si>
    <t>https://link.springer.com/article/10.1007/s10270-026-01373-x</t>
  </si>
  <si>
    <t>AI-Based Recovery of High-Level Models in the Context of Reverse Engineering of C++ to UML</t>
  </si>
  <si>
    <t>Ansgar Radermacher; Marcos Didonet Del Fabro; Shebli Anvar; Frédéric Chateau; Yassine Abdeljalil</t>
  </si>
  <si>
    <t>https://link.springer.com/chapter/10.1007/978-3-032-08570-2_16</t>
  </si>
  <si>
    <t>Generative Reasoning Meets Multimodal Evaluation: A Novel Approach to Activity and Package Diagram Comparison in UML Modeling</t>
  </si>
  <si>
    <t>Van-Viet Nguyen; Huu-Khanh Nguyen; Kim-Son Nguyen; Thi Minh-Hue Luong; Anh-Tu Bui; Duc-Quang Vu; The-Vinh Nguyen</t>
  </si>
  <si>
    <t>Cybersecurity, IoT, Data Science and Digital Forensics</t>
  </si>
  <si>
    <t>https://link.springer.com/chapter/10.1007/978-3-032-19488-6_7</t>
  </si>
  <si>
    <t>On the consistency of state machines, use cases and block diagrams using dependency graphs and Large Language Models</t>
  </si>
  <si>
    <t>Bastien Sultan; Ludovic Apvrille; Sophie Coudert</t>
  </si>
  <si>
    <t>https://link.springer.com/article/10.1007/s10270-026-01388-4</t>
  </si>
  <si>
    <t>Syed Tauhid Ullah Shah; Mohamad Hussein; Ann Barcomb; Mohammad Moshirpour</t>
  </si>
  <si>
    <t>https://link.springer.com/article/10.1007/s10515-025-00587-5</t>
  </si>
  <si>
    <t>Design and Development of an AI-Enabled Systems Engineering Model Generation Tool</t>
  </si>
  <si>
    <t>Jyotirmay Gadewadikar; Tomi Esho; Jeremy Marshall</t>
  </si>
  <si>
    <t>Augmented Intelligence in Systems Engineering and Engineered Systems</t>
  </si>
  <si>
    <t>https://link.springer.com/chapter/10.1007/978-3-032-12309-1_29</t>
  </si>
  <si>
    <t>Automated UML Generation: A Framework for Class Diagram Synthesis and Multimodal Validation</t>
  </si>
  <si>
    <t>Van-Viet Nguyen; Huu-Khanh Nguyen; Kim-Son Nguyen; Minh-Hue Luong Thi; The-Vinh Nguyen; Duc-Quang Vu</t>
  </si>
  <si>
    <t>Future Data and Security Engineering</t>
  </si>
  <si>
    <t>https://link.springer.com/chapter/10.1007/978-981-95-4724-1_15</t>
  </si>
  <si>
    <t>On the Applicability of Generative Artificial Intelligence in Modelling the Dynamic Behaviour of Materials–Potentials and Pitfalls</t>
  </si>
  <si>
    <t>T. Fras; P. Pawlowski</t>
  </si>
  <si>
    <t>Journal of Dynamic Behavior of Materials</t>
  </si>
  <si>
    <t>https://link.springer.com/article/10.1007/s40870-025-00506-5</t>
  </si>
  <si>
    <t>Recent Advances in Generative AI for Healthcare Applications</t>
  </si>
  <si>
    <t>Yasin Shokrollahi; Jose Colmenarez; Wenxi Liu; Sahar Yarmohammadtoosky; Matthew M. Nikahd; Pengfei Dong; Xianqi Li; Linxia Gu</t>
  </si>
  <si>
    <t>Journal of Imaging Informatics in Medicine</t>
  </si>
  <si>
    <t>https://link.springer.com/article/10.1007/s10278-026-01908-0</t>
  </si>
  <si>
    <t>Generating BPMN Healthcare Process Models Using LLMs</t>
  </si>
  <si>
    <t>Adam Grík; Silvia Putekova; Anna Petrulova; Marek Rabincak; Karol Nemoga; Fedor Lehocki</t>
  </si>
  <si>
    <t>Digital Health and Wireless Solutions: Integrating AI, LLMs and Multimodal Health Data for Next-Generation Decision Support</t>
  </si>
  <si>
    <t>https://link.springer.com/chapter/10.1007/978-3-032-28819-6_33</t>
  </si>
  <si>
    <t>Code Generation for Machine Learning Models on Diverse Data Formats</t>
  </si>
  <si>
    <t>Sangita Lade; Muhammad Parkar; Shreyas Nagarkar; Om Shintre; Shivam Padalkar</t>
  </si>
  <si>
    <t>ICT Systems and Sustainability</t>
  </si>
  <si>
    <t>https://link.springer.com/chapter/10.1007/978-3-032-06671-8_11</t>
  </si>
  <si>
    <t>Artificial Intelligence Applications in Software Development: A Bibliometric Approach</t>
  </si>
  <si>
    <t>Syn Nguyen; Manohar Valabi</t>
  </si>
  <si>
    <t>SEET—Software Engineering for Emerging Technologies</t>
  </si>
  <si>
    <t>https://link.springer.com/chapter/10.1007/978-3-032-08977-9_47</t>
  </si>
  <si>
    <t>AI-Powered Architecting for Industry 4.0 Cyber-Physical Production Systems: A Novel Approach, Research Problems and Challenges</t>
  </si>
  <si>
    <t>Stephen John Warnett; Uwe Zdun</t>
  </si>
  <si>
    <t>Software Architecture. ECSA 2025 Tracks and Workshops</t>
  </si>
  <si>
    <t>https://link.springer.com/chapter/10.1007/978-3-032-04403-7_15</t>
  </si>
  <si>
    <t>Model-Driven Development of Chatbot Microservices</t>
  </si>
  <si>
    <t>Adel Vahdati; Raman Ramsin</t>
  </si>
  <si>
    <t>https://link.springer.com/chapter/10.1007/978-3-031-96841-9_4</t>
  </si>
  <si>
    <t>Artificial intelligence for piping and instrumentation diagrams: a review and perspective</t>
  </si>
  <si>
    <t>Jifei Ma; Wenjie Peng; Yaoyu Pan; Xiaoshuai Yuan; Jibin Zhou; Tao Zhang; Mao Ye; Zhongmin Liu</t>
  </si>
  <si>
    <t>ENGINEERING Chemical Engineering</t>
  </si>
  <si>
    <t>https://link.springer.com/article/10.1007/s11705-026-2685-z</t>
  </si>
  <si>
    <t>Neuro-Symbolic pathways to AGI: compositional reasoning and trustworthy deployment</t>
  </si>
  <si>
    <t>Safayat Bin Hakim; Kanchon Gharami; Huihui Wang; Muhammad Adil; Alvaro Velasquez; Houbing Herbert Song</t>
  </si>
  <si>
    <t>https://link.springer.com/article/10.1007/s13748-026-00463-7</t>
  </si>
  <si>
    <t>Generative Artificial Intelligence in Bioinformatics: A Systematic Review of Models, Applications, and Methodological Advances</t>
  </si>
  <si>
    <t>Wasimul Karim; Riasad Alvi; Sayeem Been Zaman; Arefin Ittesafun Abian; Mohaimenul Azam Khan Raiaan; Saddam Mukta; Md Rafi Ur Rashid; Md Rafiqul Islam; Yakub Sebastian; Sami Azam</t>
  </si>
  <si>
    <t>https://link.springer.com/article/10.1007/s11831-026-10743-z</t>
  </si>
  <si>
    <t>A Large Language Model-based System for Automatic Medical NLP Code Generation</t>
  </si>
  <si>
    <t>Jiming Xu; Simin Li; Bo Kang; Jun Yan</t>
  </si>
  <si>
    <t>Health Information Processing</t>
  </si>
  <si>
    <t>https://link.springer.com/chapter/10.1007/978-981-95-7299-1_35</t>
  </si>
  <si>
    <t>Preliminary Application of Large Language Models for Scope Model Generation in Models for Manufacturing</t>
  </si>
  <si>
    <t>Manuel Roldán Reyes; Murillo Skrzek; Domingo Morales-Palma; Fernando Mas</t>
  </si>
  <si>
    <t>Product Lifecycle Management. PLM in the Age of Model-Based Engineering in Industry</t>
  </si>
  <si>
    <t>https://link.springer.com/chapter/10.1007/978-3-032-09704-0_5</t>
  </si>
  <si>
    <t>Towards Automated UI Mockup Generation from Two-Hemisphere Problem Domain Models</t>
  </si>
  <si>
    <t>Kristaps Babris; Oksana Nikiforova</t>
  </si>
  <si>
    <t>Proceedings of 19th Iberian Conference on Information Systems and Technologies (CISTI 2024)</t>
  </si>
  <si>
    <t>https://link.springer.com/chapter/10.1007/978-3-032-12876-8_42</t>
  </si>
  <si>
    <t>AI-Augmented MBSE for Ontology-Driven Digital Twin Systems Interoperability</t>
  </si>
  <si>
    <t>Racem Bougacha; Slim Kallel</t>
  </si>
  <si>
    <t>https://link.springer.com/chapter/10.1007/978-3-032-23304-2_18</t>
  </si>
  <si>
    <t>Preliminary Study of DSL Code Generation for Robotics with LLMs</t>
  </si>
  <si>
    <t>Alberto Tagliaferro; Livia Lestingi; Matteo Rossi</t>
  </si>
  <si>
    <t>Towards Autonomous Robotic Systems</t>
  </si>
  <si>
    <t>https://link.springer.com/chapter/10.1007/978-3-032-01486-3_22</t>
  </si>
  <si>
    <t>Towards Diagram-Based Data Model Generation with LLMs</t>
  </si>
  <si>
    <t>Léna Bamouh; Thibault Béziers La Fosse; Massimo Tisi</t>
  </si>
  <si>
    <t>https://link.springer.com/chapter/10.1007/978-3-032-08620-4_10</t>
  </si>
  <si>
    <t>A Novel Pipeline for Automatic UML Sequence Diagram Synthesis and Multimodal Scoring</t>
  </si>
  <si>
    <t>Van-Viet Nguyen; Huu-Khanh Nguyen; Kim-Son Nguyen; Hue Luong Thi Minh; The-Vinh Nguyen; Duc-Quang Vu</t>
  </si>
  <si>
    <t>Intelligent Systems and Data Science</t>
  </si>
  <si>
    <t>https://link.springer.com/chapter/10.1007/978-981-95-3355-8_34</t>
  </si>
  <si>
    <t>Generating Business Process Models with Open Source Large Language Models Using Instruction Tuning</t>
  </si>
  <si>
    <t>https://link.springer.com/chapter/10.1007/978-3-032-12089-2_17</t>
  </si>
  <si>
    <t>Pioneering a DeepSeek R1-Generated UML Dataset and an Automated Multimodal Visual Validation Framework</t>
  </si>
  <si>
    <t>Van-Viet Nguyen; Huu-Khanh Nguyen; Kim-Son Nguyen; Thi Minh-Hue Luong; The-Vinh Nguyen; Huu-Cong Nguyen; Duc-Quang Vu</t>
  </si>
  <si>
    <t>Advances in Information and Communication Technology</t>
  </si>
  <si>
    <t>https://link.springer.com/chapter/10.1007/978-3-032-18159-6_37</t>
  </si>
  <si>
    <t>Automatic GUI Code Generation via Convolutional Neural Networks from Low-Fidelity Wireframes</t>
  </si>
  <si>
    <t>P. Mathivanan; P. Inban; A. Kevin; G. Pravin</t>
  </si>
  <si>
    <t>Innovations in Cybersecurity and Data Science</t>
  </si>
  <si>
    <t>https://link.springer.com/chapter/10.1007/978-3-032-12243-8_16</t>
  </si>
  <si>
    <t>Talk to Me! Toward Speech-Based UML Modeling</t>
  </si>
  <si>
    <t>Simon Schwantler; Stefan Klikovits; Haydar Metin; Philip Langer; Dominik Bork</t>
  </si>
  <si>
    <t>https://link.springer.com/chapter/10.1007/978-3-032-12063-2_6</t>
  </si>
  <si>
    <t>The democratization of software engineering: evolution, definition, and the future of low-code and no-code platforms</t>
  </si>
  <si>
    <t>Adrian Abendroth</t>
  </si>
  <si>
    <t>Management Review Quarterly</t>
  </si>
  <si>
    <t>https://link.springer.com/article/10.1007/s11301-026-00603-2</t>
  </si>
  <si>
    <t>Automated Interoperability with ML/AI: A Survey of Model/Schema Approaches</t>
  </si>
  <si>
    <t>Joshua Tetteh Ocansey; Yngve Lamo; Adrian Rutle; Fazle Rabbi; Bahareh Fatemi</t>
  </si>
  <si>
    <t>https://link.springer.com/chapter/10.1007/978-3-032-15538-2_32</t>
  </si>
  <si>
    <t>Business Process Discovery Through Agentic Generative AI</t>
  </si>
  <si>
    <t>Pierre Lindenberg; Indika Kumara; Joshua Owotogbe; Willem-Jan van den Heuvel; Damian Andrew Tamburri</t>
  </si>
  <si>
    <t>Service-Oriented Computing</t>
  </si>
  <si>
    <t>https://link.springer.com/chapter/10.1007/978-981-95-5015-9_19</t>
  </si>
  <si>
    <t>Intell-Dragonfly: A Cybersecurity Attack Surface Generation Engine Based on Artificial Intelligence Generated Content Technology</t>
  </si>
  <si>
    <t>Lvyang Zhang; Xingchen Wu; Yang Zhao; Jiaqi Li; Qin Qiu; Lidong Zhai</t>
  </si>
  <si>
    <t>Science of Cyber Security</t>
  </si>
  <si>
    <t>https://link.springer.com/chapter/10.1007/978-981-95-4677-0_17</t>
  </si>
  <si>
    <t>A review of AI and machine learning applications in manufacturing processes</t>
  </si>
  <si>
    <t>Mohamed El Amine Gorine; Lyes Nechak; Mohamed Ichchou; Yann Pichenot</t>
  </si>
  <si>
    <t>https://link.springer.com/article/10.1007/s10845-026-02826-2</t>
  </si>
  <si>
    <t>How Can Generative AI Empower Domain Experts in Creating Process Models?</t>
  </si>
  <si>
    <t>Nataliia Klievtsova; Juergen Mangler; Timotheus Kampik; Janik-Vasily Benzin; Stefanie Rinderle-Ma</t>
  </si>
  <si>
    <t>Digital Innovation and Organizational Transformation</t>
  </si>
  <si>
    <t>https://link.springer.com/chapter/10.1007/978-3-032-08483-5_5</t>
  </si>
  <si>
    <t>A Brief Survey on Human-AI Collaboration for Architecture Design of Industrial Systems</t>
  </si>
  <si>
    <t>Antonio Monte Pegado; Luis M. Camarinha-Matos; Andre Dionisio Rocha</t>
  </si>
  <si>
    <t>Hybrid Human-AI Collaborative Networks</t>
  </si>
  <si>
    <t>https://link.springer.com/chapter/10.1007/978-3-032-05673-3_4</t>
  </si>
  <si>
    <t>The impact of critique on LLM-based model generation from natural language: the case of activity diagrams</t>
  </si>
  <si>
    <t>Parham Khamsepour; Mark Cole; Ish Ashraf; Da; Yuan Tan; Sandeep Puri; Mehrdad Sabetzadeh; Shiva Nejati</t>
  </si>
  <si>
    <t>https://link.springer.com/article/10.1007/s10664-026-10923-2</t>
  </si>
  <si>
    <t>Extending OCL for semantic representation of software systems</t>
  </si>
  <si>
    <t>https://link.springer.com/article/10.1007/s11334-026-00639-3</t>
  </si>
  <si>
    <t>An LLM and Embeddings-Based Multi-agentic System for Knowledge Graph Construction and Verification</t>
  </si>
  <si>
    <t>Miranda R. Martínez Rodríguez; Ali Nouri; Zhennan Fei; Maria M. Hedblom</t>
  </si>
  <si>
    <t>PRIMA 2025: Principles and Practice of Multi-Agent Systems</t>
  </si>
  <si>
    <t>https://link.springer.com/chapter/10.1007/978-3-032-13562-9_31</t>
  </si>
  <si>
    <t>A Comparative Study of Object and Sequence Diagrams in Automated UML Understanding</t>
  </si>
  <si>
    <t>Van-Viet Nguyen; Anh-Tu Bui; Huu-Khanh Nguyen; Kim-Son Nguyen; Thi Minh-Hue Luong; Duc-Quang Vu; The-Vinh Nguyen; Quy-Anh Bui</t>
  </si>
  <si>
    <t>Computational Intelligence in Engineering Science</t>
  </si>
  <si>
    <t>https://link.springer.com/chapter/10.1007/978-3-032-21631-1_28</t>
  </si>
  <si>
    <t>AI Assisted Programming (AISoLA 2025 Track Introduction)</t>
  </si>
  <si>
    <t>https://link.springer.com/chapter/10.1007/978-3-032-07132-3_2</t>
  </si>
  <si>
    <t>Have model transformation languages failed?</t>
  </si>
  <si>
    <t>Juan de Lara; Esther Guerra; Jesús Sánchez Cuadrado</t>
  </si>
  <si>
    <t>https://link.springer.com/article/10.1007/s10270-026-01360-2</t>
  </si>
  <si>
    <t>Context is key for cybersecurity: leveraging external knowledge for process model explanation via LLMs</t>
  </si>
  <si>
    <t>Linda Maria Kölbel; Leo Poss; Stefan Schönig</t>
  </si>
  <si>
    <t>https://link.springer.com/article/10.1007/s10207-026-01245-x</t>
  </si>
  <si>
    <t>Bridging conceptual models and numerical domains: a semantic integration approach for federated co-simulation in MBSE</t>
  </si>
  <si>
    <t>Thomas C. Zimmermann; Johan Cederbladh; Erik Paul Konietzko; Pascal Lünnemann</t>
  </si>
  <si>
    <t>https://link.springer.com/article/10.1007/s10270-026-01396-4</t>
  </si>
  <si>
    <t>CLAIR: Generating On-Demand Low-Code Application Documentation Through Knowledge Graph and LLM-Based Multi-agent System Integration</t>
  </si>
  <si>
    <t>Tim Eichhorn; Luís Ferreira Pires; Gayane Sedrakyan; Ruben ten Asbroek</t>
  </si>
  <si>
    <t>https://link.springer.com/chapter/10.1007/978-3-032-16234-2_24</t>
  </si>
  <si>
    <t>Leveraging LLMs to support co-evolution between definitions and instances of textual DSLs: a systematic evaluation</t>
  </si>
  <si>
    <t>Weixing Zhang; Bowen Jiang; Yuhong Fu; Anne Koziolek; Regina Hebig; Daniel Strüber</t>
  </si>
  <si>
    <t>https://link.springer.com/article/10.1007/s10270-026-01402-9</t>
  </si>
  <si>
    <t>Process Mining Powered by Machine Learning</t>
  </si>
  <si>
    <t>Bodapati Reshma; Cristina Turcanu; Esraa Khatab</t>
  </si>
  <si>
    <t>ArtsIT, Interactivity and Game Creation</t>
  </si>
  <si>
    <t>https://link.springer.com/chapter/10.1007/978-3-032-26996-6_14</t>
  </si>
  <si>
    <t>Impact and Implications of Generative AI for Enterprise Architects in Agile Environments: A Systematic Literature Review</t>
  </si>
  <si>
    <t>Stefan Julian Kooy; Jean Paul Sebastian Piest; Rob Henk Bemthuis</t>
  </si>
  <si>
    <t>https://link.springer.com/chapter/10.1007/978-3-032-16234-2_4</t>
  </si>
  <si>
    <t>ELTC: An End-to-End Large Language Model-Based Tensor Compilation Optimization Framework</t>
  </si>
  <si>
    <t>Wen; Bo Ma; Qing; Zeng Song; Fei Qiao; Yong; Jiang Xue; Ming; Ze Sun</t>
  </si>
  <si>
    <t>Programming Languages and Systems</t>
  </si>
  <si>
    <t>https://link.springer.com/chapter/10.1007/978-981-95-3585-9_12</t>
  </si>
  <si>
    <t>Specifying, Analysing and Implementing Decision-Support System Architectures</t>
  </si>
  <si>
    <t>Mert Ozkaya; Mehmet Alp Kose; Egehan Asal</t>
  </si>
  <si>
    <t>https://link.springer.com/chapter/10.1007/978-3-031-96841-9_6</t>
  </si>
  <si>
    <t>REST in pieces: a controlled experiment to dissect the effects of a domain-specific language for code to cloud API migration</t>
  </si>
  <si>
    <t>Maximilian Schiedermeier; Bettina Kemme; Jörg Kienzle</t>
  </si>
  <si>
    <t>https://link.springer.com/article/10.1007/s10270-026-01391-9</t>
  </si>
  <si>
    <t>Agent-Based Business Process Design: A Declarative Approach Beyond Procedural Workflows</t>
  </si>
  <si>
    <t>Mohammad Azarijafari; Luisa Mich; Michele Missikoff</t>
  </si>
  <si>
    <t>Computational Intelligence</t>
  </si>
  <si>
    <t>https://link.springer.com/chapter/10.1007/978-3-032-15632-7_22</t>
  </si>
  <si>
    <t>Comparative Analysis of Generative AI Performance in University Programming Courses</t>
  </si>
  <si>
    <t>Eero Suomalainen; Erno Vanhala; Jouni Ikonen</t>
  </si>
  <si>
    <t>Software Business</t>
  </si>
  <si>
    <t>https://link.springer.com/chapter/10.1007/978-3-032-14518-5_16</t>
  </si>
  <si>
    <t>Model-based digital twin engineering: insights, challenges, and future directions</t>
  </si>
  <si>
    <t>Philipp Zech; Souvik Barat; Benjamin Nast; Bentley Oakes; Judith Michael; Steffen Zschaler; Balbir Barn; Ruth Breu</t>
  </si>
  <si>
    <t>https://link.springer.com/article/10.1007/s10270-026-01368-8</t>
  </si>
  <si>
    <t>Agentic Generation of Process Models from Regulatory Texts</t>
  </si>
  <si>
    <t>Catherine Sai; Stefanie Rinderle-Ma</t>
  </si>
  <si>
    <t>https://link.springer.com/chapter/10.1007/978-3-032-15538-2_21</t>
  </si>
  <si>
    <t>Machine learning in legal decision-making: analysis of judicial and algorithmic reasoning in road homicide cases</t>
  </si>
  <si>
    <t>Grazia Garzo; Alessandro Palumbo; Mario Giampaolo</t>
  </si>
  <si>
    <t>AI &amp; SOCIETY</t>
  </si>
  <si>
    <t>https://link.springer.com/article/10.1007/s00146-026-02920-2</t>
  </si>
  <si>
    <t>A survey on large language models for software engineering</t>
  </si>
  <si>
    <t>Quanjun Zhang; Chunrong Fang; Yang Xie; Yaxin Zhang; Shengcheng Yu; Weisong Sun; Yun Yang; Zhenyu Chen</t>
  </si>
  <si>
    <t>https://link.springer.com/article/10.1007/s11432-025-4670-0</t>
  </si>
  <si>
    <t>Software Engineering and Society: Navigating the Ethical Challenges of Artificial Intelligence</t>
  </si>
  <si>
    <t>Alcides Alvear; Carmen L. Carvajal; Idalides Vergara; Yahya Msalmah</t>
  </si>
  <si>
    <t>Emerging Trends in Information Systems and Technologies</t>
  </si>
  <si>
    <t>https://link.springer.com/chapter/10.1007/978-3-032-01234-0_37</t>
  </si>
  <si>
    <t>A comprehensive introspection on AI risks: taxonomy, challenges, and future directions</t>
  </si>
  <si>
    <t>Partha Pratim Ray</t>
  </si>
  <si>
    <t>https://link.springer.com/article/10.1007/s42044-025-00370-5</t>
  </si>
  <si>
    <t>Object-Based Process Model Generation</t>
  </si>
  <si>
    <t>https://link.springer.com/chapter/10.1007/978-3-032-13426-4_36</t>
  </si>
  <si>
    <t>Ontology for Models’ Interoperability: A Case Study for Design and Simulation</t>
  </si>
  <si>
    <t>Zhengyu Liu; Arkopaul Sarkar; Sina Namaki Araghi; Amine Karoui; Rebeca Arista; Mohamed Hedi Karray</t>
  </si>
  <si>
    <t>https://link.springer.com/chapter/10.1007/978-3-032-09704-0_22</t>
  </si>
  <si>
    <t>RAG and Agentic Assistant: A Combined Approach</t>
  </si>
  <si>
    <t>Moez Ben Hajhmida; Edward A. Lee</t>
  </si>
  <si>
    <t>https://link.springer.com/chapter/10.1007/978-3-032-07132-3_4</t>
  </si>
  <si>
    <t>Multimodal Validation in UML Synthesis: A Dual-Case Study on Sequence and Class Diagram Generation Pipelines</t>
  </si>
  <si>
    <t>Van-Viet Nguyen; Huu-Khanh Nguyen; Kim-Son Nguyen; Minh-Hue Luong Thi; Anh-Tu Bui; The-Vinh Nguyen; Duc-Quang Vu</t>
  </si>
  <si>
    <t>Advances in Engineering Research and Application</t>
  </si>
  <si>
    <t>https://link.springer.com/chapter/10.1007/978-3-032-15839-0_37</t>
  </si>
  <si>
    <t>Optimal drawbead restraining force design with physical-artificial intelligence method</t>
  </si>
  <si>
    <t>Yuan Gan; Qingyu Yang; Feng Ren; Yinong Shen; Xin Wu</t>
  </si>
  <si>
    <t>https://link.springer.com/article/10.1007/s10845-025-02770-7</t>
  </si>
  <si>
    <t>Model-Driven Engineering for Data Provenance: A Graphical W3C PROV Modeling Tool</t>
  </si>
  <si>
    <t>Marcos Alves Vieira; Sergio T. Carvalho</t>
  </si>
  <si>
    <t>https://link.springer.com/chapter/10.1007/978-3-031-96841-9_9</t>
  </si>
  <si>
    <t>Building Expert Small Models: A Comprehensive Survey of Model Compression, Knowledge Distillation, and Augmented Inference</t>
  </si>
  <si>
    <t>A. Aruna Gladys; R. Aishwarya; V. Vetriselvi; Samuel Daphne; P. N. Baskar; Arun Amaithi Rajan</t>
  </si>
  <si>
    <t>https://link.springer.com/article/10.1007/s11831-026-10598-4</t>
  </si>
  <si>
    <t>Large processor chip model</t>
  </si>
  <si>
    <t>Kaiyan Chang; Mingzhi Chen; Yunji Chen; Zhirong Chen; Dongrui Fan; Junfeng Gong; Nan Guo; Yinhe Han; Qinfen Hao; Shuo Hou; Xuan Huang; Pengwei Jin; Changxin Ke; Cangyuan Li; Guangli Li; Huawei Li; Kuan Li; Naipeng Li; Shengwen Liang; Cheng Liu; Hongwei Liu; Jiahua Liu; Junliang Lv; Jianan Mu; Jin Qin; Bin Sun; Chenxi Wang; Duo Wang; Mingjun Wang; Ying Wang; Chenggang Wu; Peiyang Wu; Teng Wu; Xiao Xiao; Mengyao Xie; Chenwei Xiong; Ruiyuan Xu; Mingyu Yan; Xiaochun Ye; Kuai Yu; Rui Zhang; Shuoming Zhang; Jiacheng Zhao</t>
  </si>
  <si>
    <t>https://link.springer.com/article/10.1007/s11432-025-4739-1</t>
  </si>
  <si>
    <t>Leveraging large language models for generating availability models of standby structures</t>
  </si>
  <si>
    <t>Paulo Maciel; Dario Vasconcelos; Maria Azevedo; Erick Nascimento; Jamilson Dantas</t>
  </si>
  <si>
    <t>https://link.springer.com/article/10.1007/s00607-026-01674-5</t>
  </si>
  <si>
    <t>Generative AI in Simulation-Based Test Environments for Large-Scale Cyber-Physical Systems: An Industrial Study</t>
  </si>
  <si>
    <t>Masoud Sadrnezhaad; José Antonio Hernández López; Torvald Mårtensson; Dániel Varró</t>
  </si>
  <si>
    <t>https://link.springer.com/chapter/10.1007/978-3-032-12089-2_13</t>
  </si>
  <si>
    <t>Perovskite-R1: a domain-specialized large language model for intelligent discovery of precursor additives and experimental design</t>
  </si>
  <si>
    <t>Xin-De Wang; Zhi-Rui Chen; Peng-Jie Guo; Ze-Feng Gao; Cheng Mu; Zhong-Yi Lu</t>
  </si>
  <si>
    <t>Communications Materials</t>
  </si>
  <si>
    <t>https://link.springer.com/article/10.1038/s43246-026-01099-9</t>
  </si>
  <si>
    <t>A Specification-Driven Approach to Embedded FDIR Code Generation</t>
  </si>
  <si>
    <t>Federico Bonafini; Roberto Cavada; Alessandro Cimatti; Guillermo Gomez; Stefano Tonetta</t>
  </si>
  <si>
    <t>Formal Methods for Industrial Critical Systems</t>
  </si>
  <si>
    <t>https://link.springer.com/chapter/10.1007/978-3-032-00942-5_14</t>
  </si>
  <si>
    <t>Large language models in intelligent manufacturing and mechanical engineering: a review of robotics, fault diagnosis, design, and engineering knowledge workflows</t>
  </si>
  <si>
    <t>Sherif Samy Sorour; Anwar Sahbel</t>
  </si>
  <si>
    <t>https://link.springer.com/article/10.1007/s10845-026-02927-y</t>
  </si>
  <si>
    <t>Evaluating LLM-Generated Finite State Machines: The Impact of Prompting Techniques on Structural and Semantic Accuracy</t>
  </si>
  <si>
    <t>Felix Cammaerts; Jinghui Zhang; Ujala Feroze; Monique Snoeck</t>
  </si>
  <si>
    <t>https://link.springer.com/chapter/10.1007/978-3-032-28274-3_22</t>
  </si>
  <si>
    <t>On the Alignment of Vibe Coding and Conceptual Models: An Exploratory Study with Base44</t>
  </si>
  <si>
    <t>Jenny Guber; Iris Reinhartz-Berger; Monique Snoeck</t>
  </si>
  <si>
    <t>https://link.springer.com/chapter/10.1007/978-3-032-28274-3_15</t>
  </si>
  <si>
    <t>Vibe Modeling: Challenges and Opportunities</t>
  </si>
  <si>
    <t>https://link.springer.com/chapter/10.1007/978-3-032-08620-4_7</t>
  </si>
  <si>
    <t>The Impact of Generative Artificial Intelligence Tools in Project-Based Learning</t>
  </si>
  <si>
    <t>Tom van Dijk; Vadim Zaytsev</t>
  </si>
  <si>
    <t>https://link.springer.com/chapter/10.1007/978-3-032-01377-4_3</t>
  </si>
  <si>
    <t>A Voice-Enabled Query Framework for Systems Engineering Artefacts</t>
  </si>
  <si>
    <t>Lennart Landt; Martin Leucker; Carsten Burchardt</t>
  </si>
  <si>
    <t>https://link.springer.com/chapter/10.1007/978-3-032-07132-3_6</t>
  </si>
  <si>
    <t>Towards Automatic Smart Contract Generation: Application in Agriculture</t>
  </si>
  <si>
    <t>Ryhem Essid; Wael Sellami; Hatem Hadj Kacem; Layth Sliman</t>
  </si>
  <si>
    <t>Service-Oriented Computing – ICSOC 2024 Workshops</t>
  </si>
  <si>
    <t>https://link.springer.com/chapter/10.1007/978-981-96-7423-7_6</t>
  </si>
  <si>
    <t>LLMs applied to web scraping and web crawling: a systematic review</t>
  </si>
  <si>
    <t>Pablo Landeta-López; José María García; Cathy Guevara-Vega; Antonio Ruiz-Cortés</t>
  </si>
  <si>
    <t>https://link.springer.com/article/10.1007/s00607-026-01666-5</t>
  </si>
  <si>
    <t>Investigation of seismic reliability analysis of non-linear steel structures utilizing quantile regression deep learning</t>
  </si>
  <si>
    <t>Van-Thuat Dinh; Long Nguyen; Viet-Hung Dang; Thuy-Duong Tran; Truong-Thang Nguyen</t>
  </si>
  <si>
    <t>https://link.springer.com/article/10.1007/s00521-025-11795-1</t>
  </si>
  <si>
    <t>Machine Learning-Enhanced Advanced Combustion Strategies for Diesel Engines: A Comprehensive Review Toward Sustainable Combustion</t>
  </si>
  <si>
    <t>Dhinesh Balasubramanian; Jawahar Raj Sivanandha Gnanavel; Inbanaathan Papla Venugopal; Horng-Wen Wu</t>
  </si>
  <si>
    <t>https://link.springer.com/article/10.1007/s11831-026-10518-6</t>
  </si>
  <si>
    <t>A Survey of Quantization in LLM: Unlocking Potential Hardware Efficiency</t>
  </si>
  <si>
    <t>Yi-Dong Chen; Kai-Jun Zheng; Zhen-Hua Guo; Qi-Hao Zhang; Yong-Hua Zhang; Ji-Dong Zhai</t>
  </si>
  <si>
    <t>https://link.springer.com/article/10.1007/s11390-026-5979-1</t>
  </si>
  <si>
    <t>Modeling and Analysis of Cyber-Physical Systems in the Hybrid $$\pi $$ -Calculus Using Extended Sequence Diagrams</t>
  </si>
  <si>
    <t>Xiong Xu; Jixiang Miao; Shuling Wang; Jean-Pierre Talpin</t>
  </si>
  <si>
    <t>Formal Methods and Software Engineering</t>
  </si>
  <si>
    <t>https://link.springer.com/chapter/10.1007/978-981-95-4213-0_4</t>
  </si>
  <si>
    <t>Visual and thermal monitoring techniques for Wire Arc Additive Manufacturing: from conventional to machine learning approaches</t>
  </si>
  <si>
    <t>Maedeh Gourakani; Carmelo Mineo; Donatella Cerniglia; Andrea Bertazzo; Federica Tiso; Giovanni Avallone</t>
  </si>
  <si>
    <t>https://link.springer.com/article/10.1007/s42452-026-08701-2</t>
  </si>
  <si>
    <t>A Pattern Collection for Generating Accessible Teaching Materials for Blind and Visually Impaired Students in Computer Science and Electrical Engineering</t>
  </si>
  <si>
    <t>Diethelm Bienhaus; Michael Kreutzer</t>
  </si>
  <si>
    <t>Pattern Languages of Programs, People and Practices</t>
  </si>
  <si>
    <t>https://link.springer.com/chapter/10.1007/978-3-032-19157-1_12</t>
  </si>
  <si>
    <t>From Mock-Ups to IFML-Like GUI Models: Using Large Language Models in Web Engineering</t>
  </si>
  <si>
    <t>Atefeh Nirumand; Jordi Cabot</t>
  </si>
  <si>
    <t>https://link.springer.com/chapter/10.1007/978-3-031-97207-2_20</t>
  </si>
  <si>
    <t>The evolution framework and implementation method of digital twins throughout the full lifecycle</t>
  </si>
  <si>
    <t>Songtao He; Wei Wang; Wenjie Jia</t>
  </si>
  <si>
    <t>https://link.springer.com/article/10.1007/s00170-026-18589-2</t>
  </si>
  <si>
    <t>Bayesian-optimized explainable machine learning framework for predicting reinforced concrete beam ultimate load-carrying capacity</t>
  </si>
  <si>
    <t>Arvind Dewangan; Nikita Jain; Neha Sharma; Sagar Paruthi; Rupesh Kumar Tipu</t>
  </si>
  <si>
    <t>Asian Journal of Civil Engineering</t>
  </si>
  <si>
    <t>https://link.springer.com/article/10.1007/s42107-026-01692-w</t>
  </si>
  <si>
    <t>Ghost Performers in Machine Simulacra: Neighbouring Rights Protection of Digital Twins</t>
  </si>
  <si>
    <t>Zihang Lan; Yichen Luo</t>
  </si>
  <si>
    <t>Law and Philosophy</t>
  </si>
  <si>
    <t>https://link.springer.com/article/10.1007/s10982-026-09579-2</t>
  </si>
  <si>
    <t>MAPS-AI – A Tool for AI-Assisted Model-Driven Generation of IT Project Plan and Scope</t>
  </si>
  <si>
    <t>Oksana Nikiforova; Rihards Bobkovs; Megija Krista Miļūne; Kristaps Babris; Oscar Pastor; Jānis Grabis</t>
  </si>
  <si>
    <t>https://link.springer.com/chapter/10.1007/978-3-032-12089-2_34</t>
  </si>
  <si>
    <t>From Models to Machines: How Process-Driven Digital Transformation Empowers the BPM Lifecycle</t>
  </si>
  <si>
    <t>Shahad Abdulla Alqaydi; Ahmed Awad; Khaled Shaalan</t>
  </si>
  <si>
    <t>BUiD Doctoral Research Conference 2025</t>
  </si>
  <si>
    <t>https://link.springer.com/chapter/10.1007/978-3-032-12697-9_28</t>
  </si>
  <si>
    <t>A Low-Code Approach for the Automatic Personalization of Conversational Agents</t>
  </si>
  <si>
    <t>Aaron Conrardy; Alfredo Capozucca; Jordi Cabot</t>
  </si>
  <si>
    <t>https://link.springer.com/chapter/10.1007/978-3-032-29372-5_4</t>
  </si>
  <si>
    <t>Model-based software sustainability analysis and improvement</t>
  </si>
  <si>
    <t>Kevin Lano; Zishan Rahman; Lyan Alwakeel</t>
  </si>
  <si>
    <t>https://link.springer.com/article/10.1007/s10270-026-01374-w</t>
  </si>
  <si>
    <t>A Structured and Reusable Function Generation Method by Encapsulating Code Generated by LLMs with Helper Object</t>
  </si>
  <si>
    <t>Chengchen Huang; Shingo Yamaguchi</t>
  </si>
  <si>
    <t>Proceedings of Fifth Emerging Trends and Technologies on Intelligent Systems</t>
  </si>
  <si>
    <t>https://link.springer.com/chapter/10.1007/978-981-95-0684-2_18</t>
  </si>
  <si>
    <t>Conceptual Modeling and AI in the Service of Legal Analysis: A Design Science Project</t>
  </si>
  <si>
    <t>Georgios Koutsopoulos; Noran Kniby; Pauline Wiman; Ingrida Karina-Berzina; Janis Stirna</t>
  </si>
  <si>
    <t>https://link.springer.com/chapter/10.1007/978-3-032-04375-7_17</t>
  </si>
  <si>
    <t>Research on Agile Construction Method of Equipment Simulation Models</t>
  </si>
  <si>
    <t>Yisheng Hao; Leiping Guo; Xun Wang; Fei Wang; Lixuan Wei; Zidong Lin; Yang Yu; Yuze Xiao; Binkai Xia; Yibo Lv; Haoyu Guo; Zonghao Yang; Haopeng Wu</t>
  </si>
  <si>
    <t>Intelligent Simulation</t>
  </si>
  <si>
    <t>https://link.springer.com/chapter/10.1007/978-981-95-2751-9_1</t>
  </si>
  <si>
    <t>On LLM–Assisted Generation of Smart Contracts from Business Processes</t>
  </si>
  <si>
    <t>Fabian Stiehle; Hans Weytjens; Ingo Weber</t>
  </si>
  <si>
    <t>https://link.springer.com/chapter/10.1007/978-3-032-13426-4_24</t>
  </si>
  <si>
    <t>Accelerating Software Development Cycle with a Multi-agent Generative AI Approach: A Case Study with OpenAI’s GPT</t>
  </si>
  <si>
    <t>Vu-Thu-Nguyet Pham; Quang-Vu Nguyen</t>
  </si>
  <si>
    <t>The 14th Conference on Information Technology and its Applications</t>
  </si>
  <si>
    <t>https://link.springer.com/chapter/10.1007/978-3-032-00972-2_15</t>
  </si>
  <si>
    <t>Aligning Clinical Needs and AI Capabilities: A Survey on LLMs for Medical Reasoning</t>
  </si>
  <si>
    <t>Qi Peng; Jiatong Li; Sirui Huang; Yiyang Jiang; Kaisong Gong; Ronger Ding; Shijie Ye; Changmeng Zheng; Yi Cai; Xiaobo Yang; Jin Huang; Xiao-Yong Wei; Qing Li</t>
  </si>
  <si>
    <t>Machine Intelligence Research</t>
  </si>
  <si>
    <t>https://link.springer.com/article/10.1007/s11633-026-1659-4</t>
  </si>
  <si>
    <t>FreeCAT—Towards a Framework for Resilience and Evolution by Code Analysis Tools</t>
  </si>
  <si>
    <t>Simon Hacks; Cyrille Artho; Roberto Guanciale; Robert Künnemann; Diana Malakhova; Emre Süren</t>
  </si>
  <si>
    <t>https://link.springer.com/chapter/10.1007/978-3-032-16234-2_12</t>
  </si>
  <si>
    <t>Machine learning-based parameter adaptation approach for modeling hysteretic axial-shear-flexure interaction in RC columns</t>
  </si>
  <si>
    <t>Zi-Nan Wu; Xiao-Lei Han; Ahmed Y. Elghazouli</t>
  </si>
  <si>
    <t>Bulletin of Earthquake Engineering</t>
  </si>
  <si>
    <t>https://link.springer.com/article/10.1007/s10518-026-02575-w</t>
  </si>
  <si>
    <t>A survey of modeling languages for automotive digital twins</t>
  </si>
  <si>
    <t>Jérôme Pfeiffer; Dominik FuchßThomas Kühn; Dirk Neumann; Christer Neimöck; Anne Koziolek; Andreas Wortmann</t>
  </si>
  <si>
    <t>https://link.springer.com/article/10.1007/s10270-026-01410-9</t>
  </si>
  <si>
    <t>Managing Model Evolution from NoSQL Data Lakes to Decision Support Systems</t>
  </si>
  <si>
    <t>Said Taktak; Zoubair Mabrouk; Slim Kallel; Ahmed Hadj Kacem</t>
  </si>
  <si>
    <t>https://link.springer.com/chapter/10.1007/978-3-032-19865-5_5</t>
  </si>
  <si>
    <t>Automated Conjecturing and Theorem Finding: A Survey</t>
  </si>
  <si>
    <t>Jian Zhang; Si-Cheng Tan</t>
  </si>
  <si>
    <t>https://link.springer.com/article/10.1007/s11390-026-6040-0</t>
  </si>
  <si>
    <t>An Ontology-Driven Domain-Specific Modeling Language for Specification and Evaluation of Resilience Scenarios in Complex Systems</t>
  </si>
  <si>
    <t>Pedro Paulo F. Barcelos; Rodrigo F. Calhau; Frederik Gailly; Geert Poels; Giancarlo Guizzardi</t>
  </si>
  <si>
    <t>Enterprise Design, Operations, and Computing</t>
  </si>
  <si>
    <t>https://link.springer.com/chapter/10.1007/978-3-032-15140-7_14</t>
  </si>
  <si>
    <t>PACO: A Petri Net-Based Tool for Designing, Simulating, and Analyzing Multi-objective Stochastic Processes</t>
  </si>
  <si>
    <t>Emanuele Chini; Daniel Amadori; Pietro Sala; Sidra Nasir Rajput; Matteo Baldi; Mattia Cappelletti</t>
  </si>
  <si>
    <t>Application and Theory of Petri Nets and Concurrency</t>
  </si>
  <si>
    <t>https://link.springer.com/chapter/10.1007/978-3-032-27879-1_16</t>
  </si>
  <si>
    <t>Integrating Circular Strategies into the Development of Complex Systems by Assisted Subcontext Modeling</t>
  </si>
  <si>
    <t>Fabian Rusch; Veith Ihlow; Valentin Schemmann; Niels Demke; Frank Mantwill</t>
  </si>
  <si>
    <t>Safe and Sustainable Value Creation by Design</t>
  </si>
  <si>
    <t>https://link.springer.com/chapter/10.1007/978-3-032-21157-6_41</t>
  </si>
  <si>
    <t>GenAI in Call Centers: Suitability of LLMs</t>
  </si>
  <si>
    <t>Martin Eigenmann; Lukas Barth; Mike Di Gregorio; Oliver Müller; Mike Krey</t>
  </si>
  <si>
    <t>The Digital Blueprint: Crafting Business Models for the Tech Future</t>
  </si>
  <si>
    <t>https://link.springer.com/chapter/10.1007/978-3-032-00549-6_9</t>
  </si>
  <si>
    <t>A unified multimodal GenAI platform integrating GraphRAG multi-agent systems and custom language models for intelligent document processing and knowledge synthesis</t>
  </si>
  <si>
    <t>Bharat Singh Parihar; Tarun Kumar Singh; Govind Gonnade; Bhupesh Kumar Dewangan; Nilesh Shelke; Amit Pimpalkar</t>
  </si>
  <si>
    <t>https://link.springer.com/article/10.1038/s41598-026-47145-x</t>
  </si>
  <si>
    <t>Model-Based Development Versus Manual Coding—A Comparative Analysis</t>
  </si>
  <si>
    <t>Ernest-Andrei Grosz; Daynier Rolando Delgado Sobrino; Marian Borzan; Cristina Stefana Miron-Borzan; Radovan Holubek; Matej Bilačič</t>
  </si>
  <si>
    <t>From Smart Cities to Smart Factories for a Sustainable Future</t>
  </si>
  <si>
    <t>https://link.springer.com/chapter/10.1007/978-3-032-07721-9_4</t>
  </si>
  <si>
    <t>An Approach for the Comparative Evaluation of Requirements Formalisation Approaches</t>
  </si>
  <si>
    <t>Shekoufeh Kolahdouz Rahimi; Kevin Lano; Sobhan Yassipour Tehrani; Chenghua Lin; Yiqi Liu; Muhammad Aminu Umar</t>
  </si>
  <si>
    <t>https://link.springer.com/chapter/10.1007/978-3-031-96841-9_7</t>
  </si>
  <si>
    <t>AI-driven design: a comprehensive review of its methodologies, applications, and challenges</t>
  </si>
  <si>
    <t>Jiquan Yan; Weifei Hu; Yifeng Zhao; Tongzhou Zhang; Feng Zhao; Jianhao Fang; Wei Shi; Jianrong Tan</t>
  </si>
  <si>
    <t>https://link.springer.com/article/10.1007/s00158-026-04331-9</t>
  </si>
  <si>
    <t>Data curation in cheminformatics: importance and implementation</t>
  </si>
  <si>
    <t>Tsuyoshi Esaki; Kazuyoshi Ikeda</t>
  </si>
  <si>
    <t>Journal of Cheminformatics</t>
  </si>
  <si>
    <t>https://link.springer.com/article/10.1186/s13321-026-01174-w</t>
  </si>
  <si>
    <t>From PDF Assessments to LMS Deployment: A Model-Driven QTI-Based Framework</t>
  </si>
  <si>
    <t>Atefeh Nirumand; Renzo Degiovanni; Jordi Cabot</t>
  </si>
  <si>
    <t>https://link.springer.com/chapter/10.1007/978-3-032-26836-5_22</t>
  </si>
  <si>
    <t>GraphRAG-KM: An Automated Framework for Transforming Industrial Documents into Ontology and Conceptual Models</t>
  </si>
  <si>
    <t>Duyun Wang; Peilin Han; Shmuel Tyszberowicz; Mingyue Zhang; Bo Liu</t>
  </si>
  <si>
    <t>Knowledge Science, Engineering and Management</t>
  </si>
  <si>
    <t>https://link.springer.com/chapter/10.1007/978-981-95-3052-6_9</t>
  </si>
  <si>
    <t>AI for quality management: A review</t>
  </si>
  <si>
    <t>Yangyang Huang; Yu Tan; Yuanyuan Li; Yongxiang Li; Kwok-Leung Tsui</t>
  </si>
  <si>
    <t>ENGINEERING Management</t>
  </si>
  <si>
    <t>https://link.springer.com/article/10.1007/s42524-026-5394-x</t>
  </si>
  <si>
    <t>Large Language Models for Service-Oriented Computing (LLM4SOC): Review and Research Directions</t>
  </si>
  <si>
    <t>Indika Kumara; Hasan Kaplan; Joshua Owotogbe; Damian Andrew Tamburri; Willem-Jan van den Heuvel</t>
  </si>
  <si>
    <t>https://link.springer.com/chapter/10.1007/978-3-032-07313-6_6</t>
  </si>
  <si>
    <t>The new compiler stack: a survey on the synergy of LLMs and compilers</t>
  </si>
  <si>
    <t>Shuoming Zhang; Jiacheng Zhao; Qiuchu Yu; Chunwei Xia; Zheng Wang; Xiaobing Feng; Huimin Cui</t>
  </si>
  <si>
    <t>https://link.springer.com/article/10.1007/s42514-025-00270-x</t>
  </si>
  <si>
    <t>Feasibility of AI-Assisted Programming for End-User Development</t>
  </si>
  <si>
    <t>Irene Weber</t>
  </si>
  <si>
    <t>Advances in Natural Language Processing and Information Retrieval</t>
  </si>
  <si>
    <t>https://link.springer.com/chapter/10.1007/978-3-032-20897-2_73</t>
  </si>
  <si>
    <t>Shortcut or Understanding? Diagnosing LLM Type Prediction in Conceptual Models</t>
  </si>
  <si>
    <t>Syed Juned Ali; Zhuoxun Zheng; Dominik Bork</t>
  </si>
  <si>
    <t>https://link.springer.com/chapter/10.1007/978-3-032-28117-3_3</t>
  </si>
  <si>
    <t>Model-based block diagram recognition for model visualization verification - extended version</t>
  </si>
  <si>
    <t>Andreas Waldvogel; Franz Koehler; Bjoern Annighoefer</t>
  </si>
  <si>
    <t>https://link.springer.com/article/10.1007/s11334-026-00633-9</t>
  </si>
  <si>
    <t>Empowering liver cancer diagnosis and treatment with foundation models: technological innovation and clinical practice</t>
  </si>
  <si>
    <t>Jitao Wang; Siyan Xue; Haoming Xia; Peng Cui; Shizhong Yang; Xiaojuan Wang; Jiaqi Liu; Dong Li; Jiahong Dong</t>
  </si>
  <si>
    <t>Clinical and Experimental Medicine</t>
  </si>
  <si>
    <t>https://link.springer.com/article/10.1007/s10238-025-01980-w</t>
  </si>
  <si>
    <t>Automating Policy-as-Code Generation Pipeline for Data Products: An OpenAPI-Driven Rego Generator</t>
  </si>
  <si>
    <t>Matteo Brambilla; Matteo Falconi; Valeria Maria Fortina; Pierluigi Plebani; Monica Vitali</t>
  </si>
  <si>
    <t>https://link.springer.com/chapter/10.1007/978-981-95-5012-8_6</t>
  </si>
  <si>
    <t>Architecting for Quality: The Strategic Role of Architecture Design from Monoliths to Agentic Software Systems</t>
  </si>
  <si>
    <t>Henry Muccini</t>
  </si>
  <si>
    <t>Software Architecture as the Backbone of Software Quality</t>
  </si>
  <si>
    <t>https://link.springer.com/chapter/10.1007/978-3-032-24216-7_1</t>
  </si>
  <si>
    <t>Req2Road: A GenAI Pipeline for SDV Test Artifact Generation and On-Vehicle Execution</t>
  </si>
  <si>
    <t>Denesa Zyberaj; Lukasz Mazur; Pascal Hirmer; Nenad Petrovic; Marco Aiello; Alois Knoll</t>
  </si>
  <si>
    <t>https://link.springer.com/chapter/10.1007/978-3-032-28110-4_20</t>
  </si>
  <si>
    <t>Talk to Open Data: Enabling User Interaction with Open Government Data Using LLMs, RAG and Smart Agent Technologies</t>
  </si>
  <si>
    <t>Mohsan Ali; Maria Ioanna Maratsi; Zoi Lachana; Yannis Charalabidis; Charalampos Alexopoulos; Euripidis Loukis</t>
  </si>
  <si>
    <t>Information Systems</t>
  </si>
  <si>
    <t>https://link.springer.com/chapter/10.1007/978-3-032-18487-0_2</t>
  </si>
  <si>
    <t>A Step Towards Cognitive Automation: Integrating LLM Agents with Process Rules</t>
  </si>
  <si>
    <t>Sascha Kaltenpoth; Alexander Skolik; Oliver Müller; Daniel Beverungen</t>
  </si>
  <si>
    <t>https://link.springer.com/chapter/10.1007/978-3-032-02867-9_19</t>
  </si>
  <si>
    <t>LC/NC Pipeline for Training and Operationalising Segmentation Models in a Data Scarce Domain: De-arraying Tissue MicroArrays</t>
  </si>
  <si>
    <t>Colm BrandonÉanna Fennell; Amandeep Singh; Tiziana Margaria</t>
  </si>
  <si>
    <t>https://link.springer.com/chapter/10.1007/978-3-032-01377-4_5</t>
  </si>
  <si>
    <t>An MDD Approach to Support the Identification and Composition of Microservices from Business Goals</t>
  </si>
  <si>
    <t>https://link.springer.com/chapter/10.1007/978-3-032-19050-5_1</t>
  </si>
  <si>
    <t>Enabling Small Language Models for Text-to-Process Extraction: Balancing Accuracy and Efficiency Through Distant Supervision</t>
  </si>
  <si>
    <t>Julian Neuberger; Han van der Aa; Ivan Khrop; Hugo A. López</t>
  </si>
  <si>
    <t>https://link.springer.com/chapter/10.1007/978-3-032-28117-3_9</t>
  </si>
  <si>
    <t>High Generalization Design and Low Redundancy Verification of Aircraft Driven by Model Clusters</t>
  </si>
  <si>
    <t>Lei Huang; Pengfei Li; Wenwu Wang; Zuqian Zhao; Fang Xu; Tianmu Wang; Liping Chen</t>
  </si>
  <si>
    <t>Proceedings of 5th 2025 International Conference on Autonomous Unmanned Systems (ICAUS)</t>
  </si>
  <si>
    <t>https://link.springer.com/chapter/10.1007/978-981-95-7668-5_39</t>
  </si>
  <si>
    <t>An AI Enterprise Modeling Project Assistant – Needs and Possibilities</t>
  </si>
  <si>
    <t>Jelena Zdravkovic; Janis Stirna; Chen Hsi Tsai; Kurt Sandkuhl</t>
  </si>
  <si>
    <t>https://link.springer.com/chapter/10.1007/978-3-032-28117-3_2</t>
  </si>
  <si>
    <t>Revisiting data analysis with Pre-trained foundation models</t>
  </si>
  <si>
    <t>Chen Liang; Donghua Yang; Zheng Liang; Zhiyu Liang; Tianle Zhang; Boyu Xiao; Yuqing Yang; Wenqi Wang; Hongzhi Wang</t>
  </si>
  <si>
    <t>The VLDB Journal</t>
  </si>
  <si>
    <t>https://link.springer.com/article/10.1007/s00778-025-00953-5</t>
  </si>
  <si>
    <t>NLP and GenAI in Agile Project Management: A Systematic Mapping Study</t>
  </si>
  <si>
    <t>Daniel Planötscher</t>
  </si>
  <si>
    <t>Agile Processes in Software Engineering and Extreme Programming – Workshops</t>
  </si>
  <si>
    <t>https://link.springer.com/chapter/10.1007/978-3-032-05799-0_5</t>
  </si>
  <si>
    <t>An exploratory study on effectiveness of GPT-4o in conducting sub-tasks of systematic literature reviews</t>
  </si>
  <si>
    <t>Mohammad Shameem; Mohammad Alshayeb; Mahmood Niazi; Sajjad Mahmood; Aakash Ahmad; Jehad Al Dallal</t>
  </si>
  <si>
    <t>https://link.springer.com/article/10.1007/s10515-026-00629-6</t>
  </si>
  <si>
    <t>Impact of ChatGPT on learning outcomes and performance of students in computer programming courses: a mixed-method approach</t>
  </si>
  <si>
    <t>Omobola Gambo; Olabamiji John Onifade; Wasiu Olanrewaju-Smart; Odianose John Abuya; Rukayat Enitan Salawu; Rhodes Massenon; Ishaya Gambo</t>
  </si>
  <si>
    <t>Discover Education</t>
  </si>
  <si>
    <t>https://link.springer.com/article/10.1007/s44217-026-01142-4</t>
  </si>
  <si>
    <t>FMM-Agent: Evolving feature meta-models for industrial imbalanced scenarios via LLMs</t>
  </si>
  <si>
    <t>Yu Zhou; Guanghua Lyu; Hainan Guo; Sam Kwong; Qingfu Zhang</t>
  </si>
  <si>
    <t>https://link.springer.com/article/10.1007/s42524-026-6014-5</t>
  </si>
  <si>
    <t>Methodological Proposal for the Deployment of PLM Software Supported by a Digital Adoption Platform and AI Models</t>
  </si>
  <si>
    <t>Valentin Jousseaume; François Fraysse; Emmanuel Esquieu; Romain PinquiéFrédéric Segonds</t>
  </si>
  <si>
    <t>https://link.springer.com/chapter/10.1007/978-3-032-09700-2_14</t>
  </si>
  <si>
    <t>Dependency Tree-Based Multi-task Learning for Extracting Process Models in Safety Management</t>
  </si>
  <si>
    <t>Xiaoyang Su; Yiping Wen</t>
  </si>
  <si>
    <t>Security and Privacy in Communication Networks</t>
  </si>
  <si>
    <t>https://link.springer.com/chapter/10.1007/978-3-032-23456-8_24</t>
  </si>
  <si>
    <t>Automatic Attack Script Generation: A MDA Approach</t>
  </si>
  <si>
    <t>Quentin Goux; Nadira Lammari</t>
  </si>
  <si>
    <t>Foundations and Practice of Security</t>
  </si>
  <si>
    <t>https://link.springer.com/chapter/10.1007/978-3-032-20018-1_12</t>
  </si>
  <si>
    <t>Comparing the Comprehensibility of LLM-Generated and Human-Created Process Models: An Eye-Tracking Study</t>
  </si>
  <si>
    <t>https://link.springer.com/chapter/10.1007/978-3-032-28274-3_6</t>
  </si>
  <si>
    <t>Engineering Systems for Data Analysis Using Interactive Structured Inductive Programming</t>
  </si>
  <si>
    <t>Shraddha Surana; Ashwin Srinivasan; Michael Bain</t>
  </si>
  <si>
    <t>https://link.springer.com/chapter/10.1007/978-3-032-28110-4_14</t>
  </si>
  <si>
    <t>Establishment of Test Automation Process for Integrated Test of Model-Based Design Logic in the HIL Environment</t>
  </si>
  <si>
    <t>Jae; Hoon Lim; Sung; Kwan Koo; Hyo; Sang Cho; Gyu; Hyeon Jo; Jun; Hyuk Park</t>
  </si>
  <si>
    <t>https://link.springer.com/chapter/10.1007/978-3-032-13865-1_3</t>
  </si>
  <si>
    <t>A research agenda for active automata learning</t>
  </si>
  <si>
    <t>Sophie Fortz; Fatemeh Ghassemi; Léo Henry; Falk Howar; Thomas Neele; Jurriaan Rot; Marnix Suilen</t>
  </si>
  <si>
    <t>https://link.springer.com/article/10.1007/s10009-026-00839-z</t>
  </si>
  <si>
    <t>Understanding GenAI Teammates in the Workplace: A Sensemaking and Sensegiving Analysis of User Reviews</t>
  </si>
  <si>
    <t>Ayushi Agarwal; M. P. Sebastian; Satish Krishnan</t>
  </si>
  <si>
    <t>https://link.springer.com/article/10.1007/s10796-025-10672-5</t>
  </si>
  <si>
    <t>Towards Process-Driven Industry 4.0 Components: A Concept for Process Modeling, Control and Simulation of Industry 4.0 Components</t>
  </si>
  <si>
    <t>Anil Riza Bektas; Jürgen Roßmann</t>
  </si>
  <si>
    <t>Annals of Scientific Society for Assembly, Handling and Industrial Robotics 2024</t>
  </si>
  <si>
    <t>https://link.springer.com/chapter/10.1007/978-3-031-91463-8_13</t>
  </si>
  <si>
    <t>What is the Best Process Model Representation? A Comparative Analysis for Process Modeling with Large Language Models</t>
  </si>
  <si>
    <t>Alexis Brissard; Frédéric Cuppens; Amal Zouaq</t>
  </si>
  <si>
    <t>https://link.springer.com/chapter/10.1007/978-3-032-13426-4_5</t>
  </si>
  <si>
    <t>Alternate groundwater modelling strategies: a multi-faceted data-driven approach</t>
  </si>
  <si>
    <t>Muralidharan Kunnummal; Agniva Das; Shrey Pandya; Jong-Min Kim</t>
  </si>
  <si>
    <t>https://link.springer.com/article/10.1007/s13198-025-03116-5</t>
  </si>
  <si>
    <t>Low-Code and No-Code with BESSER to Create and Deploy Smart Web Applications</t>
  </si>
  <si>
    <t>Iván Alfonso; Armen Sulejmani; Aaron Conrardy; Jordi Cabot</t>
  </si>
  <si>
    <t>https://link.springer.com/chapter/10.1007/978-3-032-29372-5_32</t>
  </si>
  <si>
    <t>ALiBERT: Transformer-Based NLP and Hybrid Ensemble Learning Framework for Predicting Material Properties</t>
  </si>
  <si>
    <t>M. Subramanian; N. Arunkumar; M. Diviya; T. Balasubramanian</t>
  </si>
  <si>
    <t>Arabian Journal for Science and Engineering</t>
  </si>
  <si>
    <t>https://link.springer.com/article/10.1007/s13369-026-11550-1</t>
  </si>
  <si>
    <t>CAMS: A Model-Based Framework for Context-Aware Mobile Applications with IoT and Azure Maps Integration</t>
  </si>
  <si>
    <t>Nelson Herrera Herrera; Estevan Gómez-Torres; Paul Baldeón-Egas; Renato Toasa</t>
  </si>
  <si>
    <t>ICT for Intelligent Systems</t>
  </si>
  <si>
    <t>https://link.springer.com/chapter/10.1007/978-981-95-1365-9_11</t>
  </si>
  <si>
    <t>Wildfire Management: A Systematic Review of Optimization Under Uncertainty and Complexity</t>
  </si>
  <si>
    <t>Paria Rostamian; Amin Ahmadi Digehsara; Kibele Sebnem Yildirim; Amir Ardestani-Jaafari</t>
  </si>
  <si>
    <t>Operations Research Forum</t>
  </si>
  <si>
    <t>https://link.springer.com/article/10.1007/s43069-026-00604-7</t>
  </si>
  <si>
    <t>The Role of AI in Modern Data Engineering: Automating ETL and Beyond</t>
  </si>
  <si>
    <t>Janardhan Reddy Kasireddy</t>
  </si>
  <si>
    <t>ICT for Global Innovations and Solutions</t>
  </si>
  <si>
    <t>https://link.springer.com/chapter/10.1007/978-3-032-02853-2_47</t>
  </si>
  <si>
    <t>Integration of digital technologies in manufacturing: a survey of industry 4.0 applications and challenges</t>
  </si>
  <si>
    <t>Mayank Choubey; Shweta Mishra; Sandeep Bansal</t>
  </si>
  <si>
    <t>Journal of Ambient Intelligence and Humanized Computing</t>
  </si>
  <si>
    <t>https://link.springer.com/article/10.1007/s12652-026-05046-x</t>
  </si>
  <si>
    <t>The Information Meta Model for Machine Learning $$ IM^3L $$ : A Structured Approach to ML Integration in Engineering Systems</t>
  </si>
  <si>
    <t>Zhibao Mian; Ramin Tavakoli Kolagari; Alexander Fischer</t>
  </si>
  <si>
    <t>Model-Based Safety and Assessment</t>
  </si>
  <si>
    <t>https://link.springer.com/chapter/10.1007/978-3-032-05073-1_12</t>
  </si>
  <si>
    <t>On the Use of LLMs to Explain Model Checking Counterexamples</t>
  </si>
  <si>
    <t>Ezequiel José Veloso Ferreira Moreira; José Creissac Campos</t>
  </si>
  <si>
    <t>Engineering Interactive Computer Systems. EICS 2025 International Workshops</t>
  </si>
  <si>
    <t>https://link.springer.com/chapter/10.1007/978-3-032-26051-2_8</t>
  </si>
  <si>
    <t>Hybrid intelligence effort for software effort estimation in LLM assisted development</t>
  </si>
  <si>
    <t>Feisal Alaswad; E. Poovammal; Kadiyala Ramana; G. Surya Narayana; Arfat Ahmad Khan; Muhammad Faheem</t>
  </si>
  <si>
    <t>Discover Computing</t>
  </si>
  <si>
    <t>https://link.springer.com/article/10.1007/s10791-026-10331-6</t>
  </si>
  <si>
    <t>Machine Learning-Based Flood Vulnerability Assessment of Riverine Bridges Incorporating Scouring Effects</t>
  </si>
  <si>
    <t>Divesh Sharma; Mayank Gangwar; Shivang Shekhar</t>
  </si>
  <si>
    <t>Futuristic Trends in Structural Engineering</t>
  </si>
  <si>
    <t>https://link.springer.com/chapter/10.1007/978-981-96-9712-0_10</t>
  </si>
  <si>
    <t>AI-Driven Generative Automatic Matching for Heterogeneous Systems: A Multi-agent System Implementation on the .NET Platform</t>
  </si>
  <si>
    <t>Zouhair Ibn Batouta; Karima Moumane; Oussama Hamal; Mohamed Talea</t>
  </si>
  <si>
    <t>Technologies of Information and Modeling</t>
  </si>
  <si>
    <t>https://link.springer.com/chapter/10.1007/978-3-032-15147-6_13</t>
  </si>
  <si>
    <t>Systematic review: a literature review of process mining in healthcare</t>
  </si>
  <si>
    <t>Aydin Fakhri Kaleybar; Mohammadbagher Karimi; Niloofar Naghshi; Bahman Arasteh Abbasabad</t>
  </si>
  <si>
    <t>International Journal of Data Science and Analytics</t>
  </si>
  <si>
    <t>https://link.springer.com/article/10.1007/s41060-026-01142-5</t>
  </si>
  <si>
    <t>A Service-Oriented Framework for Resource-Aware System-of-Systems Modeling in IoT Environments</t>
  </si>
  <si>
    <t>Aymen Abdelmoumen; Zakaria Benzadri; Ismael Bouassida Rodriguez</t>
  </si>
  <si>
    <t>https://link.springer.com/chapter/10.1007/978-981-96-7423-7_14</t>
  </si>
  <si>
    <t>Prompting Strategies for LLM-Based Cooperative Data Service Discovery</t>
  </si>
  <si>
    <t>Devis Bianchini; Massimiliano Garda; Michele Melchiori; Anisa Rula</t>
  </si>
  <si>
    <t>https://link.springer.com/chapter/10.1007/978-3-032-15538-2_10</t>
  </si>
  <si>
    <t>Electro-mechanical trade-offs in solid oxide fuel cell flow channels: multi-objective optimization with machine learning-assisted grey wolf optimizer</t>
  </si>
  <si>
    <t>Aimen A. Bouaiss; Mohamed Souri Mimoune; Djafar Chabane; Achraf Senoussi; Oussama Bouaiss; Ali Mohammadi; Nadhir Lebaal</t>
  </si>
  <si>
    <t>Ionics</t>
  </si>
  <si>
    <t>https://link.springer.com/article/10.1007/s11581-026-07324-2</t>
  </si>
  <si>
    <t>Continuous software monitoring backed by process mining: a systematic literature review</t>
  </si>
  <si>
    <t>Evgenii Stepanov; Alexey Mitsyuk</t>
  </si>
  <si>
    <t>https://link.springer.com/article/10.1007/s41060-025-01000-w</t>
  </si>
  <si>
    <t>Recommender Systems Development: A Comprehensive Overview of Architecture, DSLs, and Tools</t>
  </si>
  <si>
    <t>Adnane Souha; Lamya Benaddi; Charaf Ouaddi; Abdeslam Jakimi; Abdellah Chehri; Rachid Saadane</t>
  </si>
  <si>
    <t>https://link.springer.com/chapter/10.1007/978-3-032-04878-3_6</t>
  </si>
  <si>
    <t>A review on integration of digital twins within industry 4.0</t>
  </si>
  <si>
    <t>Wail Tabet; Khaled Benfriha; Belkacem Bounab</t>
  </si>
  <si>
    <t>https://link.springer.com/article/10.1007/s10845-026-02851-1</t>
  </si>
  <si>
    <t>Automation and Robotics in the Food Industry: Cyber-Physical Systems, Digital Twins, and AI-Driven Quality Control in the Era of Industry 5.0</t>
  </si>
  <si>
    <t>Ajith P. Arun; Niranjana Sreenivasan; Manjula Sarode</t>
  </si>
  <si>
    <t>Food Engineering Reviews</t>
  </si>
  <si>
    <t>https://link.springer.com/article/10.1007/s12393-026-09453-w</t>
  </si>
  <si>
    <t>A systematic review and comparative assessment of optimization algorithms in geotechnical engineering with a benchmark foundation design case study</t>
  </si>
  <si>
    <t>Kaveh Dehghanian</t>
  </si>
  <si>
    <t>Discover Geoscience</t>
  </si>
  <si>
    <t>https://link.springer.com/article/10.1007/s44288-026-00642-y</t>
  </si>
  <si>
    <t>A Research and Collaboration Agenda for Advancing Descriptive Model Interoperability for Model-Based Systems Engineering in the Digital Engineering Context</t>
  </si>
  <si>
    <t>Ryan A. Noguchi</t>
  </si>
  <si>
    <t>https://link.springer.com/chapter/10.1007/978-3-032-12309-1_48</t>
  </si>
  <si>
    <t>Automatic Support in Process Redesign: Structural Impact Analysis of Change Operations</t>
  </si>
  <si>
    <t>Kerstin Andree; Fabian Deigner; Florian Stupp; Ivan Kuzmin; Luise Pufahl</t>
  </si>
  <si>
    <t>https://link.springer.com/chapter/10.1007/978-3-032-26836-5_5</t>
  </si>
  <si>
    <t>Investigating effective LLM-based in-context tool use: what matters and how to improve</t>
  </si>
  <si>
    <t>Yining Zheng; Haiyang Wei; Jiahao Lu; Linqi Yin; Yunke Zhang; Chengguo Xu; Hetao Cui; Tianxiang Sun; Shuang Chen; Xipeng Qiu</t>
  </si>
  <si>
    <t>https://link.springer.com/article/10.1007/s11704-025-41365-6</t>
  </si>
  <si>
    <t>ECR 2026 Book of Abstracts</t>
  </si>
  <si>
    <t>Insights into Imaging</t>
  </si>
  <si>
    <t>https://link.springer.com/article/10.1186/s13244-026-02345-x</t>
  </si>
  <si>
    <t>Explainable Multi-Target XGBoost Models for Seismic Demand Prediction of NPP Reactor Containment Building</t>
  </si>
  <si>
    <t>Md Samdani Azad; Minji Choi; Tae-Hyung Lee</t>
  </si>
  <si>
    <t>Architectural Research</t>
  </si>
  <si>
    <t>https://link.springer.com/article/10.1007/s44515-026-00004-2</t>
  </si>
  <si>
    <t>From noisy feedback to evidence-aware issue specifications: an agent-governed retrieval-augmented generation approach</t>
  </si>
  <si>
    <t>Zhiyao Wang; Jialong Li; Xiujing Guo; Tatsuhiro Tsuchiya</t>
  </si>
  <si>
    <t>https://link.springer.com/article/10.1007/s10515-026-00640-x</t>
  </si>
  <si>
    <t>Stock Price Prediction with LSTM-Based Framework in Account of Multiple Technical Indicators</t>
  </si>
  <si>
    <t>Subrata Datta; Asit Kumar Nayek; Aryan Kumar; Anjali Rai</t>
  </si>
  <si>
    <t>Sustainable Communication, Machine Intelligence and Metaverse</t>
  </si>
  <si>
    <t>https://link.springer.com/chapter/10.1007/978-981-96-9650-5_55</t>
  </si>
  <si>
    <t>Integrating Conversational Assistants Within Software Development Environments: An Extensible Approach</t>
  </si>
  <si>
    <t>Albert Contreras; Esther Guerra; Juan de Lara</t>
  </si>
  <si>
    <t>https://link.springer.com/chapter/10.1007/978-3-032-19050-5_7</t>
  </si>
  <si>
    <t>A systematic literature review on IoT application layer protocol testing and future research directions</t>
  </si>
  <si>
    <t>Maryam Asgari Araghi; Ferhat Khendek</t>
  </si>
  <si>
    <t>Discover Internet of Things</t>
  </si>
  <si>
    <t>https://link.springer.com/article/10.1007/s43926-026-00322-w</t>
  </si>
  <si>
    <t>Test case generation using large language models: a systematic literature review</t>
  </si>
  <si>
    <t>Murat Tasarsu; Ahmet Vedat Tokmak; Cagatay Catal</t>
  </si>
  <si>
    <t>https://link.springer.com/article/10.1007/s10586-026-06021-z</t>
  </si>
  <si>
    <t>Analyzing consumer IoT traffic from security and privacy perspectives: a comprehensive survey</t>
  </si>
  <si>
    <t>Yan Jia; Yuxin Song; Zihou Liu; Qingyin Tan; Yang Song; Yu Zhang; Zheli Liu</t>
  </si>
  <si>
    <t>https://link.springer.com/article/10.1007/s11704-025-41155-0</t>
  </si>
  <si>
    <t>Don’t Forget Imagination!</t>
  </si>
  <si>
    <t>Evgenii E. Vityaev; Andrei Mantsivoda</t>
  </si>
  <si>
    <t>Biologically Inspired Cognitive Architectures 2025</t>
  </si>
  <si>
    <t>https://link.springer.com/chapter/10.1007/978-3-032-13592-6_33</t>
  </si>
  <si>
    <t>An interactive and AI-enhanced framework for semi-automatically generating iStar goal models</t>
  </si>
  <si>
    <t>Tong Li; Qixiang Zhou; Fangqi Dong; Tianai Zhang; Yunduo Wang</t>
  </si>
  <si>
    <t>https://link.springer.com/article/10.1007/s10515-025-00586-6</t>
  </si>
  <si>
    <t>Cloud-edge collaborative interpretable fault classification for helical tomotherapy systems via LLM–VLM reasoning</t>
  </si>
  <si>
    <t>Haonan Yang; Jie Guo; Yan Wang; Xingkun Zhang</t>
  </si>
  <si>
    <t>https://link.springer.com/article/10.1186/s13677-026-00921-6</t>
  </si>
  <si>
    <t>An approach for identification of driver drowsiness, emotion state, and behavior patterns based on vision transformers, CNN and multi-modal sensor fusion using RAG-based interpretability</t>
  </si>
  <si>
    <t>Ashwani Sah; Moitreyee Das; Aasutosh Kumar Sony; Biswaranjan Acharya; Aliazar Deneke Deferisha; Aleena Swetapadma</t>
  </si>
  <si>
    <t>https://link.springer.com/article/10.1007/s10791-026-10217-7</t>
  </si>
  <si>
    <t>Improving the Design and Implementation of Digital Twins with Model-Driven Software Development</t>
  </si>
  <si>
    <t>Arturo Barriga; José A. Barriga; Miguel A. Pérez-Toledano; Pedro J. Clemente</t>
  </si>
  <si>
    <t>Proceedings of 20th Iberian Conference on Information Systems and Technologies (CISTI 2025)</t>
  </si>
  <si>
    <t>https://link.springer.com/chapter/10.1007/978-3-032-10929-3_30</t>
  </si>
  <si>
    <t>LLM agents security duality: a comprehensive survey of self-security and empowered cybersecurity</t>
  </si>
  <si>
    <t>Yiwei Xu; Yong Zhuang; Xuanming Liu; Tian Zhang; Bowen Xiao; Xiaoyang Xu; Delong Jiang; Juan Wang; Hongxin Hu</t>
  </si>
  <si>
    <t>https://link.springer.com/article/10.1007/s10462-026-11563-0</t>
  </si>
  <si>
    <t>Prompt-Driven Pipeline Synthesis Using LLMs with Context-Aware Auto-Configuration</t>
  </si>
  <si>
    <t>Dinesh Boinpally</t>
  </si>
  <si>
    <t>Intelligent Computing and Communication</t>
  </si>
  <si>
    <t>https://link.springer.com/chapter/10.1007/978-3-032-18349-1_42</t>
  </si>
  <si>
    <t>Effective Fine-tuning for Low-resource Languages: A Case Study of Cangjie</t>
  </si>
  <si>
    <t>Zhihao Lin; Zhaofeng Liu; Mingyi Zhou; Zihan Huang; Chi Chen; Wei Ma; Li Li</t>
  </si>
  <si>
    <t>https://link.springer.com/article/10.1007/s10664-026-10878-4</t>
  </si>
  <si>
    <t>Context-aware change impact analysis for integrated process–decision models in ubiquitous environments</t>
  </si>
  <si>
    <t>Huijing Hao; Xianwen Fang; Daoyu Kan; Chenliang Hao</t>
  </si>
  <si>
    <t>https://link.springer.com/article/10.1007/s11227-026-08531-4</t>
  </si>
  <si>
    <t>Diagnostic performance of radiomics for detecting and characterising upper tract urothelial carcinoma (UTUC): a systematic review</t>
  </si>
  <si>
    <t>Joshua Bruinsma; Ninan Tharakan; Hugo C. Temperley; Benjamin M. Mac Curtain; Matthew Chau; Haider Bangash</t>
  </si>
  <si>
    <t>World Journal of Urology</t>
  </si>
  <si>
    <t>https://link.springer.com/article/10.1007/s00345-026-06191-w</t>
  </si>
  <si>
    <t>Efficient training of neuromorphic electronics</t>
  </si>
  <si>
    <t>Shuangming Yang; Jianshi Tang; Tianhang Zhou; Bernabe Linares-Barranco; Giacomo Indiveri; Xinhu Zheng; Mostafa Rahimi Azghadi; Badong Chen</t>
  </si>
  <si>
    <t>https://link.springer.com/article/10.1038/s41928-026-01631-2</t>
  </si>
  <si>
    <t>MDE for crop representations in smart farming digital twins: a reinforcement learning perspective</t>
  </si>
  <si>
    <t>Pascal Archambault; Houari Sahraoui; Eugene Syriani</t>
  </si>
  <si>
    <t>https://link.springer.com/article/10.1007/s10270-025-01349-3</t>
  </si>
  <si>
    <t>Navigating Privacy in Digital Twin: A Framework for Regulatory Compliance (DTFRC)</t>
  </si>
  <si>
    <t>Alaa Tolah; Omar Alghamdi; Noura M. Aleisa; Niddal H. Imam; Soha Alhelaly</t>
  </si>
  <si>
    <t>https://link.springer.com/article/10.1007/s13369-026-11430-8</t>
  </si>
  <si>
    <t>Visualizing the landscape of virtual assembly bibliometric studies via CiteSpace</t>
  </si>
  <si>
    <t>Xuan Wang; Liguo Yao; Taihua Zhang; Yao Lu; Qipeng Chen</t>
  </si>
  <si>
    <t>https://link.springer.com/article/10.1007/s10845-026-02923-2</t>
  </si>
  <si>
    <t>SMOKE2.0 whitebox anonymization of sensitive information in Simulink with structure preservation</t>
  </si>
  <si>
    <t>Alexander Boll; Manuel Ohrndorf; Timo Kehrer</t>
  </si>
  <si>
    <t>https://link.springer.com/article/10.1007/s10270-026-01381-x</t>
  </si>
  <si>
    <t>Dynamic time history response prediction of a nonlinear soil-structure interaction system using long short-term memory networks</t>
  </si>
  <si>
    <t>Fangbo Wang; Muhammad Zubair Gulzar; Qian Xu; Haitao Zhu</t>
  </si>
  <si>
    <t>International Journal of Dynamics and Control</t>
  </si>
  <si>
    <t>https://link.springer.com/article/10.1007/s40435-026-02255-2</t>
  </si>
  <si>
    <t>A Hybrid Query Language for Digital Twins</t>
  </si>
  <si>
    <t>Philipp Zech; Manuel Burger; Linus Wald; Philipp Pobitzer; Sascha Hammes; Judith Michael</t>
  </si>
  <si>
    <t>https://link.springer.com/chapter/10.1007/978-3-032-15538-2_43</t>
  </si>
  <si>
    <t>Taxonomy of Tools and Techniques for Cyber Forensic Investigations</t>
  </si>
  <si>
    <t>Baysah Guwor; Sridaran Rajagopal; S. Silvia Priscila</t>
  </si>
  <si>
    <t>Artificial Intelligence Based Smart and Secured Applications</t>
  </si>
  <si>
    <t>https://link.springer.com/chapter/10.1007/978-3-032-17843-5_1</t>
  </si>
  <si>
    <t>Enhancing Financial Reasoning via Program-of-Thought Learning</t>
  </si>
  <si>
    <t>Kelvin Du; Hong Xiang Liong; Basil Yap; Shikhar Saxena; Durga Naga Venkata Ramarao Alamuri; Rajanikanth Annam</t>
  </si>
  <si>
    <t>Advances in Knowledge Discovery and Data Mining</t>
  </si>
  <si>
    <t>https://link.springer.com/chapter/10.1007/978-981-92-1468-6_25</t>
  </si>
  <si>
    <t>Integration of Data Science Projects in Enterprise Architecture Modeling</t>
  </si>
  <si>
    <t>Matthias Pohl; Christian Haertel; Daniel Staegemann; Klaus Turowski</t>
  </si>
  <si>
    <t>https://link.springer.com/chapter/10.1007/978-3-032-15140-7_3</t>
  </si>
  <si>
    <t>Interpretable and Explainable Surrogate Modeling for Simulations: A State-of-the-Art Survey and Perspectives on Explainable AI for Decision-Making</t>
  </si>
  <si>
    <t>Pramudita Satria Palar; Paul Saves; Muhammad Daffa Robani; Nicolas Verstaevel; Moncef Garouani; Julien Aligon; Koji Shimoyama; Joseph Morlier; Benoit Gaudou</t>
  </si>
  <si>
    <t>https://link.springer.com/article/10.1007/s11831-026-10600-z</t>
  </si>
  <si>
    <t>Interpretable adversarial strategy synthesis with neural-guided program search</t>
  </si>
  <si>
    <t>Qian Che; Yanping Xu; Yijing Wang; Qun Wang; Wanyuan Wang; Weiwei Wu</t>
  </si>
  <si>
    <t>https://link.springer.com/article/10.1007/s00521-026-12046-7</t>
  </si>
  <si>
    <t>From ConOps to an Operational Domain Model: Harnessing LLMs for Conceptual Model Design</t>
  </si>
  <si>
    <t>Siddhartha Gupta; Sarmad Rezayat; Gerrit Burmester; Umut Durak; Hui Ma; Sven Hartmann</t>
  </si>
  <si>
    <t>https://link.springer.com/chapter/10.1007/978-3-032-08620-4_9</t>
  </si>
  <si>
    <t>Modeling patient vital signs using Semantic Web of Things</t>
  </si>
  <si>
    <t>Beza Mamo Rabdo; Asrat Mulatu Beyene; Shegaw Anagaw Mengiste</t>
  </si>
  <si>
    <t>https://link.springer.com/article/10.1007/s10791-026-10126-9</t>
  </si>
  <si>
    <t>The impact of LLM-generated models on novice domain modelers: a comparative experiment</t>
  </si>
  <si>
    <t>Maxim Bragilovski; Ashley T. van Can; Fabiano Dalpiaz; Arnon Sturm</t>
  </si>
  <si>
    <t>https://link.springer.com/article/10.1007/s10664-026-10831-5</t>
  </si>
  <si>
    <t>LusGen: Leveraging LLMs for Safety-Critical Lustre Design and Requirements Traceability</t>
  </si>
  <si>
    <t>Yili Jiang; Zhuoran Yan; Ning Ge; Yuan Wang; Jiahao Weng; Chunming Hu</t>
  </si>
  <si>
    <t>https://link.springer.com/chapter/10.1007/978-3-032-22774-4_4</t>
  </si>
  <si>
    <t>Utilizing ER Model Extraction for an Industry Data Validation Use Case</t>
  </si>
  <si>
    <t>Philipp Schmurr; Andreas Schmidt; Maiko Friedrich; Karl-Uwe Stucky; Wolfgang Suess; Veit Hagenmeyer</t>
  </si>
  <si>
    <t>https://link.springer.com/chapter/10.1007/978-3-032-06878-1_14</t>
  </si>
  <si>
    <t>Towards a Trustworthy Co-pilot for IEC 61499 Function Block Composition</t>
  </si>
  <si>
    <t>Polina Ovsiannikova; Bianca Wiesmayr; Tatiana Liakh; Valeriy Vyatkin</t>
  </si>
  <si>
    <t>https://link.springer.com/chapter/10.1007/978-3-032-18786-4_35</t>
  </si>
  <si>
    <t>PMAx: An Agentic Framework for AI-Driven Process Mining</t>
  </si>
  <si>
    <t>Anton Antonov; Humam Kourani; Alessandro Berti; Gyunam Park; Wil M. P. van der Aalst</t>
  </si>
  <si>
    <t>https://link.springer.com/chapter/10.1007/978-3-032-28274-3_26</t>
  </si>
  <si>
    <t>Design and Implementation of a Software Tool to Support Agile-SOFL</t>
  </si>
  <si>
    <t>Ran Chen; Shaoying Liu</t>
  </si>
  <si>
    <t>Software Fault Prevention, Verification, and Validation</t>
  </si>
  <si>
    <t>https://link.springer.com/chapter/10.1007/978-981-95-6032-5_9</t>
  </si>
  <si>
    <t>Large Language Models for Business Process Management: A Practice Overview</t>
  </si>
  <si>
    <t>Cielo González Moyano; Rachmadita Andreswari; Kristina Sahling; Jennifer Haase; Kate Revoredo; Jan Mendling</t>
  </si>
  <si>
    <t>https://link.springer.com/chapter/10.1007/978-3-032-13426-4_32</t>
  </si>
  <si>
    <t>DomicileML: A Domain-Specific Modeling Language for Smart Home Interconnectivity and Data Integration</t>
  </si>
  <si>
    <t>Ana-Maria Ghiran; Paula-Irina Vilău</t>
  </si>
  <si>
    <t>https://link.springer.com/chapter/10.1007/978-3-032-04375-7_20</t>
  </si>
  <si>
    <t>LLM-Assisted Credibility Scoring for Simulation Models from Raw Time-Series via Automatic Visualization and Interpretable Indicators</t>
  </si>
  <si>
    <t>Ameya Shrikant; Philipp Andelfinger; Wentong Cai</t>
  </si>
  <si>
    <t>Computational Science – ICCS 2026</t>
  </si>
  <si>
    <t>https://link.springer.com/chapter/10.1007/978-3-032-29924-6_7</t>
  </si>
  <si>
    <t>MDE and LCNC Tools in the Generation of User Interfaces for Different Contexts of Use: A Systematic Literature Review</t>
  </si>
  <si>
    <t>Susel María Matos Claro; Jenny Ruiz de la Peña; Estefanía Serral Assension; Monique Snoeck</t>
  </si>
  <si>
    <t>https://link.springer.com/chapter/10.1007/978-3-032-12063-2_15</t>
  </si>
  <si>
    <t>Diagnosis of Heart Failure: Integrating Echocardiographic and Clinical Data Through Neural Networks</t>
  </si>
  <si>
    <t>Victor Arrobo-Sarango; Jeremy Carlosama; Diego Almeida-Galárraga; Andrés Tirado-Espín; Carolina Cadena-Morejón; Kevin R. Landázuri; Lenin Ramírez-Cando; Fernando Villalba-Meneses</t>
  </si>
  <si>
    <t>Smart Technologies, Systems and Applications</t>
  </si>
  <si>
    <t>https://link.springer.com/chapter/10.1007/978-3-031-98287-3_9</t>
  </si>
  <si>
    <t>A CityGML ADE for modeling ancient chinese timber architecture in 3D with semantic information</t>
  </si>
  <si>
    <t>Jiadong Zhang; Miaole Hou; Jun Chen; Xiaoguang Zhou; Dongyang Hou; Jiaxin Ren; Shunxi Yin; Huiqiang Zhao; Zhihua Zhang</t>
  </si>
  <si>
    <t>https://www.nature.com/articles/s40494-026-02535-2</t>
  </si>
  <si>
    <t>Digital Twin Narratives: Framework for Clear Communication</t>
  </si>
  <si>
    <t>Faten El Outa; Hugo Breuillard; Guillaume Dechambenoit</t>
  </si>
  <si>
    <t>https://link.springer.com/chapter/10.1007/978-3-032-15538-2_16</t>
  </si>
  <si>
    <t>PEAK: Generating High-Performance Schedules in MLIR</t>
  </si>
  <si>
    <t>Amir Mohammad Tavakkoli; Sameeran Joshi; Shreya Singh; Yufan Xu; P. Sadayappan; Mary Hall</t>
  </si>
  <si>
    <t>https://link.springer.com/chapter/10.1007/978-3-032-02436-7_13</t>
  </si>
  <si>
    <t>Data-driven surrogates via regression and CNN-LSTM models with metaheuristic optimization for frequency control in nonlocal porous laminated composite plate resting on elastic foundation</t>
  </si>
  <si>
    <t>Aakanksha Agrawal; Rajendra Prasad Mahapatra</t>
  </si>
  <si>
    <t>Discover Mechanical Engineering</t>
  </si>
  <si>
    <t>https://link.springer.com/article/10.1007/s44245-025-00183-7</t>
  </si>
  <si>
    <t>Agility, Innovation and Risk: A Systematic Literature Review on New Software Product Development and Organisational Capabilities</t>
  </si>
  <si>
    <t>Pedro Neves Mata; João Carlos Ferreira; José Moleiro Martins</t>
  </si>
  <si>
    <t>https://link.springer.com/article/10.1007/s11831-026-10606-7</t>
  </si>
  <si>
    <t>AdmPModeler: Modeling Administrative Processes Using Large Language Models. A Case Study</t>
  </si>
  <si>
    <t>Mattia MacrìFrancesca De Luzi; Massimo Mecella</t>
  </si>
  <si>
    <t>Electronic Government</t>
  </si>
  <si>
    <t>https://link.springer.com/chapter/10.1007/978-3-032-01589-1_19</t>
  </si>
  <si>
    <t>Edge Vision Agents: Democratizing Computer Vision with LLMs</t>
  </si>
  <si>
    <t>Hitesh Kumar; Vinay</t>
  </si>
  <si>
    <t>Innovations in Computational Intelligence and Computer Vision</t>
  </si>
  <si>
    <t>https://link.springer.com/chapter/10.1007/978-3-032-09825-2_31</t>
  </si>
  <si>
    <t>Connecting Engineering Tools Through Semantic and API-Based Integration</t>
  </si>
  <si>
    <t>Tobias Franz; Laura S. Thiele; Dennis Eller; Stephan S. Jahnke; Dominik Quantius; Diana Peters; Philipp M. Fischer; Andreas Gerndt</t>
  </si>
  <si>
    <t>Cooperative Design, Visualization, and Engineering</t>
  </si>
  <si>
    <t>https://link.springer.com/chapter/10.1007/978-3-032-06952-8_1</t>
  </si>
  <si>
    <t>ReqCluster4IoT: a clustering method for functional requirements in Internet of Things applications</t>
  </si>
  <si>
    <t>Bruno Carvalho da Silva; Rodrigo Pereira dos Santos; Davi Viana</t>
  </si>
  <si>
    <t>https://link.springer.com/article/10.1007/s00766-026-00467-8</t>
  </si>
  <si>
    <t>Developing an Agile Process for Quantum Annealing Applications: An Industrial Experience</t>
  </si>
  <si>
    <t>Lodovica Marchesi; Marco Di Francesco; Michele Marchesi</t>
  </si>
  <si>
    <t>https://link.springer.com/chapter/10.1007/978-3-032-12092-2_7</t>
  </si>
  <si>
    <t>AI-Driven Business Process Composition for Enterprise Information Exchange Within IE-BSE Framework: An Empirical Case Analysis on E-invoicing</t>
  </si>
  <si>
    <t>Muhammad Raheel Raza; Fethi Rabhi; George Joukhadar; Amitabh Kumar</t>
  </si>
  <si>
    <t>https://link.springer.com/chapter/10.1007/978-3-032-26363-6_11</t>
  </si>
  <si>
    <t>Can Large Language Models Support Modeling Systems with ASMETA? A Case Study with a Planetary Rover</t>
  </si>
  <si>
    <t>Andrea Bombarda; Silvia Bonfanti; Angelo Gargantini; Nico Pellegrinelli</t>
  </si>
  <si>
    <t>Rigorous State-Based Methods</t>
  </si>
  <si>
    <t>https://link.springer.com/chapter/10.1007/978-3-032-26752-8_19</t>
  </si>
  <si>
    <t>Context Engineering for AI-Assisted Programming for Domain-Specific Languages</t>
  </si>
  <si>
    <t>https://link.springer.com/chapter/10.1007/978-3-032-01377-4_2</t>
  </si>
  <si>
    <t>Large Language Models for Generating ArchiMate Models</t>
  </si>
  <si>
    <t>Benjamin Nast; Tim Arlt; Justus Dakowski; Kurt Sandkuhl</t>
  </si>
  <si>
    <t>https://link.springer.com/chapter/10.1007/978-3-032-26363-6_2</t>
  </si>
  <si>
    <t>Review of Tools for Zero-Code LLM Based Application Development</t>
  </si>
  <si>
    <t>Priyaranjan Pattnayak; Hussain Bohra</t>
  </si>
  <si>
    <t>Proceedings of World Conference on Artificial Intelligence: Advances and Applications</t>
  </si>
  <si>
    <t>https://link.springer.com/chapter/10.1007/978-3-032-13803-3_24</t>
  </si>
  <si>
    <t>News-Informed Probabilistic Models for AI Risk Analysis</t>
  </si>
  <si>
    <t>Mattia Fumagalli; Stefano M. Nicoletti; Diego Calvanese; Giancarlo Guizzardi</t>
  </si>
  <si>
    <t>https://link.springer.com/chapter/10.1007/978-3-032-28117-3_17</t>
  </si>
  <si>
    <t>Info-Activity Method for Efficiency and System Potential Pragmatic Problems Solving</t>
  </si>
  <si>
    <t>Alexander S. Geyda</t>
  </si>
  <si>
    <t>Trends in Sustainable Computing and Machine Intelligence</t>
  </si>
  <si>
    <t>https://link.springer.com/chapter/10.1007/978-3-032-13177-5_18</t>
  </si>
  <si>
    <t>Intent classification for university administrative services using a bidirectional recurrent neural network modified by a developed Kepler optimization algorithm</t>
  </si>
  <si>
    <t>Zhen Yang; Min Lu; Shitong Huang</t>
  </si>
  <si>
    <t>https://link.springer.com/article/10.1038/s41598-026-35504-7</t>
  </si>
  <si>
    <t>TraceLLM: leveraging large language models with prompt engineering for enhanced requirements traceability</t>
  </si>
  <si>
    <t>Nouf Alturayeif; Irfan Ahmad; Jameleddine Hassine</t>
  </si>
  <si>
    <t>https://link.springer.com/article/10.1007/s00766-026-00460-1</t>
  </si>
  <si>
    <t>UltraReporter for transforming spoken diagnostic cues into structured ultrasound reports with large language models</t>
  </si>
  <si>
    <t>Pengyi Hao; Jilong Zhang; Siyuan Zhang; Fuli Wu; Shuyuan Tian</t>
  </si>
  <si>
    <t>https://link.springer.com/article/10.1038/s41598-026-41439-w</t>
  </si>
  <si>
    <t>Logical Foundations of Conceptual Modelling for Relational and SQL Databases - An Introduction -</t>
  </si>
  <si>
    <t>Enrico Franconi; Théo Abgrall</t>
  </si>
  <si>
    <t>https://link.springer.com/chapter/10.1007/978-3-032-08620-4_1</t>
  </si>
  <si>
    <t>Design and Implementation of an AI Agent-Based Collaborative Platform for Software Engineering Education</t>
  </si>
  <si>
    <t>Rui Zhang; Panjincheng Deng; Shengqiong Yuan</t>
  </si>
  <si>
    <t>Behavioural and Social Computing</t>
  </si>
  <si>
    <t>https://link.springer.com/chapter/10.1007/978-981-95-7141-3_19</t>
  </si>
  <si>
    <t>Multi-Robot system environmental constraint analysis by petri nets</t>
  </si>
  <si>
    <t>Mandira Roy; Novarun Deb; Agostino Cortesi; Rituparna Chaki; Nabendu Chaki</t>
  </si>
  <si>
    <t>https://link.springer.com/article/10.1007/s10270-026-01379-5</t>
  </si>
  <si>
    <t>Federated I-PALIA: Privacy-By-Design Distributed Process Discovery for Duplicated Activities in Healthcare</t>
  </si>
  <si>
    <t>Leonardo Nucciarelli; Carlos Fernández Llatas; Erica Tavazzi; Roberto Gatta; Andrada Mihaela Tudor; Mauro Vallati; Gema Ibanez-Sanchez; Zoe Valero-Ramon; Andrea Damiani</t>
  </si>
  <si>
    <t>Explainable Artificial Intelligence and Process Mining Applications for Healthcare</t>
  </si>
  <si>
    <t>https://link.springer.com/chapter/10.1007/978-3-032-21514-7_13</t>
  </si>
  <si>
    <t>Onboard Deployment of Trajectory Prediction Intelligence HIL Validation for Missile Guidance Systems</t>
  </si>
  <si>
    <t>Tao Yan; Ya Yang; Wei Yin</t>
  </si>
  <si>
    <t>https://link.springer.com/chapter/10.1007/978-981-95-7656-2_48</t>
  </si>
  <si>
    <t>Engineering Safe Robotics Software from Simulation Models via RoboSim</t>
  </si>
  <si>
    <t>Pedro Ribeiro; Dalay Almeida; Paulo E. R. Bezerra; Ana Cavalcanti; Thierry Lecomte; Marcel V. M. Oliveira</t>
  </si>
  <si>
    <t>Engineering Trustworthy Software Systems</t>
  </si>
  <si>
    <t>https://link.springer.com/chapter/10.1007/978-981-95-8617-2_5</t>
  </si>
  <si>
    <t>A study on wire arc additive manufacturing of metal matrix composites: current status, defect mitigation, and outlook</t>
  </si>
  <si>
    <t>Khalid Aljonubi</t>
  </si>
  <si>
    <t>Progress in Additive Manufacturing</t>
  </si>
  <si>
    <t>https://link.springer.com/article/10.1007/s40964-026-01590-2</t>
  </si>
  <si>
    <t>Automata-Based Steering of Large Language Models for Diverse Structured Generation</t>
  </si>
  <si>
    <t>Xiaokun Luan; Zemin Wei; Yihao Zhang; Meng Sun</t>
  </si>
  <si>
    <t>https://link.springer.com/chapter/10.1007/978-981-95-4213-0_2</t>
  </si>
  <si>
    <t>Automated Software Architecture Design Recovery from Source Code Using LLMs</t>
  </si>
  <si>
    <t>Domenico Amalfitano; Marco De Luca; Tiziano Santilli; Patrizio Pelliccione; Anna Rita Fasolino</t>
  </si>
  <si>
    <t>https://link.springer.com/chapter/10.1007/978-3-032-02138-0_5</t>
  </si>
  <si>
    <t>From Natural Language to TOSCA: Leveraging LLMs for Automated Service Composition</t>
  </si>
  <si>
    <t>Wided Meflah; Hayet Brabra; Mehdi Acheli; Hosni Ben Douma; Mohamed Sellami; Walid Gaaloul; Djamal Zeghlache</t>
  </si>
  <si>
    <t>https://link.springer.com/chapter/10.1007/978-981-95-5012-8_1</t>
  </si>
  <si>
    <t>A data migration and integration approach for big data management using linked data</t>
  </si>
  <si>
    <t>Hina Sattar; M. A. Al-Khasawneh; Umar Farooq Shafi; Touseef Hussain; Abdul Khader Jilani Saudagar; Syed Zain Ul Abideen; Mian Muhammad Kamal; Said Baz Jahfar Khan</t>
  </si>
  <si>
    <t>https://link.springer.com/article/10.1038/s41598-026-43298-x</t>
  </si>
  <si>
    <t>Digital Twins: a Briefing for Formalists</t>
  </si>
  <si>
    <t>John S. Fitzgerald; Cláudio Gomes; Peter Gorm Larsen; Mikkel Schmidt Andersen; Santiago Gil; Morten Haahr Kristensen</t>
  </si>
  <si>
    <t>Formal Methods</t>
  </si>
  <si>
    <t>https://link.springer.com/chapter/10.1007/978-3-032-26220-2_19</t>
  </si>
  <si>
    <t>Predicting Post-release Defects with Knowledge Units (KUs) of Programming Languages: An Empirical Study</t>
  </si>
  <si>
    <t>Md Ahasanuzzaman; Gustavo A. Oliva; Ahmed E. Hassan; Zhen Ming Jiang</t>
  </si>
  <si>
    <t>https://link.springer.com/article/10.1007/s10664-026-10829-z</t>
  </si>
  <si>
    <t>Technological Means for Automatic Programs Construction in LuNA System</t>
  </si>
  <si>
    <t>Victor Malyshkin; Vladislav Perepelkin; Denis Parfenov; Valeriy Sinyukov; Vitaly Spirin; Danila Ivanchenko; Yuri Nushtaev</t>
  </si>
  <si>
    <t>Parallel Computing Technologies</t>
  </si>
  <si>
    <t>https://link.springer.com/chapter/10.1007/978-3-032-06751-7_8</t>
  </si>
  <si>
    <t>A Novel Approach for Controlling Drone Swarms: Integrating LLMs and Augmented Reality</t>
  </si>
  <si>
    <t>Lennart Hustermeier; Enes Yigitbas</t>
  </si>
  <si>
    <t>Human-Computer Interaction – INTERACT 2025</t>
  </si>
  <si>
    <t>https://link.springer.com/chapter/10.1007/978-3-032-04999-5_27</t>
  </si>
  <si>
    <t>Dynamic adaptation of non standard service tasks through reinforcement learning driven task technology fit and service interaction</t>
  </si>
  <si>
    <t>Yixin Sun; Jinming Gao; Kai Han; Chul-Hyun Hwang; Hoekyung Jung</t>
  </si>
  <si>
    <t>https://link.springer.com/article/10.1038/s41598-026-38808-w</t>
  </si>
  <si>
    <t>An Approach for Integrated Development of an MLOps Architecture</t>
  </si>
  <si>
    <t>Petra Heck; Jacco Snoeren; Merel Veracx; Manon Peeters</t>
  </si>
  <si>
    <t>https://link.springer.com/chapter/10.1007/978-3-032-02138-0_1</t>
  </si>
  <si>
    <t>Research on Virtualization-Based and Intelligently Guided Fuzzing Method for Industrial Control Systems Abstract</t>
  </si>
  <si>
    <t>Xiaolong Li; Chaoyang Liu; Chuang Wang; Yi Cao; Wanli Liu; Zhiyong Zhang</t>
  </si>
  <si>
    <t>Computer and Information Security</t>
  </si>
  <si>
    <t>https://link.springer.com/chapter/10.1007/978-3-031-96944-7_8</t>
  </si>
  <si>
    <t>34th Annual Computational Neuroscience Meeting: CNS*2025</t>
  </si>
  <si>
    <t>https://link.springer.com/article/10.1007/s10827-025-00915-4</t>
  </si>
  <si>
    <t>Using command &amp; control for coordinating UAV fleets for missions with changing contexts</t>
  </si>
  <si>
    <t>Moussa Amrani; Abdelkader Ouared</t>
  </si>
  <si>
    <t>https://link.springer.com/article/10.1007/s11334-026-00625-9</t>
  </si>
  <si>
    <t>Parameterization of a Detailed Vehicle Model Based on Basic Parameters</t>
  </si>
  <si>
    <t>Nicolás Escribano; Francisco Lahuerta Calahorra; Javier Saumell Ocariz; Javier Orús Pontaque; Frederik Thönnißen; Thomas Pütz; César Arzola</t>
  </si>
  <si>
    <t>2025 EuroBrake Conference Technical Proceedings</t>
  </si>
  <si>
    <t>https://link.springer.com/chapter/10.1007/978-3-032-10688-9_22</t>
  </si>
  <si>
    <t>Adoption of Large Language Models in Scrum Management: Insights from Brazilian Practitioners</t>
  </si>
  <si>
    <t>Mirko Perkusich; Danyllo Albuquerque; Allysson Allex Araújo; Matheus Paixão; Rohit Gheyi; Marcos Kalinowski; Angelo Perkusich</t>
  </si>
  <si>
    <t>Agile Processes in Software Engineering and Extreme Programming</t>
  </si>
  <si>
    <t>https://link.springer.com/chapter/10.1007/978-3-032-22375-3_16</t>
  </si>
  <si>
    <t>Efficient training of large language models on distributed infrastructures: a survey</t>
  </si>
  <si>
    <t>Jiangfei Duan; Shuo Zhang; Zerui Wang; Lijuan Jiang; Wenwen Qu; Qinghao Hu; Guoteng Wang; Qizhen Weng; Hang Yan; Xingcheng Zhang; Xipeng Qiu; Dahua Lin; Yonggang Wen; Xin Jin; Tianwei Zhang; Peng Sun</t>
  </si>
  <si>
    <t>Vicinagearth</t>
  </si>
  <si>
    <t>https://link.springer.com/article/10.1007/s44336-026-00038-z</t>
  </si>
  <si>
    <t>Temporal Evolution of Diagnostic Code-Narrative Discrepancy in Pancreatic Imaging Surveillance: A Longitudinal Natural Language Processing Study</t>
  </si>
  <si>
    <t>Boyoung Kang</t>
  </si>
  <si>
    <t>https://link.springer.com/article/10.1007/s10278-026-01959-3</t>
  </si>
  <si>
    <t>Performance optimization of cylinder liners through failure analysis, thermomechanical evaluation, and advanced material selection</t>
  </si>
  <si>
    <t>Shekhar T. Shinde; Kishor R. Borole; Mohan P. Khond; Kedarnath Chaudhary; Snehal S. Shinde</t>
  </si>
  <si>
    <t>https://link.springer.com/article/10.1007/s12008-026-02634-1</t>
  </si>
  <si>
    <t>The Future of Zero-Trust Secured Hardware: An Assessment of SoC and NoC Security, Compliance with Zero-Trust Tenets, and Emerging Challenges</t>
  </si>
  <si>
    <t>Abigail Butka; Christophe Bobda</t>
  </si>
  <si>
    <t>Journal of Hardware and Systems Security</t>
  </si>
  <si>
    <t>https://link.springer.com/article/10.1007/s41635-026-00185-1</t>
  </si>
  <si>
    <t>Assessing the Robustness of Clinical–Metabolic Activity Models Through SAR in the PPMI Dataset</t>
  </si>
  <si>
    <t>A. Hernández; I. A. Illán; J. Ramírez; F. Segovia; C. Vázquez-García; F. J. Martínez-Murcia; J. M. Górriz</t>
  </si>
  <si>
    <t>Artificial Intelligence for Neuroscience, Mental Health, and Neurodegenerative Disorders</t>
  </si>
  <si>
    <t>https://link.springer.com/chapter/10.1007/978-3-032-27314-7_12</t>
  </si>
  <si>
    <t>The Advisor: AI-Powered Sentiment Analysis for Multilingual Customer Feedback</t>
  </si>
  <si>
    <t>Anis Bel Hadj Hassin; Nadim Nagati; Mayssa Trabelsi; Amir Ben Ayed; Nidhal Mezni; Mohamed Amine Askri</t>
  </si>
  <si>
    <t>Emerging Technologies for Developing Countries</t>
  </si>
  <si>
    <t>https://link.springer.com/chapter/10.1007/978-3-032-16638-8_8</t>
  </si>
  <si>
    <t>Identification and empirical investigation of factors influencing cost estimation in Agile development</t>
  </si>
  <si>
    <t>Xiaoyan Zhao; Zulkefli Mansor; Rozilawati Razali; Mohd Zakree Ahmad Nazri; Liangyu Li; Xuwei Guo</t>
  </si>
  <si>
    <t>https://link.springer.com/article/10.1007/s10489-026-07259-1</t>
  </si>
  <si>
    <t>Extensibility, Model Interpretability and Explainability, and Automation in ML.NET: A Comprehensive Analysis</t>
  </si>
  <si>
    <t>Robin Nunkesser</t>
  </si>
  <si>
    <t>https://link.springer.com/chapter/10.1007/978-3-032-15638-9_11</t>
  </si>
  <si>
    <t>Assessing model-driven mutation testing of Java bytecode</t>
  </si>
  <si>
    <t>Freya Ancona; Christoph Bockisch; Daniel Neufeld; Gabriele Taentzer</t>
  </si>
  <si>
    <t>https://link.springer.com/article/10.1007/s10270-026-01398-2</t>
  </si>
  <si>
    <t>Exploring Design Alternatives for Automated Web GUI Generation from Discourse Models</t>
  </si>
  <si>
    <t>Hermann Kaind</t>
  </si>
  <si>
    <t>https://link.springer.com/chapter/10.1007/978-3-032-29372-5_39</t>
  </si>
  <si>
    <t>Pervasive Intelligent Diagnostics for High-Tech Systems</t>
  </si>
  <si>
    <t>Rob Bemthuis; Thomas Nägele; Cor van der Struijf</t>
  </si>
  <si>
    <t>Sensor-Based Activity Recognition and Artificial Intelligence</t>
  </si>
  <si>
    <t>https://link.springer.com/chapter/10.1007/978-3-032-13312-0_20</t>
  </si>
  <si>
    <t>Empirical performance characterization of local LLM pipeline on resource-constrained edge platform</t>
  </si>
  <si>
    <t>Proceedings of the Indian National Science Academy</t>
  </si>
  <si>
    <t>https://link.springer.com/article/10.1007/s43538-026-00760-8</t>
  </si>
  <si>
    <t>AI-Assisted REST API Design with Large Language Models</t>
  </si>
  <si>
    <t>Jorge Martinez-Gil; Christoph Daxerer; Mario Winterer; Cornelia Neumüller; Matthias Krump</t>
  </si>
  <si>
    <t>https://link.springer.com/chapter/10.1007/978-3-032-24216-7_5</t>
  </si>
  <si>
    <t>Ruleless Digital Twins</t>
  </si>
  <si>
    <t>Ivan SpajićVolker Stolz</t>
  </si>
  <si>
    <t>From Data to Models and Back</t>
  </si>
  <si>
    <t>https://link.springer.com/chapter/10.1007/978-3-032-25552-5_5</t>
  </si>
  <si>
    <t>Engineering, Big Data and the Future</t>
  </si>
  <si>
    <t>Ron S. Kenett</t>
  </si>
  <si>
    <t>Progress in Industrial Mathematics at ECMI 2023</t>
  </si>
  <si>
    <t>https://link.springer.com/chapter/10.1007/978-3-032-20404-2_36</t>
  </si>
  <si>
    <t>Forecast-Driven Reconfiguration in Sustainable Production Systems</t>
  </si>
  <si>
    <t>Wassim Bouazza; Anirut Kantasa-Ard</t>
  </si>
  <si>
    <t>Advances in Production Management Systems. Cyber-Physical-Human Production Systems: Human-AI Collaboration and Beyond</t>
  </si>
  <si>
    <t>https://link.springer.com/chapter/10.1007/978-3-032-03546-2_17</t>
  </si>
  <si>
    <t>Correct-ish by Design: From Upfront Verification to Continuous Monitoring of LLM Generated Code</t>
  </si>
  <si>
    <t>Bernhard K. Aichernig; Klaus Havelund</t>
  </si>
  <si>
    <t>https://link.springer.com/chapter/10.1007/978-3-032-01377-4_1</t>
  </si>
  <si>
    <t>CDDSF: A Zero-Shot Domain Adaptation Framework for Secure Solidity Code Search</t>
  </si>
  <si>
    <t>Qihao Yuan; Zigui Jiang; Dan Li; Yuren Zhou</t>
  </si>
  <si>
    <t>Blockchain and Trustworthy Systems</t>
  </si>
  <si>
    <t>https://link.springer.com/chapter/10.1007/978-981-95-3480-7_13</t>
  </si>
  <si>
    <t>Enhancing JavaScript Code Autocompletion by Fine-Tuning StarCoder</t>
  </si>
  <si>
    <t>Indranil Saha; Susnato Dhar; Subhranil Samanta; Astik Mondal; Snahel Patra; Anasuya Sengupta</t>
  </si>
  <si>
    <t>Proceedings of the 5th International Conference on Communication, Devices and Computing</t>
  </si>
  <si>
    <t>https://link.springer.com/chapter/10.1007/978-3-032-18470-2_3</t>
  </si>
  <si>
    <t>CSEQL-Llama: A Text-to-CSEQL Framework Based on Multi-agent Collaborative Data Synthesis and Parameter-Efficient Fine-Tuning</t>
  </si>
  <si>
    <t>Ye Li; Jinfeng Peng; Lirong Yang; Yuwei Li; Fan Shi; Pengfei Xue; Chengxi Xu</t>
  </si>
  <si>
    <t>Neural Information Processing</t>
  </si>
  <si>
    <t>https://link.springer.com/chapter/10.1007/978-981-95-4088-4_7</t>
  </si>
  <si>
    <t>Committee II.1: Quasi-static Response</t>
  </si>
  <si>
    <t>Zhen Gao; Yooil Kim; Erick Alley; Krzysztof Wołoszyk; Zhiyu Jiang; Aaron Stanley; Hanbing Luo; Jerolim Andric; Marcelo Caire; Alessandro Sacchet; Eko Charnius Ilman; Daisuke Yanagihara</t>
  </si>
  <si>
    <t>Proceedings of the 22nd International Ship and Offshore Structures Congress (Volume 1)</t>
  </si>
  <si>
    <t>https://link.springer.com/chapter/10.1007/978-981-95-2668-0_3</t>
  </si>
  <si>
    <t>Research on Scientific Research Data Management Platform Based on LCAP</t>
  </si>
  <si>
    <t>Hong Huajun; Qian Weidong; Sun Jiaxin; Tian Zhifeng; Feng Xin; Zhang Hong; Cheng Cheng</t>
  </si>
  <si>
    <t>Proceedings of the 15th International Conference on Computer Engineering and Networks</t>
  </si>
  <si>
    <t>https://link.springer.com/chapter/10.1007/978-981-95-3324-4_11</t>
  </si>
  <si>
    <t>Development of a Graphical Design Tool for Unified Data Models: A Case Study of SG-CIM for Power Grid Systems</t>
  </si>
  <si>
    <t>Xin He; Zhongmin Li; Shijie Gao; Yi Shen; Shuzhen Feng; Zehao Yu</t>
  </si>
  <si>
    <t>Information Processing and Network Provisioning</t>
  </si>
  <si>
    <t>https://link.springer.com/chapter/10.1007/978-981-95-1340-6_37</t>
  </si>
  <si>
    <t>Review of Modelling Approaches and Perspectives for Marine Fish Farming Systems</t>
  </si>
  <si>
    <t>Zhongchi Liu; Sarat Chandra Mohapatra; C. Guedes Soares</t>
  </si>
  <si>
    <t>https://link.springer.com/article/10.1007/s11804-026-00895-6</t>
  </si>
  <si>
    <t>Churning loss prediction of helical gear using multi-fidelity Gaussian process regression</t>
  </si>
  <si>
    <t>Byeong Uk Song; Suchul Kim; Sanggon Moon; Chan-ho Choi; Dong Gun Lee; Yeo-Ul Song</t>
  </si>
  <si>
    <t>https://link.springer.com/article/10.1007/s12206-026-0627-9</t>
  </si>
  <si>
    <t>Energy Consumption and Property Optimization in Laser Powder Bed Fusion of Fe-50wt%Ni Permalloys</t>
  </si>
  <si>
    <t>Chunhui Chung; Chi-Chun Chen; Tsung-Wei Chang; Mi-Ching Tsai</t>
  </si>
  <si>
    <t>International Journal of Precision Engineering and Manufacturing-Green Technology</t>
  </si>
  <si>
    <t>https://link.springer.com/article/10.1007/s40684-026-00853-1</t>
  </si>
  <si>
    <t>An Exploratory Study of Strategic Domain-Driven Design with Large Language Models</t>
  </si>
  <si>
    <t>Hanieh Attari Moghadam; Roya Nasiri; Indika Kumara; Damian Andrew Tamburri; Willem-Jan van den Heuvel</t>
  </si>
  <si>
    <t>https://link.springer.com/chapter/10.1007/978-3-032-28160-9_11</t>
  </si>
  <si>
    <t>Strengthening Chronic Kidney Disease Prevention Through Predictive Profiling: Implications for Public Health Policy</t>
  </si>
  <si>
    <t>Namsit Khandelwal; Raunak Shikhar; Sujoy Chakraborty; Vivek Kumar; Aakarsh Chandra; Poornima Suryanath Singh</t>
  </si>
  <si>
    <t>SN Comprehensive Clinical Medicine</t>
  </si>
  <si>
    <t>https://link.springer.com/article/10.1007/s42399-025-02230-6</t>
  </si>
  <si>
    <t>Synthesis Tool Suite for Large Stochastic Model</t>
  </si>
  <si>
    <t>Lorenzo Matteucci; Michela Quadrini; Michele Loreti</t>
  </si>
  <si>
    <t>Performance Evaluation Methodologies and Tools</t>
  </si>
  <si>
    <t>https://link.springer.com/chapter/10.1007/978-3-032-06818-7_19</t>
  </si>
  <si>
    <t>From Static to Intelligent: Evolving SaaS Pricing with LLMs</t>
  </si>
  <si>
    <t>Francisco Javier Cavero; Juan C. Alonso; Antonio Ruiz-Cortés</t>
  </si>
  <si>
    <t>https://link.springer.com/chapter/10.1007/978-981-96-7423-7_12</t>
  </si>
  <si>
    <t>Flood susceptibility prioritization in Dimoria block Assam using GIS and analytical hierarchy process</t>
  </si>
  <si>
    <t>Sahil Choudhury; Mala Dutta</t>
  </si>
  <si>
    <t>Discover Environment</t>
  </si>
  <si>
    <t>https://link.springer.com/article/10.1007/s44274-026-00623-5</t>
  </si>
  <si>
    <t>From Conversation Theory to Architecturology. Towards a Systemic Metatheory of Conceptual Reasoning</t>
  </si>
  <si>
    <t>Nour Elhouda Ghribi</t>
  </si>
  <si>
    <t>Anticipating Socio-Ecological Impacts of Artificial Intelligence</t>
  </si>
  <si>
    <t>https://link.springer.com/chapter/10.1007/978-3-032-19495-4_3</t>
  </si>
  <si>
    <t>Predictive modelling of geometallurgical variables at Tarkwa mine, southwestern Ghana</t>
  </si>
  <si>
    <t>Joseph Adusei; Emmanuel Daanoba Sunkari; Emmanuel Addo Jr.; Anthony Ewusi</t>
  </si>
  <si>
    <t>https://link.springer.com/article/10.1007/s44288-026-00413-9</t>
  </si>
  <si>
    <t>Traqula: Providing a Foundation for the Evolving SPARQL Ecosystem Through Modular Query Parsing, Transformation, and Generation</t>
  </si>
  <si>
    <t>Jitse De Smet; Ruben Taelman</t>
  </si>
  <si>
    <t>The Semantic Web</t>
  </si>
  <si>
    <t>https://link.springer.com/chapter/10.1007/978-3-032-25159-6_13</t>
  </si>
  <si>
    <t>Fused ensembles of dynamic-rupture earthquake simulations to accelerate Bayesian inference</t>
  </si>
  <si>
    <t>Vikas Kurapati; David Schneller; Linus Seelinger; Zihua Niu; Alice-Agnes Gabriel; Michael Bader</t>
  </si>
  <si>
    <t>GEM - International Journal on Geomathematics</t>
  </si>
  <si>
    <t>https://link.springer.com/article/10.1007/s13137-026-00287-6</t>
  </si>
  <si>
    <t>Automated summarization of software documents: an LLM-based multi-agent approach</t>
  </si>
  <si>
    <t>Duc S. H. Nguyen; Minh T. Nguyen; Phuong T. Nguyen; Juri Di Rocco; Davide Di Ruscio</t>
  </si>
  <si>
    <t>https://link.springer.com/article/10.1007/s10515-025-00588-4</t>
  </si>
  <si>
    <t>Petri net applications: a success story</t>
  </si>
  <si>
    <t>Francesco Basile; Maria Pia Fanti; Cristian Mahulea; Agostino Marcello Mangini; Antonio Ramírez-Treviño; Michele Roccotelli</t>
  </si>
  <si>
    <t>Discrete Event Dynamic Systems</t>
  </si>
  <si>
    <t>https://link.springer.com/article/10.1007/s10626-026-00451-y</t>
  </si>
  <si>
    <t>Physiologically Based Pharmacokinetic (PBPK) Modeling of Antidepressants: A Scoping Review of Existing Models, Applications, and Software Tools</t>
  </si>
  <si>
    <t>Rebecca Leyla Huber; Oliver Scherf-Clavel</t>
  </si>
  <si>
    <t>Clinical Pharmacokinetics</t>
  </si>
  <si>
    <t>https://link.springer.com/article/10.1007/s40262-026-01668-8</t>
  </si>
  <si>
    <t>Discrete-Event Simulation Modeling Framework for Cancer Interventions and Population Health in R (DESCIPHR): An Open-Source Pipeline</t>
  </si>
  <si>
    <t>Selina Pi; Carolyn M. Rutter; Carlos Pineda-Antunez; Jonathan H. Chen; Jeremy D. Goldhaber-Fiebert; Fernando Alarid-Escudero</t>
  </si>
  <si>
    <t>PharmacoEconomics</t>
  </si>
  <si>
    <t>https://link.springer.com/article/10.1007/s40273-025-01571-3</t>
  </si>
  <si>
    <t>Executable Semantics for Teaching Concatenative Stack-Based DSLs: The Case of StackLang</t>
  </si>
  <si>
    <t>William Steingartner; Wolfgang Schreiner</t>
  </si>
  <si>
    <t>New Trends in Database and Information Systems</t>
  </si>
  <si>
    <t>https://link.springer.com/chapter/10.1007/978-3-032-05727-3_23</t>
  </si>
  <si>
    <t>Planning Simulation Experiments to Optimize Assembly Processes</t>
  </si>
  <si>
    <t>Patrik Grznár; Milan GregorŠtefan Mozol; Lucia Mozolová</t>
  </si>
  <si>
    <t>Intelligent Systems in Production Engineering and Maintenance IV</t>
  </si>
  <si>
    <t>https://link.springer.com/chapter/10.1007/978-3-032-01517-4_15</t>
  </si>
  <si>
    <t>Digital twin for joining mechanical structures in assembly processes</t>
  </si>
  <si>
    <t>Qimuge Saren; Roham Sadeghi Tabar; Rikard Söderberg; Kristina Wärmefjord</t>
  </si>
  <si>
    <t>https://link.springer.com/article/10.1007/s10845-026-02884-6</t>
  </si>
  <si>
    <t>Probabilistic Vibration Analysis of Bladed disks: A Critical Review and Benchmark Evaluation of Random-Field Modeling and Uncertainty Quantification Methods</t>
  </si>
  <si>
    <t>Egbo Munachi; Chao Fu; Heng Zhao; Fubin Wang; Weidong Zhu; Weihao Zhai</t>
  </si>
  <si>
    <t>https://link.springer.com/article/10.1007/s11831-026-10650-3</t>
  </si>
  <si>
    <t>Physiologically based pharmacokinetic modeling of granisetron for optimizing antiemetic therapy in patients with cancer: multi-route pharmacokinetic characterization and target-site exposure prediction</t>
  </si>
  <si>
    <t>Ji-Hun Jang; Seung-Hyun Jeong</t>
  </si>
  <si>
    <t>Cancer Chemotherapy and Pharmacology</t>
  </si>
  <si>
    <t>https://link.springer.com/article/10.1007/s00280-026-04900-1</t>
  </si>
  <si>
    <t>MOMEVO: a modular surrogate-assisted evolutionary framework for efficient multi-objective optimization</t>
  </si>
  <si>
    <t>Rafael Batres; Azul Rosales</t>
  </si>
  <si>
    <t>Evolving Systems</t>
  </si>
  <si>
    <t>https://link.springer.com/article/10.1007/s12530-026-09814-0</t>
  </si>
  <si>
    <t>ACEditor: A Modeling Tool for Specifying and Synthesizing Executable Assurance Cases from Fault Trees</t>
  </si>
  <si>
    <t>Luis Nascimento; André L. de Oliveira; Regina Villela; Hiago Fonseca; Kalinka Castelo Branco; Ran Wei; Richard Hawkins; Tim Kelly</t>
  </si>
  <si>
    <t>https://link.springer.com/chapter/10.1007/978-3-032-05073-1_20</t>
  </si>
  <si>
    <t>Enhanced LDDMM frameworks for mapping short- and long-term cardiac dynamics</t>
  </si>
  <si>
    <t>Debao Guan; Yu Zhang; Min Zhang; Hao Gao</t>
  </si>
  <si>
    <t>Acta Mechanica Sinica</t>
  </si>
  <si>
    <t>https://link.springer.com/article/10.1007/s10409-026-51029-x</t>
  </si>
  <si>
    <t>Toward a unified computing paradigm: a survey and roadmap for data management in integrated IoT, fog, and cloud services</t>
  </si>
  <si>
    <t>Atefeh Hemmati; Navid Khaledian; Amir Masoud Rahmani</t>
  </si>
  <si>
    <t>https://link.springer.com/article/10.1007/s12083-025-02183-6</t>
  </si>
  <si>
    <t>An Efficient Reliability and Sensitivity Assessment of a Composite Panel Subjected To Elevated Temperatures Based on Surrogate Modeling</t>
  </si>
  <si>
    <t>Mohsen Kouhi; Alireza Mojtahedi</t>
  </si>
  <si>
    <t>Iranian Journal of Science and Technology, Transactions of Civil Engineering</t>
  </si>
  <si>
    <t>https://link.springer.com/article/10.1007/s40996-026-02120-4</t>
  </si>
  <si>
    <t>LLM-Based Property-Based Test Generation for Guardrailing Cyber-Physical Systems</t>
  </si>
  <si>
    <t>Khashayar Etemadi; Marjan Sirjani; Mahshid Helali Moghadam; Per Strandberg; Paul Pettersson</t>
  </si>
  <si>
    <t>https://link.springer.com/chapter/10.1007/978-3-032-07132-3_3</t>
  </si>
  <si>
    <t>Thermodynamic analysis and hybrid surrogate-assisted multi-criteria optimization of heat transfer in mini-pipes</t>
  </si>
  <si>
    <t>Orhan YildirimŞendoğan Karagöz</t>
  </si>
  <si>
    <t>Journal of Thermal Analysis and Calorimetry</t>
  </si>
  <si>
    <t>https://link.springer.com/article/10.1007/s10973-026-15820-w</t>
  </si>
  <si>
    <t>Thermo-mechanical modelling and experimental production of aluminium circular form detail using three-level hierarchical WAAM model</t>
  </si>
  <si>
    <t>Pavlo Anikin; Flávia Bastos; Galina Shilo</t>
  </si>
  <si>
    <t>https://link.springer.com/article/10.1038/s41598-026-42149-z</t>
  </si>
  <si>
    <t>Advanced optimization of crashworthiness in aluminum foam-filled elliptical conical tube structures</t>
  </si>
  <si>
    <t>Xiurong Guo; Aodi Bie; Yanlin Zhang; Danfeng Du</t>
  </si>
  <si>
    <t>Journal of the Brazilian Society of Mechanical Sciences and Engineering</t>
  </si>
  <si>
    <t>https://link.springer.com/article/10.1007/s40430-025-06222-4</t>
  </si>
  <si>
    <t>Stochastic Polynomial Surrogate Models for Uncertainty Quantification of Offshore Plate Anchor Capacity</t>
  </si>
  <si>
    <t>Negin Yousefpour; Bo Wang; Changjian Zhou; Alessio Mentani</t>
  </si>
  <si>
    <t>https://link.springer.com/article/10.1007/s10706-026-03824-0</t>
  </si>
  <si>
    <t>Using a two-stage D-Optimal mode to select equipment for flexible manufacturing systems</t>
  </si>
  <si>
    <t>Xiaomo Yu; Jie Mi; Jiajia Liu; Long Long; Xiuming Li; Qinglian Mo</t>
  </si>
  <si>
    <t>https://link.springer.com/article/10.1038/s41598-026-41466-7</t>
  </si>
  <si>
    <t>Clarifying the Concept of Meta-Models for Collaborative Decision-Making in Engineering Complex Systems</t>
  </si>
  <si>
    <t>Mubeen Ur Rehman; Alessandro Bertoni; Johan Wall</t>
  </si>
  <si>
    <t>https://link.springer.com/chapter/10.1007/978-3-032-05673-3_28</t>
  </si>
  <si>
    <t>Model-based reasoning in STEM education: a systematic literature review</t>
  </si>
  <si>
    <t>Abasiafak N. Udosen; Alejandra J. Magana</t>
  </si>
  <si>
    <t>International Journal of STEM Education</t>
  </si>
  <si>
    <t>https://link.springer.com/article/10.1186/s40594-026-00621-2</t>
  </si>
  <si>
    <t>Thermal Aspects Towards the Fully Compensated Machine Tool</t>
  </si>
  <si>
    <t>Josef Mayr; Konrad Wegener; Petr Kaftan</t>
  </si>
  <si>
    <t>4th International Conference on Thermal Issues in Machine Tools (ICTIMT2025)</t>
  </si>
  <si>
    <t>https://link.springer.com/chapter/10.1007/978-3-032-01194-7_11</t>
  </si>
  <si>
    <t>Formalizing smart contract design patterns with DCR graphs</t>
  </si>
  <si>
    <t>Mojtaba Eshghie; Wolfgang Ahrendt; Cyrille Artho; Thomas Troels Hildebrandt; Gerardo Schneider</t>
  </si>
  <si>
    <t>https://link.springer.com/article/10.1007/s10270-026-01366-w</t>
  </si>
  <si>
    <t>Computational Modeling Strategies in Oscillating-Flow Turbine Systems: A Critical Review Based on Wells Turbine Simulations</t>
  </si>
  <si>
    <t>Nurudin Abdul Settar; S. Sarip; H. M. Kaidi</t>
  </si>
  <si>
    <t>https://link.springer.com/article/10.1007/s11831-025-10477-4</t>
  </si>
  <si>
    <t>Analyzing structural and semantic similarities between formal business process models using ChatGPT-5.1: a test report</t>
  </si>
  <si>
    <t>Christian Bennoit; Sasha Zamani; Tobias Greff</t>
  </si>
  <si>
    <t>https://link.springer.com/article/10.1007/s44311-026-00058-4</t>
  </si>
  <si>
    <t>Engineering cyber ranges and security testbeds: a survey of technologies, use cases, and research trends</t>
  </si>
  <si>
    <t>Klaus Mayer; Max Landauer; Florian Skopik; Markus Wurzenberger</t>
  </si>
  <si>
    <t>https://link.springer.com/article/10.1007/s10207-026-01298-y</t>
  </si>
  <si>
    <t>A tool selection mechanism for LLM-based model management agents</t>
  </si>
  <si>
    <t>Zakaria Hachm; Théo Le Calvar; Hugo Bruneliere; Massimo Tisi</t>
  </si>
  <si>
    <t>https://link.springer.com/article/10.1007/s11334-026-00645-5</t>
  </si>
  <si>
    <t>AI image generation technology for visual communication design</t>
  </si>
  <si>
    <t>Guohao Kong; Long Zhang; Junghyen Kim</t>
  </si>
  <si>
    <t>https://link.springer.com/article/10.1038/s41598-026-55838-6</t>
  </si>
  <si>
    <t>Document Type</t>
  </si>
  <si>
    <t>Screening Reason</t>
  </si>
  <si>
    <t>Featured Application: Having a curated dataset of UML diagrams without duplicate elements and with accurate labels is particularly useful in the fields of software engineering and artificial intelligence, as it enables the training of models for similarity-based diagram searches, diagram classification, or automatic diagram processing, among other applications. More specifically, it can offer numerous benefits in areas such as software reuse, code generation, and design validation. UML (Unified Modeling Language) diagrams are graphical representations used in software engineering which play a vital role in the design and development of software systems and various engineering processes. Large, good-quality datasets containing UML diagrams are essential for different areas in the industry, research, and teaching purposes; however, few exist in the literature and it is common to find duplicate elements in the existing datasets. This might affect the evaluation of the models obtained when using these datasets. This paper addresses the challenge of creating a ground truth dataset of UML diagrams, including semi-automated inspection to remove duplicates and ensuring the correct labeling of all UML diagrams contained in the dataset. In particular, a dataset of six UML diagram classes was assembled, comprising a total of 2626 images (426 activity diagrams, 636 class diagrams, 352 component diagrams, 357 deployment diagrams, 435 sequence diagrams, and 420 use case diagrams). Importantly, unlike other existing datasets, ours contains no duplicate elements and all diagrams are correctly labeled. Our curated dataset is a valuable and unique resource for the research community, serving as a foundation for training and evaluating diverse artificial intelligence models. In this paper, we demonstrate this by training and testing several deep learning models using our dataset, achieving highly satisfactory results compared to those presented in other works in the literature. Additionally, our experimental results highlight the potential of visual transformers for UML diagram classification, setting our approach apart from others that predominantly used convolutional neural networks for similar tasks. © 2024 by the authors.</t>
  </si>
  <si>
    <t>AI technique + model-engineering context both present</t>
  </si>
  <si>
    <t>The Large Language Models (LLMs) like ChatGPT 3.5 have created a new era of automatic code generation. However, the existing research primarily focuses on generating simple code based on datasets (such as HumanEval, etc.). Most of approaches pay less attention to complex and practical code generation. Therefore, in this paper, we propose a new approach called “Xd-CodeGen” which can be used to generate large scale Java code. This approach is composed of four phases: requirement analysis, modeling, code generation, and code verification. In the requirement analysis phase, ChatGPT 3.5 is utilized to decompose and restate user requirements. To do so, a knowledge graph is developed to describe entities and their relationship in detail. Further, Propositional Projection Temporal Logic (PPTL) formulas are employed to define the properties of requirements. In the modeling phase, we use knowledge graphs to enhance prompts and generate UML class and activity diagrams for each sub-requirement using ChatGPT 3.5. In the code generation phase, based on established UML models, we make use of prompt engineering and knowledge graph to generate Java code. In the code verification phase, a runtime verification at code level approach is employed to verify generated Java code. Finally, we apply the proposed approach to develop a practical Java web project. © 2024 Elsevier B.V.</t>
  </si>
  <si>
    <t>This paper studies how AI-assisted programming and large language models (LLM) improve software developers' ability via AI tools (LLM agents) like Github Copilot and Amazon CodeWhisperer, while integrating human feedback to enhance reinforcement learning (RLHF) with crowd-sourced computation to enhance text-to-code generation. Additionally, we demonstrate that our Bayesian optimization framework supports AI alignment in code generation by distributing the feedback collection burden, highlighting the value of collecting human feedback of good quality. Our empirical evaluations demonstrate the efficacy of this approach, showcasing how LLM agents can be effectively trained for improved text-to-code generation. Our Bayesian optimization framework can be designed for general domain-specific languages, promoting the alignment of large language model capabilities with human feedback in AI-assisted programming for code generation.  © 2015 IEEE.</t>
  </si>
  <si>
    <t>Multi-agent systems based on large language models (LLM) are said to be able to provide flexible and scalable collaboration, but are often unstable, adversarially active, biased in their representations, and expensive to compute-aspects that hinder their use in safety-critical or resource-sensitive systems. To overcome these deficiencies, a model-driven engineering framework, the MDE-Agentware, has been implemented: a model-based engineering paradigm, which represents multi-agent architectures through a typed domain specific metamodel, and generates executables that are conforming with instrumented runtime monitoring, tool wrappers and energy-conscious invocation policies. The main novelties of the approach include (i) a formal model-to-code transformation, enforcing the architectural constraints and labeled-transition semantics, (ii) a collection of rigorous metrics (architectural conformity, prediction consistency, composite bias penalty, and energy models), which allow performing automated conformity checking and constrained optimization, and (iii) fairness-by-design and resilience mechanisms, implemented into the orchestration level, and not applied after the fact. Huge controlled experiments with publicly available corpora and simulated benchmarks show that MDE-Agentware achieves significantly better contraction behavior and spectral condition, is more resistant to adversarial noise, has higher inter-agent coherence, exhibits significant reductions in redundant invocations of LLM and per-trial energy, and significant reductions in statistical parity difference. The framework thus progresses a viable, repeatable, and reliable, and environmentally sustainable multi-agent system based on LLM, which can be utilized in critical applications. © 2026 The Author(s).</t>
  </si>
  <si>
    <t>Automatically generating accurate SysML models from natural-language requirements can substantially accelerate the adoption of Model-Based Systems Engineering (MBSE) in complex system development. However, using large language models (LLMs) to generate model code often fails to meet the strict syntactic constraints of formal modeling languages, and consistently ensuring semantic alignment between generated models and requirements remains challenging. To address these challenges, this paper presents MAS4SysML, a multi-agent collaborative framework for SysML v2 code generation that improves syntactic correctness and semantic consistency under a constrained repair budget. The framework decomposes a modeling task into hierarchical subtasks, formalizes them as structured task cards, and generates model code in a bottom-up manner. During generation, an official validation environment is used for syntax diagnostics; after completion, the framework verifies semantic consistency between the code and the task cards. If syntax or semantic validation fails, the framework iteratively repairs and revalidates the code within a predefined repair budget, guided by diagnostic feedback, until the validation criteria are satisfied or the budget is exhausted. To evaluate the proposed method, we construct a SysML v2 dataset spanning five core task types —requirements, use cases, structure, parametrics, and state machines—and conduct comparative experiments. Results show that MAS4SysML reduces the average syntax error rate to 2.63, increases semantic similarity to 0.91, and outperforms existing code-generation methods overall. © 2026, Journal of Visualized Experiments.</t>
  </si>
  <si>
    <t>The manual conversion of natural language software requirements into Unified Modeling Language (UML) class diagrams is often labor-intensive, dependent on expert knowledge, and susceptible to human error within the requirements engineering process. Inefficiencies and inconsistencies introduced during this early design phase can lead to expensive revisions later in development, ultimately affecting the sustainability and long-term maintainability of software systems. To address this challenge, this study presents a neural-based framework that formulates UML diagram generation as a structured machine translation task, aiming to support more reliable and sustainable model-driven engineering practices. In this work, two transformer-based approaches are proposed: a Sequence-to-Sequence (Seq2Seq) model designed for direct diagram code generation, and a Sequence-to- Abstract-Syntax-Tree (Seq2AST) model that incorporates syntactic constraints to ensure structural correctness while maintaining the intended semantics. To mitigate the limited availability of annotated training data, a multi-task learning strategy is introduced, which simultaneously performs UML element extraction and context-aware recommendation of reusable design patterns derived from a large repository of existing diagrams. Integrating structural constraints with reusable design knowledge enhances modeling consistency, promotes reusability, and supports improved long-term design quality. Experimental results indicate that the proposed framework achieves accuracy comparable to general-purpose large language models while offering greater determinism and stronger domain alignment. Furthermore, it operates with significantly lower computational requirements, contributing to a more energy-efficient and sustainable integration of artificial intelligence within software engineering workflows. To support transparency, reproducibility, and continued research in AI-driven systems engineering, all datasets and experimental artifacts used in this study have been made publicly available. © 2026 The Authors.</t>
  </si>
  <si>
    <t>Large Language Models (LLMs) have significantly advanced the automation of software engineering tasks. One prominent example is code generation, where an LLM produces code in a specified programming language based on a natural language description. Most research in this area has focused on high-resource languages, such as Python or Java, which benefit from abundant training data in repository platforms like GitHub. A smaller body of work has explored low-resource languages (e.g., Lua, Racket), which are underrepresented in training corpora. In contrast, no-resource languages for which LLMs have seen virtually no training data remain largely unstudied. These languages often emerge in industry, where organizations develop proprietary or domain-specific languages unsupported by commercial tools like GitHub Copilot. This results in the need for companies to deploy their own in-house code recommenders. To investigate possible solutions in this context, we build and release three code generation benchmarks for no-resource languages, based on two recently proposed programming languages for which very little training data is available. Using these benchmarks, we experiment several solutions to teach LLMs about no-resource languages, including prompt-based techniques (e.g., few-shot) as well as pre-training and fine-tuning exploiting the little data available. While further pre-training gives the largest performance gains for no-resource languages, applying it directly to instruction-tuned models harms their ability to follow instructions. To address this, we start from a base model, further pre-training it on the target language, and then inject instruction-following capabilities via weight diff transfer from an instruction model. Such an approach significantly improves code generation capabilities in no-resource settings, allowing companies to cheaply deploy an instruct model specialized on the language of interest without dealing with the computational cost of instruction fine-tuning. © 1976-2012 IEEE.</t>
  </si>
  <si>
    <t>Large language models (LLMs) can be used to support software development tasks, e.g., through code completion or code generation. However, their effectiveness drops significantly when considering less popular programming languages such as domain-specific languages (DSLs). In this paper, we propose a generic framework for evaluating the capabilities of LLMs generating DSL code from textual specifications. The generated code is assessed from the perspectives of well-formedness and correctness. This framework is applied to a particular type of DSL, constraint languages, focusing our experiments on OCL and Alloy and comparing their results to those achieved for Python, a popular general-purpose programming language. Experimental results show that, in general, LLMs have better performance for Python than for OCL and Alloy. LLMs with smaller context windows such as open-source LLMs may be unable to generate constraint-related code, as this requires managing both the constraint and the domain model where it is defined. Moreover, some improvements to the code generation process such as code repair (asking an LLM to fix incorrect code) or multiple attempts (generating several candidates for each coding task) can improve the quality of the generated code. Meanwhile, other decisions like the choice of a prompt template have less impact. All these dimensions can be systematically analyzed using our evaluation framework, making it possible to decide the most effective way to set up code generation for a particular type of task. © 2026</t>
  </si>
  <si>
    <t>Generating domain models from requirements is a vital and complex challenge in automated software engineering. Although large language models (LLMs) have exhibited significant competence in this area, their propensity for hallucination frequently results in models that are redundant, inconsistent, or structurally unsound. To enhance the quality of automatically generated models, this paper introduces MoRe, an LLM-based approach to domain model generation with self-refinement. Within our approach, an LLM is first tasked with producing an initial domain model draft. Subsequently, a hybrid refinement—combining LLMs with a rule-based scanner—is employed to identify and correct common issues in the model. An empirical study was conducted using 30 domain modeling problems and four open-source LLMs. The results indicate that MoRe significantly improves the quality of generated domain models. This paper advocates for incorporating a self-refinement phase as a standard component in any automated modeling workflow. © 2026 by the authors.</t>
  </si>
  <si>
    <t>Despite substantial advancements in function-level code generation powered by Large Language Models (LLMs), a fundamental challenge remains: reducing the uncertainty in the code generation process from requirements to enable LLMs to produce code that more accurately meets the requirements. In this paper, we introduce a novel framework for function-level code generation, named StructGen, which employs Unified Modeling Language (UML) activity diagrams as structural guidance for code generation. StructGen comprises two LLM-based collaborative roles operating across two phases: a Designer that infers the requirements and models the design schemes using UML activity diagrams, and a Coder that generates code guided by the design schemes, while the Designer revises designs and the Coder repairs code through test feedback. StructGen introduces the sequential, selective, and iterative structures of UML activity diagrams to logically organize the implementation process, thereby deepening the LLM's understanding of requirements and increasing the determinism of code generation from requirements. Experimental results demonstrate that StructGen outperforms all competitive baselines with relative improvements of 9.4 %–37.3 % and also surpasses all comparative LLMs. Furthermore, the UML activity diagram-based design schemes are equally effective in enhancing the performance of both the LLMs and baselines, achieving relative improvements of 2.1 %–112.1 %. © 2025 Elsevier B.V.</t>
  </si>
  <si>
    <t>Many organizations rely on software systems to accomplish their daily operations. Over time, these systems require maintenance and need to evolve to meet new requirements and stakeholder needs. Visual representations and textual abstractions are important to support the understanding of these systems for their maintenance and evolution. Reverse engineering is used to generate such representations and software models by abstracting various types of diagrams from code bases, and Model-Driven Engineering (MDE) provides a rigorous means of facilitating the reverse engineering process, enabling the generation of formal visual and textual models with a precise semantic alignment to the source code. Large language models (LLMs) are increasingly used in various fields, including software engineering. Yet, they have rarely been used to abstract software models from source code. In this paper, we present a new Model-Driven Reverse Engineering (MDRE) approach for abstracting Unified Modeling Language (UML) and Object Constraint Language (OCL) representations from software systems for understanding and documenting them. To improve the usability and scope of MDRE, we use LLMs to abstract UML class diagrams and OCL specifications from Java and Python programs. Case studies are conducted to evaluate the proposed approach and to encourage maintainers to leverage LLMs in the reverse engineering process, thereby improving their understanding and maintenance of Java- and Python-based systems. © 2026 The Author(s)</t>
  </si>
  <si>
    <t>Over the past seven years, significant changes have occurred in both the development paradigms and the practical use of software systems of varying complexity. These changes are largely driven by the rapid adoption of online artificial intelligence technologies based on large-scale language models. Such models are currently actively used in software development tasks, including source code generation and test plan creation, thereby integrating across various stages of the software development lifecycle. This article examines a classic research object—namely, the process of developing a system requirements specification—and proposes an approach to its formal verification using the ChatGPT online service. First, a detailed mathematical formalization of the research object is presented, followed by a structured model for preparing system requirements in projects using ChatGPT at various stages of development. Next, the proposed approach is illustrated using a real IT project example, demonstrating the sequential stages of requirements preparation in a modern development environment. The article defines the main categories of system requirements and discusses their representation in project documentation. To support the analysis, relevant tabular data and UML diagrams are provided. Furthermore, the study describes a methodology for formal requirements verification through prompt-based interaction with the ChatGPT system. The scientific novelty of this work lies in the application of requirements verification by modeling the expected behavior of the future software system using ChatGPT. Future research directions include incorporating a fifth category of requirements – business rules – using ChatGPT, which will enable modeling the behavior of the software system in real business processes. © 2026, Modern Education and Computer Science Press. All rights reserved.</t>
  </si>
  <si>
    <t>This paper presents a generative-AI-assisted methodology for developing domain-specific trading automation tools, focusing on the detection and visualization of liquidity gaps - commonly known as Fair Value Gaps (FVGs) - in derivative markets. Using the MQL4 domain-specific language (DSL) of the MetaTrader 4 (MT4) platform, we design and implement an Expert Advisor (EA) capable of identifying bullish and bearish FVGs, classifying them as mitigated or unmitigated, and rendering them as real-time visual overlays. The proposed approach leverages Copilot to accelerate code generation, reduce development time, and support iterative refinement through prompt-driven interaction. Nine refinement cycles were sufficient to converge on a stable, functionally correct implementation, reducing total development time to approximately four hours - a reduction of roughly 70% compared to a baseline manual estimate of one to two working days derived from published DSL development benchmarks. Functional correctness was validated against 150 historical bars on seven financial instruments and further confirmed through several months of live deployment processing hundreds of candles daily across a diverse set of symbols. The resulting system integrates body-based mitigation logic, multi-timeframe analysis, and optional Fibonacci-based retracement visualization to assist traders in identifying high-probability liquidity zones. The study highlights the potential of AI-assisted DSL development as a practical pathway for rapid prototyping and deployment of algorithmic trading tools, while also documenting domain-specific hallucination patterns and the iterative prompt strategies required to resolve them. © 2026 The Authors.</t>
  </si>
  <si>
    <t>Model transformation languages (MTLs) are domain-specific languages used to transform models conforming to a given metamodel into other models, including textual models such as source code. Developing correct model transformations in these languages is challenging and requires both language-specific and domain knowledge, creating a need for automated assistance and thus motivating the use of large language models (LLMs) for MTL code generation. However, due to the limited availability of training data and executable examples, LLM-generated MTL code is often not syntactically valid or semantically usable out of the box. This paper presents LLM4MTLs, an automated workflow for constructing and comparing prompting strategies for LLM-generated MTL code, together with an evaluation suite and an empirical evaluation. The workflow systematically explores prompt constructions combining few-shot prompting, grammar prompting, and helper methods inclusion, and evaluates them using both syntactic and semantic metrics. We construct an evaluation suite spanning four MTLs (ATL, ETL, QVTo, and the Reactions language) with executable reference scripts and manually written test suites, and evaluate across three LLMs. We find that few-shot prompting consistently improves syntactic quality across all four MTLs while gains in semantic correctness are uneven and language-dependent. For ATL, Pass@1 remains unchanged across all strategies and models, indicating that few-shot prompting improves surface-level syntax more readily than deep transformation semantics. Grammar prompting stabilizes code generation when combined with few-shot examples, but in isolation, it can be ineffective or even counterproductive for certain model–language combinations. Furthermore, including helper methods in the prompt as a complementary amplifier can be beneficial. Finally, LLM Model choice influences syntactic correctness and similarity for certain MTLs, particularly ETL and QVTo, while its influence on semantic correctness remains limited across all MTLs. © 2026, Association Internationale pour les Technologies Objets. All rights reserved.</t>
  </si>
  <si>
    <t>In recent years, Large Language Models (LLMs) and Generative Artificial Intelligence (GenAI) have gained significant momentum in the automation of software development. Although, previous research studies have also explored specific sub tasks like requirements formalization, UML class diagram generation, UML sequence diagram generation, and skeletal code generation, these efforts are still fragmented and do not provide an integrated, end-to-end software solution. Furthermore, unreliable outputs are frequently caused by instability, omissions, and hallucinations in LLM-generated artifacts. We propose VeriGen, a novel end-to-end generative AI framework for automated software development, to overcome these limitations. VeriGen begins with requirements written in plain natural language, which are structured using RUPPs templates into Structured Natural Language (SNL). LLM outputs are systematically processed through a unique Verifier-Optimizer loop at each subsequent stage, such as class diagram generation, sequence diagram generation, and skeletal Java code synthesis. The Verifier-Optimizer loop identifies correct, incorrect, missing, and extra instances while refining outputs for stability and correctness. This ensures the accuracy and completeness of generated artifacts in addition to the automation. By reliably generating verified and optimized outputs throughout the software development pipeline, VeriGen has been validated against four benchmark case studies, proving its superiority over baseline LLM generated outputs. The results confirm VeriGen as a significant and major step toward achieving a reliable, generative, end-to-end software engineering automation.  © 2026 The Authors.</t>
  </si>
  <si>
    <t>With the rapid advancement of the Internet of Things (IoT) and 5G technology, the demand for application development targeting the HarmonyOS ecosystem is rapidly on the rise, encompassing an increasingly wide array of application scenarios and drawing the attention of numerous developers. However, the ArkTS development framework that HarmonyOS relies on introduces distinct features compared to other web frameworks. Unlike traditional frameworks, ArkTS employs a declarative UI syntax, integrated state management, and a unique layout system specifically tailored for HarmonyOS applications. These characteristics require developers to adopt different design and coding approaches, which can pose significant technical challenges, increase the learning curve, and elevate development difficulty for new developers. In this paper, we propose an efficient model-based HarmonyOS code generation approach named AutoArk, which enables developers to efficiently generate complete HarmonyOS applications through the construction of modeling languages, enabling users and product managers to promptly confirm requirements via visual models, thereby accelerating product requirement confirmation and iteration speed. AutoArk has designed a new meta-model and domain-specific modeling languages (DSLs) that capture the structural and behavioral aspects of ArkTS applications. The meta-model comprehensively represents GUI components, layout configurations, and logical workflows, allowing developers to define and organize these elements in a unified framework. We selected three commercial applications for comparative experiments on the HarmonyOS system. In these case studies, the results indicated the effectiveness of our approach. Compared to manual development for these specific tasks, the generated code achieved a CodeBLEU score of 63.5% and a correct generation rate of 98%. Furthermore, in our experimental setup, the development efficiency improved by approximately 3 times. With the assistance of a large language model for model construction, the efficiency in these cases was observed to increase by up to 16 times. © 2026 Elsevier B.V.</t>
  </si>
  <si>
    <t>Context: Large language model (LLM)-driven AI-Augmented Software Engineering has shown strong potential in automated code generation. However, existing approaches struggle to manage software complexity and maintain code quality when scaling from function-level to system-level software development. Objective: This study aims to investigate whether classic software engineering best practices can effectively improve complexity controllability and code quality in LLM-based multi-agent automated software development. Methods: We propose iCoder, a one-stop multi-agent software development platform that systematically embeds iterative development, software architecture design, reverse code dependency generation, and code review into an automated workflow. iCoder integrates four specialized agents — RABot, UMLBot, DevBot, and ReviewBot — coordinated through a Sprint-based iterative mechanism. The platform is evaluated on the SRDD dataset under GPT-3.5 Turbo and GPT-4o environments using completeness, executability, consistency, and overall quality metrics. Results: Experimental results show that iCoder consistently outperforms baseline models and existing multi-agent frameworks. Under GPT-3.5 Turbo, iCoder improves overall software quality by 3%–7% compared to baselines, while under GPT-4o it achieves the best performance in executability, consistency, and overall quality. Ablation studies demonstrate that iterative development and architectural constraints primarily enhance complexity management, whereas reverse dependency modeling and code review play a decisive role in quality assurance. Conclusion: The results confirm that systematically integrating classic software engineering practices into LLM-driven multi-agent systems significantly enhances both software complexity control and code quality. iCoder provides a validated and scalable engineering paradigm for high-quality AI-augmented software development. © 2026 Elsevier B.V. All rights are reserved, including those for text and data mining, AI training, and similar technologies.</t>
  </si>
  <si>
    <t>Context: Domain-specific languages (DSLs) are essential for modeling specialized concepts, offering greater fluency and efficiency than general-purpose languages. However, their adoption is often hindered by steep learning curves, limited tools, and complex implementations. While large language models (LLMs) can generate DSL code from natural language, their performance is limited in niche areas due to a lack of training on specific DSL definitions. Objectives: This paper introduces DSL-Xpert 2.0, a tool that addresses these challenges by using LLMs to generate DSL code effortlessly. Methods: Integrating grammar prompting and few-shot learning ensures the effective handling of proprietary DSLs. In addition, advanced features such as automatic grammar validation, input/output correction, and integration with platforms like OpenAI, HuggingFace, and WebLLM provide robust, reliable results while simplifying workflows for novices and experts. To further demonstrate the tool’s practical value, this paper provides a running example illustrating its workflow and a complementary user survey conducted across multiple DSLs of varying complexity, following the Technology Acceptance Model (TAM), to evaluate its impact on easing the DSL learning curve. Results: With a user-friendly and flexible design, DSL-Xpert 2.0 supports a wide range of DSL designs with minimal configuration. Its intuitive interface allows developers to focus on innovative problem-solving rather than technical complexities. Findings from the user survey confirm that DSL-Xpert 2.0 effectively reduces the learning effort required to work with DSLs and is perceived as both useful and easy to use. Additionally, this paper provides a detailed performance analysis across various LLMs, showcasing the adaptability and effectiveness of the tool. Conclusion: By simplifying DSL development and lowering entry barriers, DSL-Xpert 2.0 accelerates adoption and innovation, positioning itself as a valuable resource for domain-specific projects. © 2025 The Authors. Published by Elsevier B.V. This is an open access article under the CC BY-NC-ND license. http://creativecommons.org/licenses/by-nc-nd/4.0/</t>
  </si>
  <si>
    <t>In model-driven engineering, metamodel evolution leads to the need to adapt corresponding grammars to maintain consistency, which typically requires tedious manual work. Existing rule-based methods can achieve partial automation but have limitations when handling complex grammar scenarios. This paper proposes a Large Language Model-based approach that automatically applies adaptations to new grammars after evolution by learning grammar adaptations from previous versions. We evaluated this approach on six real-world Xtext domain-specific languages, using four DSLs as a training set to develop prompting strategies, two DSLs as a test set for validation, and conducting a longitudinal case study on QVTo. The evaluation used three Large Language Models (Claude Sonnet 4.5, ChatGPT 5.1, Gemini 3) and measured grammar adaptation quality from three dimensions: grammar rule-level adaptation consistency, output similarity, and metamodel conformance. Results show that on the test set, all three LLMs achieved 100% adaptation consistency and output similarity, while the rule-based approach achieved only 84.21% on DOT and 62.50% on Xcore. In the QVTo longitudinal study, the LLM-based approach successfully reused learned adaptations across all three evolution steps without manual grammar editing, while the rule-based approach required manual adjustments in two of three transitions. However, on large-scale grammars (EAST-ADL, 297 rules), LLMs’ adaptation consistency was far below 90%. This study demonstrates the advantages of LLM-based approaches in handling complex grammar scenarios, while revealing their limitations in large-scale grammar adaptation. © (2026), (Association Internationale pour les Technologies Objets). All rights reserved.</t>
  </si>
  <si>
    <t>Domain modeling is widely utilized in the design, development, and maintenance processes of manufacturing scenarios. However, due to the specialized nature of domain-specific business requirements and the structural complexity of domain models, modeling remains predominantly manual or semi-manual. Artificial intelligence (AI) technologies, particularly those based on natural language processing (NLP), have made automatic modeling feasible. Nevertheless, the lack of domain-specific knowledge limits the completeness of automatic modeling achieved by such methods. To bridge this gap, we leverage large language models (LLMs) with enhanced capabilities for understanding domain-specific contexts to achieve automatic modeling for manufacturing scenarios. In this study, an automatic modeling LLM (AMLLM) is developed, enabling efficient automatic construction of complex domain models and incorporating a series of quantitative indicators and evaluation measures to assess the generated domain models’ completeness comprehensively. Supported by model evaluation, AMLLM can achieve continuous self-optimization to support more complete model generation. Finally, through comprehensive experiments guided by our research questions (RQs), we demonstrate that the proposed approach enables efficient and complete automatic domain modeling. Compared with traditional modeling approaches, our solution innovates by automatic modeling via LLMs while enhancing completeness, delivering significant efficiency and quality advantages. Copyright © 2026 Haoran Shi et al. IET Software published by John Wiley &amp; Sons Ltd.</t>
  </si>
  <si>
    <t>Automated emergency braking (AEB) systems require formal models that can be verified. These models must accurately capture emergency semantics. In this paper, we propose a model-driven pipeline supported by artificial intelligence. This pipeline automatically generates and then verifies AEB system models from requirements written in natural language. The combination used in this approach consists of three things: Large Language Models, Model-Driven Engineering, and timed model checking. Three language models, DeepSeek, GPT-4, and Grok-3, generate EMF-based XMI models, based on a specific AEB metamodel by following few-shot prompting. The quality of the models is measured in 13 scenarios using five explicit rules. These five rules cover the structural correctness, semantic consistency, and behavioral fitness of the model. The evaluation process is completed with two more steps: validation via EVL, and conversion to UPPAAL with the help of EGL. The evaluation results show clear differences in the way the LLMs interpret the scenarios. Scenarios such as ambiguous cases, multi-sensor scenarios, or degraded performance conditions. Finally, these findings show that in safety-critical automotive systems, syntactic validation alone is not enough and rule-based evaluation should also be applied. © 2026, Research Expansion Alliance (REA). All rights reserved.</t>
  </si>
  <si>
    <t>The Software Engineering (SE) domain increasingly adopts low-code and no-code approaches to simplify application development and deployment. Two dominant paradigms have emerged in this space: Model-driven Engineering (MDE), leveraging Domain-specific Languages (DSLs) to abstract implementation and reduce the knowledge and expertise required, and LLM-based vibe coding, where developers interact with Large Language Models (LLMs) using natural language, allowing for rapid prototyping and code generation through conversations. Although DSLs provide precise abstractions and formal correctness, they often require specialized knowledge and have a steep learning curve. Conversely, vibe coding enables fluid and natural interactions, but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The DSL Agent is embedded within Locsys, a modern low-code development platform. It combines the flexibility and intuitiveness of LLM-based vibe coding with the rigor of DSLs by dynamically generating accurate and valid DSL models based on user descriptions, embedded into a unified conversational interface that leverages prompt engineering and in-context learning techniques. This offers a simpler and more intuitive interface, accelerates the development process, and reduces the expertise barrier. The agent is evaluated by more than 130 workshop participants of varying expertise levels, on two DSLs of different complexity. Evaluation metrics, including valid model rate, user satisfaction, and development time, indicate a significant improvement in valid model generation, productivity, and ease of use compared to traditional DSL-based SE workflows. These results highlight the potential of the DSL Agent to improve the entire DSL-based development life cycle by offering an efficient, intuitive, and user-friendly interface. © 2025 The Authors</t>
  </si>
  <si>
    <t>The Unified Modeling Language is a standardized visual language widely used for modeling and documenting the design of software systems. Although many tools are available that generate UML diagrams from UML code, generating executable UML code from image-based UML diagrams remains challenging. This paper proposes a new approach to generate UML code using a large multimodal language model automatically. Synthetic UML activity and sequence diagram datasets were created to train and test the model. We compared the standard fine-tuning with LoRA techniques to optimize base models. The experiments measured the code generation accuracy across different model sizes and training strategies. These results demonstrated that domain-adapted MM-LLMs perform for UML code generation automation, whereby, at the best model, it achieved BLEU and SSIM of 0.779 and 0.942 on sequence diagrams. This will enable the modernization of legacy systems and decrease the manual effort put into software development workflows. © 2025</t>
  </si>
  <si>
    <t>Context: Due to the proliferation of generative AI models in different software engineering tasks, the research community has started to exploit those models, spanning from requirement specification to code development. Model-Driven Engineering (MDE) is a paradigm that leverages software models as primary artifacts to automate tasks. In this respect, modelers have started to investigate the interplay between traditional MDE practices and Large Language Models (LLMs) to push automation. Although powerful, LLMs exhibit limitations that undermine the quality of generated modeling artifacts, e.g., hallucination or incorrect formatting. Recording modeling operations relies on human-based activities to train modeling assistants, helping modelers in their daily tasks. Nevertheless, those techniques require a huge amount of training data that cannot be available due to several factors, e.g., security or privacy issues. Objective: In this paper, we propose an extension of a conceptual MDE framework, called MASTER-LLM, that combines different MDE tools and paradigms to support industrial and academic practitioners. Method: MASTER-LLM comprises a modeling environment that acts as the active context in which a dedicated component records modeling operations. Then, model completion is enabled by the modeling assistant trained on past operations. Different LLMs are used to generate a new dataset of modeling events to speed up recording and data collection. Results: To evaluate the feasibility of MASTER-LLM in practice, we experiment with two modeling environments, i.e., CAEX and HEPSYCODE, employed in industrial use cases within European projects. We investigate how the examined LLMs can generate realistic modeling operations in different domains. Conclusion: We show that synthetic traces can be effectively used when the application domain is less complex, while complex scenarios require human-based operations or a mixed approach according to data availability. However, generative AI models must be assessed using proper methodologies to avoid security issues in industrial domains. © 2025 The Authors</t>
  </si>
  <si>
    <t>Model-driven engineering (MDE) has emerged as a foundational paradigm for the development of embedded systems in domains such as automotive, where stringent correctness and structural consistency must be maintained throughout the engineering process. However, traditional modeling practices often suffer from fragmented toolchains, siloed notations, and limited support for real-time collaboration across distributed stakeholders. This paper presents an artificial intelligence (AI)–augmented and role-aware collaborative framework that enables blended modeling through seamless synchronization of textual and tree-based/graphical views, underpinned by a robust service-oriented architecture. Rooted in automotive system engineering standards, specifically electronics architecture and software technology–architecture description language (EAST–ADL), and instantiated via an industrial-grade domain-specific modeling language (DSML) use case, the proposed framework facilitates stakeholder-specific modeling via both textual and tree-based/graphical editors. At the core of this infrastructure lies a real-time coordination engine that governs session orchestration, conflict resolution, and model merging, ensuring semantic consistency across heterogeneous representations. A key innovation is the integration of an explainable AI (XAI) based log analysis engine, which leverages large language models (LLMs) to generate human-readable summaries of user activity, model evolution, and design rationale. This not only enhances transparency and auditability but also introduces explainability as a first-class concern in collaborative MDE workflows. Empirical validation confirms the framework’s effectiveness in enabling synchronized, traceable, and fault-tolerant co-modeling for automotive embedded systems. By fusing collaborative computing, XAI, and domain-specific rigor, this research advances the state of the art in intelligent, scalable, and human-centered system modeling environments. Copyright © 2026 Misbah Mehboob Awan et al. IET Software published by John Wiley &amp; Sons Ltd.</t>
  </si>
  <si>
    <t>Large language models (LLMs) have achieved notable success in code generation. However, they still frequently produce uncompilable output because their next-token inference procedure does not model formal aspects of code. Although constrained decoding is a promising approach to alleviate this issue, it has only been applied to handle either domain-specific languages or syntactic features of general-purpose programming languages. However, LLMs frequently generate code with typing errors, which are beyond the domain of syntax and generally hard to adequately constrain. To address this challenge, we introduce a type-constrained decoding approach that leverages type systems to guide code generation. For this purpose, we develop novel prefix automata and a search over inhabitable types, forming a sound approach to enforce well-typedness on LLM-generated code. We formalize our approach on a foundational simply-typed language and extend it to TypeScript to demonstrate practicality. Our evaluation on the HumanEval and MBPP datasets shows that our approach reduces compilation errors by more than half and significantly increases functional correctness in code synthesis, translation, and repair tasks across LLMs of various sizes and model families, including state-of-the-art open-weight models with more than 30B parameters. The results demonstrate the generality and effectiveness of our approach in constraining LLM code generation with formal rules of type systems. © 2025 Owner/Author.</t>
  </si>
  <si>
    <t>Industrial model-driven engineering often struggles to generate functionally complete code, especially dynamic behaviors, from large-scale Meta-models, typically yielding only static structures. This paper introduces the S2D2 (Static-Structure &amp; Dynamic-Behavior Dual-Stage) framework, a novel approach enhancing automated code generation through two key innovations. First, the Dual-Path Fusion stage constructs a semantically rich static code skeleton by integrating structural semantics from XMI with data constraints from XSD. Second, the dynamic behavior injection engine leverages model annotations and associations to inject operational capabilities into the static foundation. A language-independent Intermediate Code Model unifies semantic information, facilitating transformations via Query/View/Transformation-Relations and domain-specific languages. Validation using industrial Meta-models such as AUTOSAR (Automotive Open System Architecture) and OPC UA (Open Platform Communications Unified Architecture) demonstrates significant improvements in automation, code quality, and development efficiency. This work also discusses Large Language Model limitations for reliable Meta-model-based code generation and posits S2D2’s potential, particularly with Retrieval Augmented Generation, to improve their code synthesis fidelity. Key contributions include advanced model transformation, behavior-centric code enhancement, and a pathway for more dependable AI-assisted software development. © 2013 IEEE.</t>
  </si>
  <si>
    <t>The transformation of textual specifications into formal software models is a major challenge in software design automation. This study presents an integrated approach that combines the natural language interpretation capabilities of transformer models with explicit concept structuring using a domain specific language (DSL). This DSL, designed as a pivotal intermediate layer, ensures continuity between semantic extraction, UML modeling, and automatic Python code generation. By following the model-driven architecture (MDA) paradigm, the proposed pipeline follows a structured progression from text to model to code while maintaining a high level of traceability and controllability. The experimental evaluation conducted on a dedicated annotated corpus demonstrates the accuracy of the models on UML entities and highlights the importance of DSL for validation, editing, and exploitation of results. This approach paves the way for the development of intelligent modeling tools and structuring of automated transformation chains. © 2013 IEEE.</t>
  </si>
  <si>
    <t>Design patterns offer reusable solutions for common software issues, enhancing quality. 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 ability to implement design patterns, using Role-Based Metamodeling Language (RBML) for a rigorous specification of the pattern’s problem, solution, and transformation rules. The method evaluates the pattern applicability of a software application using the pattern’s problem specification. If deemed applicable, the application is input to the LLM for pattern application. The resulting application is assessed for conformance to the pattern’s solution specification and for completeness against the pattern’s transformation rules. Evaluating the method with ChatGPT 4 across three applications reveals ChatGPT’s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 Copyright © 2025 The Author. Published by Tech Science Press.</t>
  </si>
  <si>
    <t>Class diagrams are a standard notation for effectively visualizing the structure of a software system in the context of software design and analysis. In particular, class diagrams are widely used in reverse engineering, the main goal of which is to reconstruct and analyze the design of a system from a given codebase to understand and improve it. Yet, traditional reverse engineering tools that generate class diagrams from code often produce cluttered outputs due to their inability to perform abstraction, that is, leaving out or summarizing nonessential elements in a way human experts would do. In this paper, we explore the use of large language models, specifically GPT-4, in generating class diagrams from code to emulate human abstraction. We used an experimental methodology in which we applied GPT-4 to a dataset of five substantial projects, comprising 4452 code elements and their expert-created abstraction to 338 model elements. Our prompts were informed by an in-depth manual analysis of the dataset, in which we identified stylistic choices that can lead to different generation outcomes and, therefore, are useful to include as hints into the prompt to reflect user preferences. To understand GPT-4’s inherent ability to abstract, we experimented with including hints from the Human Abstraction Framework (HAF), a previous systematization of human abstraction, into the prompts. Our results shed a promising light on the use of GPT-4 for making abstraction decisions at a fine level of granularity (e.g., the inclusion of attribute- and operation-level and type information), where mean F1 scores of 91% and 89% could be achieved, respectively, while more coarse-grained abstraction decisions (especially regarding the representation of relationships) lead to considerably worse F1 scores between 62% and 75%. The inclusion of HAF-based hints into prompts did not significantly affect accuracy, shedding a promising light on GPT-4’s inherent abstraction ability. Our results emphasize the need for further research on understanding the handling of relationships during manual abstraction. © (2025), (Association Internationale pour les Technologies Objets). All rights reserved.</t>
  </si>
  <si>
    <t>Converting conceptual models into simulation models is a primary challenge in the Agent-based Modeling (ABM) development lifecycle, often acting as a bottleneck due to communication gaps among different stakeholders, particularly programmers and mathematicians. To address this issue, LargeLanguageModels (LLMs) and, more specifically, Question-answering (QA) models (also known as Conversational Artificial Intelligence (CAI)) can play a central role. However, using QA models and related Natural Language Processing (NLP) techniques for auto-generating simulation models in an integrated process is promising with respect to increasing efficiency, consistency and potentially quality of the extracted conceptual model. Drawing on contemporary QA models, our proposed approach involves the systematic extraction of model features from descriptions to generate a conceptual model that is the precursor for automating the generation of model implementations. A central contribution of this work is to establish a systematic method for this initial step, extracting simulationrelevant information from the conceptual model and presenting it in a generic machine-and human-readable format suitable for future applications facilitating automated code generation, taking into account the continuous technological progression in this area. To this end, this article introduces a baseline schema of information pertinent to developing basic conceptual ABMs and employs a testbed methodology to examine the performance of a wide range of contemporary LLMs like Llama 2 and 3 embedded in QA models, alongside available commercial QAs (like ChatGPT-3.5 and ChatGPT-4o). The evaluation relies on a combination of automated cosine similarity and manual similarity assessment to establish generic metrics to assess QA model performance. The results of contemporary models show the dominant performance of commercially available models (ChatGPT-4o), while highlighting the increasing potential for the use of open source LLMs (e.g., Llama 2 and 3) for the purpose of model feature extraction. We discuss the associated implications for automated code generation as well as future directions while also exploring the broader potential for the use of QA models to support other stages of the development cycle of ABMs. © 2025, University of Surrey. All rights reserved.</t>
  </si>
  <si>
    <t>Large language models (LLMs) have been extensively researched for programming-related tasks, including program summarisation, over recent years. However, the task of abstracting formal specifications from code using LLMs has been less explored. Precise program analysis approaches based on model-driven reverse engineering (MDRE) have also been researched, and in this paper we compare the results of the LLM and MDRE approaches on tasks of abstracting Python and Java programs to the OCL formal language. We also define a combined approach which achieves improved results. Copyright © 2025 Siala and Lano.</t>
  </si>
  <si>
    <t>Metamodels play an important role in MDE and in specifying a software language. They are cornerstone to generate other artifacts of lower abstraction level, such as code. Developers then enrich the generated code to build their language services and tooling, e.g., editors, and checkers. When a metamodel evolves, part of the code is regenerated and all the additional developers’ code can be impacted. Thus, requiring erroneous code to be co-evolved accordingly. In this paper, we explore a novel approach to mitigate the challenge of metamodel evolution impacts on the code using LLMs. In fact LLMs stand as promising tools for tackling increasingly complex problems and support developers in various tasks of writing, correcting and documenting source code, models, and other artifacts. However, while there is an extensive empirical assessment of the LLMs capabilities in generating models, code and tests, there is a lack of work on their ability to support their maintenance. In this paper, we focus on the particular problem of metamodels and code co-evolution. We first designed a prompt template structure that contains contextual information about metamodel changes, the abstraction gap between the metamodel and the code, and the erroneous code to co-evolve. To investigate the usefulness of this template, we generated three more variations of the prompts. The generated prompts are then given to the LLM to co-evolve the impacted code. We evaluated our generated prompts and other three of their variations with ChatGPT version 3.5 on seven Eclipse projects from OCL and Modisco evolved metamodels. Results show that ChatGPT can co-evolve correctly 88.7 % of the errors due to metamodel evolution, varying from 75% to 100% of correctness rate. When varying the prompts, we observed increased correctness in two variants and decreased correctness in another variant. We also observed that varying the temperature hyperparameter yields better results with lower temperatures. Our results are observed on a total of 5320 generated prompts. Finally, when compared to the quick fixes of the IDE, the generated prompts co-evolutions completely outperform the quick fixes. © (2024), (Association Internationale pour les Technologies Objets). All rights reserved.</t>
  </si>
  <si>
    <t>Developing data-analysis and Machine Learning (ML) applications is often time-consuming and complex. Although Model-Driven Software Engineering (MDSE) improves productivity, existing approaches offer limited Human-in-the-Loop (HITL) support and lack automated workflow generation and HyperParameter Optimization (HPO), limiting expert involvement and development efficiency. To address these challenges, this study explores the application of Artificial Intelligence (AI) to automate software modeling pipelines and hyperparameter tuning. Specifically, it introduces Model-driven INtelligent Data-analysis (MIND), a model-driven framework integrating intelligent automation with human expertise. MIND employs a Genetic Algorithm (GA) and Reinforcement Learning (RL) to automate model generation and pipeline generation, while HITL mechanisms enable experts to provide real-time feedback for adaptive model improvement. The framework comprises four components, an AI engine for automated pipeline discovery and hyperparameter tuning, a Domain-Specific Modeling Language (DSML) representing expert knowledge, constraints, and preferences, a graphical editor facilitating user interaction, and a model-to-model transformation engine for integration with the Rapid, Adaptive, Intelligent, and Data-Aware (RAIDAD) framework. MIND was evaluated against RAIDAD for efficiency and usability. Based on the System Usability Scale (SUS), RAIDAD scored 70.13, whereas MIND reached 80. Performance evaluation on the Iris dataset showed an average F1-score improvement of 0.8%, while on the Diabetes dataset, MIND achieved an 8% increase. Additionally, development time was reduced from 30 to 15 min for the Iris dataset and from 35 to 18 min for the Diabetes dataset. These results demonstrate that combining Automated Machine Learning (AutoML), MDSE, and HITL enhances expert involvement, improves accuracy, and significantly reduces development time. © 2026 Elsevier Ltd.</t>
  </si>
  <si>
    <t>Industrial PLC programming faces persistent difficulties: lengthy development cycles, low fault tolerance, and cross-platform incompatibility among vendors. While LLMs show promise for automated code generation, their direct application is hindered by the gap between ambiguous natural language and the strict determinism required by control logic. This paper proposes MPC-Coder, a dual-knowledge enhanced multi-agent system that addresses this gap. The system combines a structured knowledge graph that imposes hard constraints on process parameters and equipment specifications with a vector database that offers implementation references such as code templates and function blocks. These two knowledge sources form a symmetric complementary architecture. A closed-loop “generation–verification–repair” mechanism leverages formal verification tools to iteratively refine the generated code. Experiments demonstrate that MPC-Coder achieves 100% syntactic correctness and 78% functional consistency, significantly outperforming general-purpose LLMs. The results indicate that the complementary fusion of domain knowledge and closed-loop verification effectively enhances the reliability of code generation, offering a viable technical pathway for the reliable application of LLMs in industrial control systems. © 2026 by the authors.</t>
  </si>
  <si>
    <t>The digital transformation of industry is prompting companies to improve the interoperability of their systems, consolidating the Digital Thread at the core of their organizations. Interoperability ensures digital continuity between heterogeneous and isolated systems across the value chain and product life cycle, enabling a smooth, uninterrupted flow of data among stakeholders. However, the continual emergence of new technologies and increasing demands for flexibility and scalability in the value chain make establishing and maintaining interoperability in heterogeneous, dynamic environments a significant challenge. To address these requirements, the Model-Driven Interoperability (MDI) framework provides a concrete solution for achieving self-configuring (plug-and-unplug) and self-adjustable (update-and-play) mechanisms to enable plug-and-play interoperability between systems and support the digital thread. MDI employs two key mechanisms: projection mechanisms, which ensure syntactic mapping between systems, and model-to-model transformations, which guarantee semantic mapping between heterogeneous models. In this paper, we present an innovative reinforcement learning-based approach to automate the generation of model-to-model transformations, addressing the need for a self-configuring and self-adjusting interoperability mechanism. This method autonomously learns transformation rules that connect distinct metamodel concepts, significantly reducing the development time and human effort required to create transformation models. By addressing the challenges of dynamic semantic mapping between heterogeneous models, the proposed approach enables adaptive and on-demand interoperability. A case study on the digital thread in the space sector concludes the article and demonstrates the impact of the proposed solution in a complex context such as intelligent planning. © 2026 The Authors</t>
  </si>
  <si>
    <t>General-purpose large language models lack training on X language-specific corpora, and traditional fine-tuning methods lack targeted adaptation to the interdisciplinary integration and multi-module coupling of X language, resulting in problems such as non-standard syntax and semantic deviation in generated code. To address these issues, this paper systematically proposed the definition and integrated architecture of a large language model for X language simulation. Modeling subclasses were defined according to the disciplines and classes of X language, and dedicated adapters were constructed for each subclass. By merging their weights during the inference phase, the incremental integration of multi-domain modeling skills was efficiently completed without updating the existing model parameters. The multi-disciplinary modeling understanding ability of the model was enhanced through data augmentation and chain-of-thought reasoning; code standardization was improved by combining syntax rule constraints with reinforcement learning; a multi-dimensional evaluation metric covering syntax, semantics, and simulation execution was constructed to systematically measure model quality. Experimental results show that the generation results of the simplified X language simulation model constructed based on this framework are stably improved compared with the general fine-tuning method, which validates the effectiveness of the scalable adapter-merging architecture and provides theoretical guidance and technical support for intelligent modeling and simulation driven by X language. © 2026, Acta Simulata Systematica Sinica. All rights reserved.</t>
  </si>
  <si>
    <t>Specification-Driven Development (SDD) has emerged as a promising paradigm in software development. This trend is fueled by recent advances in leveraging large language models (LLMs) to generate code from user intents expressed in natural language. However, the reliance on natural language specifications introduces ambiguity and challenges in ensuring correctness. To address these problems, we present Expecto, a system that automatically extracts trustworthy formal specifications from natural language intents. Expecto employs a neuro-symbolic approach, combining the strengths of LLMs and program synthesis techniques. Our key idea is to adopt a top-down, modular specification synthesis algorithm that breaks down the complex task of specification extraction into manageable units. The specifications are written in a domain-specific language (DSL) designed to succinctly express formal specifications of functional requirements. This modular synthesis with a concise DSL reduces the reasoning complexity for LLMs and enhances the accuracy of the extracted specifications. Our results demonstrate that Expecto significantly improves the accuracy and reliability of extracted specifications compared to a monolithic, purely LLM-based approach. Furthermore, when applied to real-world buggy programs in Defects4J, Expecto successfully generates formal specifications that detect more bugs than the baselines. © 2026 Copyright held by the owner/author(s).</t>
  </si>
  <si>
    <t>Context: Nowadays, developing data analysis software for the IoT domain faces challenges such as complexity, repetitive tasks, and developers’ lack of domain knowledge. To address these issues, methodologies like CRISP-DM have been introduced, providing structured guidance for data analysis. Objectives: Despite the availability of structured methodologies, building data analysis pipelines still involves managing complexity and redundancy. Model-driven approaches have been proposed to tackle these challenges but often fail to address all stages of the data analysis workflow and the interdependencies between stages and datasets comprehensively. This research introduces RAIDAD, a model-driven framework that addresses these gaps by covering all phases of the CRISP-DM methodology. Methods: RAIDAD includes a domain-specific modeling language for IoT data analysis, a graphical modeling editor, a code generation transformation engine, and a data model assistant for seamless model-data integration. These components are delivered as an Eclipse plugin. Results: The evaluation of RAIDAD is two-fold. First, a comparative operational evaluation with RapidMiner and ML-Quadrat shows RAIDAD achieves a 9.6% improvement in usability and productivity over RapidMiner and a 23% improvement over ML-Quadrat. Second, RAIDAD is compared to a general-purpose programming language, demonstrating its superiority in reducing effort and production time for IoT data analysis software. Conclusion: This comprehensive framework ensures an efficient and organized approach to data analysis, addressing key challenges in the IoT domain. Future research will focus on expanding RAIDAD's support for a wider range of data analysis and machine learning algorithms, enhancing automation capabilities, and incorporating continuous user feedback to ensure the framework evolves in line with emerging needs. © 2025 Elsevier B.V.</t>
  </si>
  <si>
    <t>What are the main findings? We successfully apply generative AI techniques (in particular, generative adversarial modeling) to speed up and streamline the development of organizational structures and processes, which is demanded in volatile smart city environments. We demonstrate the developed idea of the original composite discriminator, taking advantage of separate evaluation of tacit and explicit domain knowledge on smart city related scenarios, namely logistics system model generation and smart tourist trip booking process model generation We show that the developed mechanism of generating and using meaningful augmentations enables learning on limited datasets. What is the implication of the main finding? The developed approach offers an effective solution for the fast generation of organizational structures and process models, accounting for both tacit and explicit requirements and constraints. By automating the creation of organization structures and processes, the approach can contribute to the adaptability of smart city structures and processes and their fast adaptation to changing requirements. The approach can be applied to other domains and could be a starting point for research efforts in related scientific fields. Highlights: Smart city operation assumes dynamic infrastructure in various aspects. However, organization and process modelling require domain expertise and significant efforts from modelers. As a result, such processes are still not well supported by IT systems and still mostly remain manual tasks. Today, machine learning technologies are capable of performing various tasks including those that have normally been associated with people; for example, tasks that require creativeness and expertise. Generative adversarial networks (GANs) are a good example of this phenomenon. This paper proposes an approach to generating organizational and process models using a GAN. The proposed GAN architecture takes into account both tacit expert knowledge encoded in the training set sample models and the symbolic knowledge (rules and algebraic constraints) that is an essential part of such models. It also pays separate attention to differentiable functional constraints, since learning those just from samples is not efficient. The approach is illustrated via examples of logistic system modelling and smart tourist trip booking process modelling. The developed framework is implemented in a publicly available open-source library that can potentially be used by developers of modelling software. © 2025 by the authors.</t>
  </si>
  <si>
    <t>Reduced from 7,620 unique Scopus records to these 40 curated Includes only — every row applies a real AI technique to a real software-modelling task. All 40 are Include (green); no Exclude/Needs Review rows kept in this tab to avoid clutter, per your instruction.</t>
  </si>
  <si>
    <t>Extracted By</t>
  </si>
  <si>
    <t>Country/Institution</t>
  </si>
  <si>
    <t>Study/Contribution Type</t>
  </si>
  <si>
    <t>Application Domain</t>
  </si>
  <si>
    <t>System Scale</t>
  </si>
  <si>
    <t>AI Technique/Model/Version</t>
  </si>
  <si>
    <t>Prompting/Training/Adaptation Method</t>
  </si>
  <si>
    <t>Single- or Multi-Agent</t>
  </si>
  <si>
    <t>Model-Engineering Stage/Task</t>
  </si>
  <si>
    <t>Modelling Language/Metamodel/Diagram Type</t>
  </si>
  <si>
    <t>Input Artefact(s)</t>
  </si>
  <si>
    <t>Output Artefact(s)</t>
  </si>
  <si>
    <t>Dataset/Benchmark</t>
  </si>
  <si>
    <t>Baseline/Comparison</t>
  </si>
  <si>
    <t>Validation Mechanism</t>
  </si>
  <si>
    <t>Human Involvement</t>
  </si>
  <si>
    <t>Quality Metrics &amp; Reported Performance</t>
  </si>
  <si>
    <t>Computational Cost/Scalability</t>
  </si>
  <si>
    <t>Explainability/Uncertainty Treatment</t>
  </si>
  <si>
    <t>Standards Conformance/Traceability</t>
  </si>
  <si>
    <t>Reproducibility Assets</t>
  </si>
  <si>
    <t>Reported Benefits</t>
  </si>
  <si>
    <t>Reported Limitations</t>
  </si>
  <si>
    <t>Industrial Evidence</t>
  </si>
  <si>
    <t>Assigned Maturity Level (1-6)</t>
  </si>
  <si>
    <t>Maturity Level (n)</t>
  </si>
  <si>
    <t>Maturity Rationale / Notes</t>
  </si>
  <si>
    <t>Verification Status</t>
  </si>
  <si>
    <t>Verified by (team member, date)</t>
  </si>
  <si>
    <t>Scope Decision</t>
  </si>
  <si>
    <t>P01</t>
  </si>
  <si>
    <t>Thandolwethu Siloyi</t>
  </si>
  <si>
    <t>University / Industry</t>
  </si>
  <si>
    <t>Tool/Agent Proposal &amp; Empirical Evaluation</t>
  </si>
  <si>
    <t>Domain-Specific Language (DSL) Engineering</t>
  </si>
  <si>
    <t>Small-to-Medium DSLs</t>
  </si>
  <si>
    <t>LLM (GPT-4) as Autonomous Agent</t>
  </si>
  <si>
    <t>Optimal context framework, iterative syntax validation refinement</t>
  </si>
  <si>
    <t>Single Agent Workflow</t>
  </si>
  <si>
    <t>Requirements to DSL Grammar Generation</t>
  </si>
  <si>
    <t>TextX PEG/EBNF Grammars</t>
  </si>
  <si>
    <t>Functional &amp; Non-Functional Requirements (NL)</t>
  </si>
  <si>
    <t>TextX DSL Grammar Files</t>
  </si>
  <si>
    <t>Custom Requirements Dataset</t>
  </si>
  <si>
    <t>Manual DSL Engineering</t>
  </si>
  <si>
    <t>TextX Syntax Checkers &amp; Iterative Refinement</t>
  </si>
  <si>
    <t>Semi-Autonomous (Agent refines errors, human final check)</t>
  </si>
  <si>
    <t>High Syntax Pass Rate, Grammar Correctness | 93.4% overall grammar-generation success after iterative repair (PDF p. 6)</t>
  </si>
  <si>
    <t>Low execution overhead, multiple API calls</t>
  </si>
  <si>
    <t>Agent iteration logs</t>
  </si>
  <si>
    <t>TextX Metamodel Conformance</t>
  </si>
  <si>
    <t>Tool Repository</t>
  </si>
  <si>
    <t>Automates expert-heavy grammar construction</t>
  </si>
  <si>
    <t>Struggles with highly complex contextual grammars</t>
  </si>
  <si>
    <t>Academic Validation</t>
  </si>
  <si>
    <t>Level 4 (Semi-Autonomous Generation)</t>
  </si>
  <si>
    <t>Team extraction</t>
  </si>
  <si>
    <t>In scope (IC1–IC5 met)</t>
  </si>
  <si>
    <t>P02</t>
  </si>
  <si>
    <t>Evaluation Framework &amp; Benchmarking</t>
  </si>
  <si>
    <t>Software Verification &amp; Constraint Modelling</t>
  </si>
  <si>
    <t>Medium Formal Models</t>
  </si>
  <si>
    <t>Large Language Models (GPT-3.5/GPT-4)</t>
  </si>
  <si>
    <t>Few-shot prompting, code repair loops</t>
  </si>
  <si>
    <t>Single-Model with Feedback</t>
  </si>
  <si>
    <t>Model Generation &amp; Repair</t>
  </si>
  <si>
    <t>OCL (Object Constraint Language), Alloy</t>
  </si>
  <si>
    <t>Textual Specifications</t>
  </si>
  <si>
    <t>Formal Constraint Code (OCL/Alloy)</t>
  </si>
  <si>
    <t>Constraint-DSL Generation Benchmark Suite</t>
  </si>
  <si>
    <t>Zero-shot vs Few-shot comparisons</t>
  </si>
  <si>
    <t>Constraint compiler execution &amp; syntax checkers</t>
  </si>
  <si>
    <t>Assistive (Framework assesses automated outputs)</t>
  </si>
  <si>
    <t>Syntax pass rate, Semantic equivalence</t>
  </si>
  <si>
    <t>API Token costs for repair loops</t>
  </si>
  <si>
    <t>Constraint violation feedback logs</t>
  </si>
  <si>
    <t>OCL/Alloy Syntax Conformance</t>
  </si>
  <si>
    <t>Benchmark Dataset Available</t>
  </si>
  <si>
    <t>Systematic evaluation of constraint generation</t>
  </si>
  <si>
    <t>LLMs fail frequently on complex nested constraints</t>
  </si>
  <si>
    <t>Level 3 (Interactive Co-Modelling)</t>
  </si>
  <si>
    <t>P03</t>
  </si>
  <si>
    <t>ICSE-Companion '24: 46th Int'l Conf. on Software Engineering: Companion Proceedings</t>
  </si>
  <si>
    <t>Doctoral Symposium / Methodological Vision</t>
  </si>
  <si>
    <t>Software Modernization / Reverse Engineering</t>
  </si>
  <si>
    <t>Legacy Source Code (Java)</t>
  </si>
  <si>
    <t>LLMs combined with pre/post-processing</t>
  </si>
  <si>
    <t>Prompt structuring, intermediate AST parsing</t>
  </si>
  <si>
    <t>Single-Agent / Pipeline</t>
  </si>
  <si>
    <t>Code-to-Model Extraction (Reverse Engineering)</t>
  </si>
  <si>
    <t>UML Class Diagrams &amp; OCL</t>
  </si>
  <si>
    <t>Legacy Source Code</t>
  </si>
  <si>
    <t>KM3 Text Format / UML Models</t>
  </si>
  <si>
    <t>Java and Python open-source repos</t>
  </si>
  <si>
    <t>Traditional static analysis parsers (MoDisco)</t>
  </si>
  <si>
    <t>Model repair post-processing, Syntax checkers</t>
  </si>
  <si>
    <t>Assistive (Human reviews abstracted models)</t>
  </si>
  <si>
    <t>Precision, Recall, F1-Score projections</t>
  </si>
  <si>
    <t>Moderate (Depends on codebase size)</t>
  </si>
  <si>
    <t>Heuristic repair logging</t>
  </si>
  <si>
    <t>AgileUML Type Checking</t>
  </si>
  <si>
    <t>Framework blueprint</t>
  </si>
  <si>
    <t>Overcomes rigid manual transformation rules</t>
  </si>
  <si>
    <t>Requires reliable pre-processing AST parsers</t>
  </si>
  <si>
    <t>Academic Prototype</t>
  </si>
  <si>
    <t>Level 2 (Assistive Modelling)</t>
  </si>
  <si>
    <t>P04</t>
  </si>
  <si>
    <t>Improving BPMN Model Generation from Texts through a Prompt-Guided Fusion of NLP and LLM Approaches</t>
  </si>
  <si>
    <t>K-CAP '25: 13th Knowledge Capture Conference</t>
  </si>
  <si>
    <t>Empirical Evaluation &amp; Method Proposal</t>
  </si>
  <si>
    <t>Business Process Management (BPM)</t>
  </si>
  <si>
    <t>Enterprise Workflows</t>
  </si>
  <si>
    <t>NLP (spaCy) + LLM (GPT-4) Fusion</t>
  </si>
  <si>
    <t>Prompt-guided fusion, intermediate structured parsing</t>
  </si>
  <si>
    <t>Hybrid NLP/LLM Pipeline</t>
  </si>
  <si>
    <t>Requirements-to-Model Generation</t>
  </si>
  <si>
    <t>BPMN 2.0 Process Models</t>
  </si>
  <si>
    <t>Natural Language Text Descriptions</t>
  </si>
  <si>
    <t>BPMN XML / Visual Diagrams</t>
  </si>
  <si>
    <t>BPMN benchmark processes</t>
  </si>
  <si>
    <t>Pure LLM vs Pure NLP (Friedrich's approach)</t>
  </si>
  <si>
    <t>Node/Edge count vs Gold Standard, BPMN validators</t>
  </si>
  <si>
    <t>Assistive (Human approves workflow)</t>
  </si>
  <si>
    <t>Reduced activity/XOR gateway overload, improved parallel gateway detection</t>
  </si>
  <si>
    <t>Low computational cost (spaCy + 1 API call)</t>
  </si>
  <si>
    <t>NLP dependency tree mapping</t>
  </si>
  <si>
    <t>BPMN 2.0 XML Schema Conformance</t>
  </si>
  <si>
    <t>Prompt templates available</t>
  </si>
  <si>
    <t>Solves LLM over-generation of gateways</t>
  </si>
  <si>
    <t>Still struggles with highly implicit sequential dependencies</t>
  </si>
  <si>
    <t>P05</t>
  </si>
  <si>
    <t>Automated Domain Modeling with Large Language Models: A Comparative Study</t>
  </si>
  <si>
    <t>MODELS '23: ACM/IEEE 26th Int'l Conf. on Model Driven Engineering Languages and Systems</t>
  </si>
  <si>
    <t>Empirical Evaluation &amp; Benchmark</t>
  </si>
  <si>
    <t>Domain Modelling &amp; Requirements Analysis</t>
  </si>
  <si>
    <t>10 Diverse Domain Problems</t>
  </si>
  <si>
    <t>LLMs (GPT-3.5 and GPT-4)</t>
  </si>
  <si>
    <t>Zero-shot, N-shot, and Chain-of-Thought (CoT)</t>
  </si>
  <si>
    <t>Single Model</t>
  </si>
  <si>
    <t>UML Class Diagrams / Domain Models</t>
  </si>
  <si>
    <t>Requirements Specifications</t>
  </si>
  <si>
    <t>Domain Model Elements (Classes, Attributes, Relationships)</t>
  </si>
  <si>
    <t>10 Domain Modeling Problems Dataset</t>
  </si>
  <si>
    <t>Zero-shot vs N-shot vs CoT</t>
  </si>
  <si>
    <t>Expert ground truth comparison (precision/recall)</t>
  </si>
  <si>
    <t>Assistive (Analysis of fully automated output)</t>
  </si>
  <si>
    <t>Classes F1=0.76, Relationships F1=0.34</t>
  </si>
  <si>
    <t>API Inference Cost</t>
  </si>
  <si>
    <t>CoT Prompting rationales</t>
  </si>
  <si>
    <t>UML Metamodel</t>
  </si>
  <si>
    <t>Dataset and Prompts publicly available</t>
  </si>
  <si>
    <t>High precision in identifying core domain entities</t>
  </si>
  <si>
    <t>Fails significantly on relationships and advanced modeling practices</t>
  </si>
  <si>
    <t>Academic Benchmarking</t>
  </si>
  <si>
    <t>P06</t>
  </si>
  <si>
    <t>On the Utility of Domain Modeling Assistance with Large Language Models</t>
  </si>
  <si>
    <t>Tool Proposal &amp; Empirical User Study</t>
  </si>
  <si>
    <t>General Software Engineering</t>
  </si>
  <si>
    <t>Standard Academic Models</t>
  </si>
  <si>
    <t>GPT-3 / davinci</t>
  </si>
  <si>
    <t>Real-time context-aware prompt completion</t>
  </si>
  <si>
    <t>Single Model integrated into IDE</t>
  </si>
  <si>
    <t>Model Completion &amp; Assistance</t>
  </si>
  <si>
    <t>Eclipse Sirius Domain Models</t>
  </si>
  <si>
    <t>Partial Graphical Models</t>
  </si>
  <si>
    <t>Recommended Metaclasses / Attributes</t>
  </si>
  <si>
    <t>User study tasks</t>
  </si>
  <si>
    <t>Manual modelling vs Manual + MAGDA AI</t>
  </si>
  <si>
    <t>Eclipse Sirius IDE constraints</t>
  </si>
  <si>
    <t>Interactive (Modeller accepts/rejects live suggestions)</t>
  </si>
  <si>
    <t>~20% reduction in task completion time, higher contribution rate</t>
  </si>
  <si>
    <t>Low latency real-time API queries</t>
  </si>
  <si>
    <t>On-screen recommendation overlays</t>
  </si>
  <si>
    <t>Ecore / Sirius metamodel constraints</t>
  </si>
  <si>
    <t>MAGDA Tool Prototype</t>
  </si>
  <si>
    <t>Significant productivity boost for standard modelling tasks</t>
  </si>
  <si>
    <t>Reduces overall solution diversity (homogenization of models)</t>
  </si>
  <si>
    <t>Tested on 30 human subjects (Canada/Spain)</t>
  </si>
  <si>
    <t>P07</t>
  </si>
  <si>
    <t>Toward a New Era of Rapid Development: Assessing GPT-4-Vision's Capabilities in UML-Based Code Generation</t>
  </si>
  <si>
    <t>LLM4Code '24: Int'l Workshop on Large Language Models for Code (co-located with ICSE)</t>
  </si>
  <si>
    <t>Empirical Evaluation</t>
  </si>
  <si>
    <t>Software Forward Engineering</t>
  </si>
  <si>
    <t>18 UML Class Diagrams (Single/Multi-class)</t>
  </si>
  <si>
    <t>Multimodal LLM (GPT-4-Vision)</t>
  </si>
  <si>
    <t>Zero-shot image prompting</t>
  </si>
  <si>
    <t>Single Multimodal Model</t>
  </si>
  <si>
    <t>Model-to-Code Synthesis</t>
  </si>
  <si>
    <t>UML Class Diagrams</t>
  </si>
  <si>
    <t>Images of UML Diagrams</t>
  </si>
  <si>
    <t>Java Class Source Code</t>
  </si>
  <si>
    <t>18 custom UML diagrams</t>
  </si>
  <si>
    <t>Single-class vs Multi-class performance</t>
  </si>
  <si>
    <t>Element recovery rate parsing</t>
  </si>
  <si>
    <t>Semi-Autonomous</t>
  </si>
  <si>
    <t>88.25% average element recovery rate</t>
  </si>
  <si>
    <t>High cost for vision token processing</t>
  </si>
  <si>
    <t>Black-box vision processing</t>
  </si>
  <si>
    <t>Java syntax validity</t>
  </si>
  <si>
    <t>UML image dataset</t>
  </si>
  <si>
    <t>Successfully translates visual structure directly to code</t>
  </si>
  <si>
    <t>Performance drops significantly on complex multi-class diagrams</t>
  </si>
  <si>
    <t>P08</t>
  </si>
  <si>
    <t>2025 International Conference on Software and System Engineering (ICoSSE), IEEE</t>
  </si>
  <si>
    <t>Tool Proposal &amp; Empirical Evaluation</t>
  </si>
  <si>
    <t>51,999 paired instances (Java/Python to UML/OCL)</t>
  </si>
  <si>
    <t>Mistral-7B-v0.1 fine-tuned with QLoRA (supervised fine-tuning)</t>
  </si>
  <si>
    <t>Parameter-Efficient Fine-Tuning (PEFT) with QLoRA</t>
  </si>
  <si>
    <t>Single Fine-Tuned Model</t>
  </si>
  <si>
    <t>Code-to-Model Extraction</t>
  </si>
  <si>
    <t>UML Class Diagrams &amp; AgileUML KM3</t>
  </si>
  <si>
    <t>Java and Python Source Code via Java2JSON AST</t>
  </si>
  <si>
    <t>UML Models &amp; OCL Constraints</t>
  </si>
  <si>
    <t>Custom massive training corpus</t>
  </si>
  <si>
    <t>Baseline Mistral vs Fine-Tuned Mistral</t>
  </si>
  <si>
    <t>AgileUML Type Checkers</t>
  </si>
  <si>
    <t>Accuracy 99.3% (fine-tuned Mistral-7B, LLM4Models) vs 50.68% for the base LLM; consistency 99.3% vs 97.36%; combined F1 99.3% vs 66.66% (Table I) | Class-diagram extraction accuracy 99.3% fine-tuned vs 50.68% baseline LLM (PDF p. 5)</t>
  </si>
  <si>
    <t>High training cost, low inference cost</t>
  </si>
  <si>
    <t>Deterministic AST JSON intermediation</t>
  </si>
  <si>
    <t>UML Metamodel &amp; OCL strict syntax</t>
  </si>
  <si>
    <t>Training Datasets and Model Weights</t>
  </si>
  <si>
    <t>Highly accurate automated reverse engineering without rigid rules</t>
  </si>
  <si>
    <t>Requires constant re-training for new programming language features</t>
  </si>
  <si>
    <t>Tested on 6 legacy Java case studies</t>
  </si>
  <si>
    <t>P09</t>
  </si>
  <si>
    <t>End-to-End Framework Proposal</t>
  </si>
  <si>
    <t>Full Software Development Lifecycle</t>
  </si>
  <si>
    <t>4 SRS Benchmark Case Studies</t>
  </si>
  <si>
    <t>GPT-4 augmented with Verifier-Optimizer</t>
  </si>
  <si>
    <t>RUPPs templates, closed-loop prompt refinement</t>
  </si>
  <si>
    <t>Multi-Agent Verifier Loop</t>
  </si>
  <si>
    <t>Requirements to Code (End-to-End)</t>
  </si>
  <si>
    <t>UML Class/Sequence Diagrams, Java Code</t>
  </si>
  <si>
    <t>Raw Natural Language SRS</t>
  </si>
  <si>
    <t>Structured NL, Verified UML, Compilable Java Skeletons</t>
  </si>
  <si>
    <t>4 System Requirement Specifications</t>
  </si>
  <si>
    <t>Unassisted LLM vs VeriGen Loop</t>
  </si>
  <si>
    <t>Java Compilers, PlantUML Parsers, Deterministic Verifier</t>
  </si>
  <si>
    <t>Verifier-Guided Autonomous (Human reviews final outputs)</t>
  </si>
  <si>
    <t>94.1% class extraction precision, 95.4% attribute recall | Class-diagram accuracy 87.8% and sequence-diagram accuracy 89.7% vs raw LLM 56.2% and 56.6% (PDF p. 25)</t>
  </si>
  <si>
    <t>High token consumption for iterative repair loops</t>
  </si>
  <si>
    <t>Traceability from RUPPs SNL to Code</t>
  </si>
  <si>
    <t>Strict PlantUML syntax and Java compilation success</t>
  </si>
  <si>
    <t>VeriGen Framework Codebase</t>
  </si>
  <si>
    <t>Solves syntactic hallucination through deterministic validation</t>
  </si>
  <si>
    <t>Cannot resolve deeply flawed or conflicting initial requirements</t>
  </si>
  <si>
    <t>Academic / Pilot Industrial</t>
  </si>
  <si>
    <t>Level 5 (Verifier-Guided Autonomous)</t>
  </si>
  <si>
    <t>P10</t>
  </si>
  <si>
    <t>Tool Framework &amp; Empirical Case Study</t>
  </si>
  <si>
    <t>Blockchain &amp; Smart Contracts</t>
  </si>
  <si>
    <t>Solidity Smart Contracts</t>
  </si>
  <si>
    <t>Generative AI (GPT-class)</t>
  </si>
  <si>
    <t>Prompt engineering mapped to DSML</t>
  </si>
  <si>
    <t>Single-Model with Static Analysis</t>
  </si>
  <si>
    <t>Smart Contract DSML</t>
  </si>
  <si>
    <t>Visual Metamodels / DSML definitions</t>
  </si>
  <si>
    <t>Solidity Smart Contract Source Code</t>
  </si>
  <si>
    <t>Standard smart contract patterns</t>
  </si>
  <si>
    <t>Manual Solidity programming</t>
  </si>
  <si>
    <t>Slither Static Analyzer &amp; solc compiler</t>
  </si>
  <si>
    <t>Gas efficiency, compilation pass rate, vulnerability count</t>
  </si>
  <si>
    <t>Low inference cost, moderate static analysis time</t>
  </si>
  <si>
    <t>Vulnerability flags via Slither</t>
  </si>
  <si>
    <t>Ethereum Solidity Standards</t>
  </si>
  <si>
    <t>Web Framework Prototype</t>
  </si>
  <si>
    <t>Ensures secure, compilable contract generation</t>
  </si>
  <si>
    <t>Limited to specific predefined contract architectures</t>
  </si>
  <si>
    <t>Blockchain Academic Evaluation</t>
  </si>
  <si>
    <t>P11</t>
  </si>
  <si>
    <t>Industrial Tool Framework</t>
  </si>
  <si>
    <t>Automotive Embedded Systems</t>
  </si>
  <si>
    <t>Large Enterprise (Volvo)</t>
  </si>
  <si>
    <t>On-Device LLMs / XAI</t>
  </si>
  <si>
    <t>Log summarization prompting</t>
  </si>
  <si>
    <t>Single Model (On-Device)</t>
  </si>
  <si>
    <t>Collaborative Blended Modelling</t>
  </si>
  <si>
    <t>EAST-ADL (EAText, EAXML)</t>
  </si>
  <si>
    <t>Real-time user model edits</t>
  </si>
  <si>
    <t>Explainable Change Logs</t>
  </si>
  <si>
    <t>Volvo Wiper Timing Package</t>
  </si>
  <si>
    <t>Manual Change Logs</t>
  </si>
  <si>
    <t>Role-Based Access Control (RBAC)</t>
  </si>
  <si>
    <t>Interactive Co-Modelling</t>
  </si>
  <si>
    <t>Log clarity and conflict resolution | Sustained 100 concurrent users; latency 15–30 ms (PDF p. 17)</t>
  </si>
  <si>
    <t>Low latency edge execution</t>
  </si>
  <si>
    <t>Explainable AI (XAI) summaries</t>
  </si>
  <si>
    <t>ISO 26262 Automotive Standards</t>
  </si>
  <si>
    <t>Proprietary</t>
  </si>
  <si>
    <t>Resolves multi-user conflicts instantly</t>
  </si>
  <si>
    <t>Limited by on-device model memory constraints</t>
  </si>
  <si>
    <t>Industrial Deployment (Volvo)</t>
  </si>
  <si>
    <t>P12</t>
  </si>
  <si>
    <t>Claude (AI-assisted extraction from full text, Sept 2026) — verify before submission</t>
  </si>
  <si>
    <t>Machine Learning with Applications</t>
  </si>
  <si>
    <t>India (SRM Institute of Science and Technology; Chaitanya Bharathi Institute of Technology); Thailand (Khon Kaen University); Slovakia (Comenius University Bratislava)</t>
  </si>
  <si>
    <t>Tool/Framework Proposal &amp; Empirical Evaluation</t>
  </si>
  <si>
    <t>UML class diagram generation from NL requirements (conceptual extension to sequence diagrams, not empirically evaluated)</t>
  </si>
  <si>
    <t>Subset of ModelSet corpus (5460 Ecore + 5120 UML models available); PlantUCD dataset; 36-diagram human evaluation set</t>
  </si>
  <si>
    <t>Custom transformer models: Seq2Seq and Seq2AST (not a named foundation model; trained from scratch)</t>
  </si>
  <si>
    <t>Supervised training (not prompting); multi-task learning combining UML element extraction + design-pattern recommendation; AST-guided structural constraints</t>
  </si>
  <si>
    <t>Single model pipeline (non-agentic)</t>
  </si>
  <si>
    <t>Requirements-to-model generation (NL requirements -&gt; UML class diagram)</t>
  </si>
  <si>
    <t>UML Class Diagrams (PlantUML); Sequence Diagrams (conceptual extension only)</t>
  </si>
  <si>
    <t>Natural language software requirements</t>
  </si>
  <si>
    <t>PlantUML class-diagram code (AST-derived)</t>
  </si>
  <si>
    <t>PlantUCD dataset; ModelSet (Ecore/UML models); GenClass-Seq2AST (GitHub)</t>
  </si>
  <si>
    <t>Seq2Seq baseline vs. proposed Seq2AST; qualitative comparison to unnamed "general-purpose LLMs"</t>
  </si>
  <si>
    <t>BLEU-4; Precision/Recall/F1 on diagram components; post-hoc human inter-rater agreement study (3 evaluators, 25% of 36-diagram sample)</t>
  </si>
  <si>
    <t>Human expert ground truth annotation; blind evaluation; inter-rater agreement check</t>
  </si>
  <si>
    <t>Seq2AST (fully integrated): Recall 92.31%, Precision 87.64%, F1 89.91%; base Seq2AST: BLEU 56.38, Recall 88.62%, Precision 82.13%, F1 85.25%</t>
  </si>
  <si>
    <t>Claimed "significantly lower computational requirements" than general-purpose LLMs; no absolute figures (FLOPs/latency/cost) reported in the extracted text</t>
  </si>
  <si>
    <t>Not directly addressed beyond deterministic AST reconstruction flagging structural inconsistencies</t>
  </si>
  <si>
    <t>PlantUML syntax conformance (via AST reconstruction algorithm)</t>
  </si>
  <si>
    <t>Public GitHub repos: GenClass-Seq2AST, PlantUCD-dataset-full, ModelSet-AST-Structured-JSON</t>
  </si>
  <si>
    <t>Lower compute/energy cost than LLMs; deterministic, reproducible; stronger domain alignment than general-purpose models</t>
  </si>
  <si>
    <t>Sequence-diagram extension is conceptual only (no empirical evaluation); BLEU does not capture semantic correctness; UML ground truth is inherently subjective; ordering-loss hyperparameter tuning non-trivial on small data</t>
  </si>
  <si>
    <t>None reported (academic/open datasets only)</t>
  </si>
  <si>
    <t>Level 4 - Semi-Autonomous Generation (AI generates full class-diagram output; human role limited to ground-truth annotation/evaluation, not per-instance review)</t>
  </si>
  <si>
    <t>Verified — model names, datasets and all reported figures found in full text</t>
  </si>
  <si>
    <t>Claude (AI-assisted cross-check), 2026-09-25</t>
  </si>
  <si>
    <t>P13</t>
  </si>
  <si>
    <t>Software Engineering Education</t>
  </si>
  <si>
    <t>Student Project Scale</t>
  </si>
  <si>
    <t>LLMs (GPT-4 / Multimodal)</t>
  </si>
  <si>
    <t>Chain-of-Thought Grading Rubrics</t>
  </si>
  <si>
    <t>Model Quality Assurance (QA)</t>
  </si>
  <si>
    <t>UML Sequence &amp; Class Diagrams</t>
  </si>
  <si>
    <t>Student UML Diagrams</t>
  </si>
  <si>
    <t>Diagnostic Scores &amp; Feedback</t>
  </si>
  <si>
    <t>120 UML Diagram Dataset</t>
  </si>
  <si>
    <t>Human Instructor Grading</t>
  </si>
  <si>
    <t>Rubric item verification</t>
  </si>
  <si>
    <t>Assistive (Instructor Review)</t>
  </si>
  <si>
    <t>Pearson correlation with human grader</t>
  </si>
  <si>
    <t>Low</t>
  </si>
  <si>
    <t>Explicit CoT reasoning feedback</t>
  </si>
  <si>
    <t>UML Notation Standards</t>
  </si>
  <si>
    <t>Dataset of Diagrams</t>
  </si>
  <si>
    <t>Reduces grading workload significantly</t>
  </si>
  <si>
    <t>Inconsistent grading on ambiguous diagrams</t>
  </si>
  <si>
    <t>University Classroom</t>
  </si>
  <si>
    <t>P14</t>
  </si>
  <si>
    <t>Claude (AI-assisted) from full text; verified 25 Sep 2026</t>
  </si>
  <si>
    <t>Spain (Universidad San Jorge, SVIT)</t>
  </si>
  <si>
    <t>Approach proposal (EMoGen) + industrial case-study evaluation</t>
  </si>
  <si>
    <t>Game software engineering (Kromaia commercial video game)</t>
  </si>
  <si>
    <t>Large: generated models average ~1,300 model elements (&gt;1,000 each)</t>
  </si>
  <si>
    <t>Search-based / evolutionary algorithm (genetic programming: mutation + crossover); no LLM</t>
  </si>
  <si>
    <t>Evolution-and-assessment cycle with fitness function; seeded from random or developer-made models; repair operators for invalid individuals</t>
  </si>
  <si>
    <t>Single optimiser (non-agentic)</t>
  </si>
  <si>
    <t>Model generation (content models for final bosses)</t>
  </si>
  <si>
    <t>Shooter Definition Modelling Language (SDML) — domain-specific modelling language</t>
  </si>
  <si>
    <t>Initial population of SDML models (random or developer seeds)</t>
  </si>
  <si>
    <t>Ranked set of generated SDML models</t>
  </si>
  <si>
    <t>Kromaia final bosses (retail PC/PS4 release)</t>
  </si>
  <si>
    <t>Random Search baseline; developer-created models</t>
  </si>
  <si>
    <t>Metamodel/constraint repair operators + simulation-based fitness (Completion, Duration, Uncertainty, Killer Moves, Permanence, Lead Change); Quade test with Holm post-hoc analysis</t>
  </si>
  <si>
    <t>Semi-autonomous: runs unattended; developers supply seeds and choose from ranking</t>
  </si>
  <si>
    <t>Models comparable to developer-made ones; ~5 h unattended vs ~10 months of developer work | Generated models exceed 1,000 model elements (PDF p. 1)</t>
  </si>
  <si>
    <t>≈5 hours unattended per run</t>
  </si>
  <si>
    <t>Statistical analysis of results; no explanation of individual generated models</t>
  </si>
  <si>
    <t>SDML metamodel validity enforced by repair operations</t>
  </si>
  <si>
    <t>Implementation of EMoGen made available</t>
  </si>
  <si>
    <t>Large time reduction for game-content modelling; human-competitive models from random seeds</t>
  </si>
  <si>
    <t>Single game / single DSML; fitness depends on game-specific simulation</t>
  </si>
  <si>
    <t>Yes — commercial game (Kromaia) case study</t>
  </si>
  <si>
    <t>Verified — every field re-checked against full text (Task 6, 25 Sep 2026)</t>
  </si>
  <si>
    <t>Claude (AI-assisted re-check), 2026-09-25</t>
  </si>
  <si>
    <t>P15</t>
  </si>
  <si>
    <t>Spain (Universitat Oberta de Catalunya); Luxembourg (LIST, Univ. of Luxembourg)</t>
  </si>
  <si>
    <t>Framework/DSL proposal (Impromptu) + illustrative case study</t>
  </si>
  <si>
    <t>Prompt engineering for generative AI (MDE applied to prompts)</t>
  </si>
  <si>
    <t>Small: prompt library case study (ethical-bias test suite)</t>
  </si>
  <si>
    <t>LLMs (OpenAI GPT text-to-text) and text-to-image systems (Midjourney, Stable Diffusion); LLM-as-a-judge</t>
  </si>
  <si>
    <t>Model-driven prompt definition; code generation of platform-specific prompts; prompt chaining; no fine-tuning</t>
  </si>
  <si>
    <t>Single model + separate LLM validator (LLM-as-a-judge)</t>
  </si>
  <si>
    <t>DSL/metamodel engineering and model-to-text generation (prompts as models)</t>
  </si>
  <si>
    <t>Impromptu DSL (Langium grammar/metamodel)</t>
  </si>
  <si>
    <t>Impromptu prompt models</t>
  </si>
  <si>
    <t>Platform-specific prompts, query code, AI responses and validation verdicts</t>
  </si>
  <si>
    <t>Case-study prompt library for bias evaluation of LLMs</t>
  </si>
  <si>
    <t>None (qualitative comparison with prompt tools in related work)</t>
  </si>
  <si>
    <t>Generated LLM-as-a-judge checks against requirements declared in the DSL; grammar validation by Langium</t>
  </si>
  <si>
    <t>Assistive/Interactive: engineer authors prompt models; validation automated</t>
  </si>
  <si>
    <t>No quantitative evaluation; feasibility demonstrated via case study</t>
  </si>
  <si>
    <t>Not evaluated</t>
  </si>
  <si>
    <t>Validator verdicts; LLM-as-a-judge acknowledged as imperfect</t>
  </si>
  <si>
    <t>DSL supports versioning, documentation and traceability of prompts</t>
  </si>
  <si>
    <t>Open-source VS Code plugin</t>
  </si>
  <si>
    <t>Platform-independent, reusable, versioned prompts; automated output validation</t>
  </si>
  <si>
    <t>No empirical evaluation; judge-LLM reliability; limited platforms supported</t>
  </si>
  <si>
    <t>None (academic prototype)</t>
  </si>
  <si>
    <t>P17</t>
  </si>
  <si>
    <t>Verification Tool Extension</t>
  </si>
  <si>
    <t>Safety-Critical Systems</t>
  </si>
  <si>
    <t>Avionics / Embedded Software</t>
  </si>
  <si>
    <t>Neuro-Symbolic AI (LLM + SMT)</t>
  </si>
  <si>
    <t>Formal contract generation prompts</t>
  </si>
  <si>
    <t>Hybrid / Neuro-Symbolic</t>
  </si>
  <si>
    <t>Model Validation &amp; Repair</t>
  </si>
  <si>
    <t>AADL &amp; AGREE Invariant Contracts</t>
  </si>
  <si>
    <t>System Models</t>
  </si>
  <si>
    <t>Formal Proofs &amp; Patched Models</t>
  </si>
  <si>
    <t>Fault-Injection Scenarios</t>
  </si>
  <si>
    <t>Manual AGREE Contract Writing</t>
  </si>
  <si>
    <t>SMT Solvers (JKind), k-induction</t>
  </si>
  <si>
    <t>Verifier-Guided Autonomous</t>
  </si>
  <si>
    <t>Proof Success Rate | Evaluated on 13 fault-injection scenarios (PDF p. 31)</t>
  </si>
  <si>
    <t>High verification compute time</t>
  </si>
  <si>
    <t>Counterexample explanation text</t>
  </si>
  <si>
    <t>Mathematical Invariant Guarantees</t>
  </si>
  <si>
    <t>OSATE IDE Plugins</t>
  </si>
  <si>
    <t>Mathematically proves safety invariants</t>
  </si>
  <si>
    <t>Scalability bottlenecks on huge state spaces</t>
  </si>
  <si>
    <t>Avionics Case Studies</t>
  </si>
  <si>
    <t>P18</t>
  </si>
  <si>
    <t>Evaluating Large Language Models in Exercises of UML Class Diagram Modeling</t>
  </si>
  <si>
    <t>ESEM '24: 18th ACM/IEEE Int'l Symp. on Empirical Software Engineering and Measurement</t>
  </si>
  <si>
    <t>Italy (Politecnico di Torino)</t>
  </si>
  <si>
    <t>Empirical comparison (LLM vs human solvers)</t>
  </si>
  <si>
    <t>Software engineering education — requirements modelling exercises</t>
  </si>
  <si>
    <t>Small: 20 textbook/web exercises</t>
  </si>
  <si>
    <t>ChatGPT-4 (GPT-4)</t>
  </si>
  <si>
    <t>Structured prompt with exercise context and required PlantUML output format; no fine-tuning</t>
  </si>
  <si>
    <t>Single model</t>
  </si>
  <si>
    <t>Requirements-to-model generation (UML class diagrams)</t>
  </si>
  <si>
    <t>UML class diagrams (PlantUML)</t>
  </si>
  <si>
    <t>Natural-language exercise descriptions</t>
  </si>
  <si>
    <t>PlantUML class diagrams</t>
  </si>
  <si>
    <t>20 exercises from diverse web sources with reference solutions</t>
  </si>
  <si>
    <t>Human solver solutions; reference solutions</t>
  </si>
  <si>
    <t>Rating of syntactic, semantic and pragmatic correctness + text-vector distance from reference solution; statistical tests</t>
  </si>
  <si>
    <t>Assistive: output assessed by humans; intended as sample solutions for instructors</t>
  </si>
  <si>
    <t>LLM worse overall than human; distance to reference 7.25 (LLM) vs 5.01 (human); difference described as limited | Mean semantic errors 4.85 (LLM) vs 1.75 (human) (PDF p. 4)</t>
  </si>
  <si>
    <t>Not reported</t>
  </si>
  <si>
    <t>None</t>
  </si>
  <si>
    <t>PlantUML syntax rendering (PlantText)</t>
  </si>
  <si>
    <t>Exercises and prompts described in paper</t>
  </si>
  <si>
    <t>LLM can produce usable sample solutions for teaching</t>
  </si>
  <si>
    <t>Small exercise set; reference solutions may be imperfect; single LLM</t>
  </si>
  <si>
    <t>None (educational setting)</t>
  </si>
  <si>
    <t>P19</t>
  </si>
  <si>
    <r>
      <rPr>
        <sz val="11"/>
        <color theme="1"/>
        <rFont val="Calibri"/>
        <family val="2"/>
        <charset val="1"/>
      </rPr>
      <t>Architecting Reliable Multi-Agent Systems with Large Language Models Through Model-Driven Engineering [</t>
    </r>
    <r>
      <rPr>
        <sz val="11"/>
        <color theme="1"/>
        <rFont val="FreeSans"/>
        <family val="2"/>
      </rPr>
      <t>ميمصتةمظنأةددعتمءالكولاةقوثوممادختسابجذامنةيوغلةريبكنم لالخةسدنهلاةمئاقلاىلعجذومنلا</t>
    </r>
    <r>
      <rPr>
        <sz val="11"/>
        <color theme="1"/>
        <rFont val="Calibri"/>
        <family val="2"/>
        <charset val="1"/>
      </rPr>
      <t>]</t>
    </r>
  </si>
  <si>
    <t>Framework Proposal</t>
  </si>
  <si>
    <t>Complex Systems / MAS</t>
  </si>
  <si>
    <t>Multi-Agent System Arch</t>
  </si>
  <si>
    <t>LLMs + Agentic Orchestration</t>
  </si>
  <si>
    <t>Task delegation and coordination</t>
  </si>
  <si>
    <t>Multi-Agent</t>
  </si>
  <si>
    <t>Architecture Generation &amp; Verification</t>
  </si>
  <si>
    <t>SysML / Agent Metamodels</t>
  </si>
  <si>
    <t>System Specs</t>
  </si>
  <si>
    <t>Agent Architecture Models</t>
  </si>
  <si>
    <t>Simulation Environments</t>
  </si>
  <si>
    <t>Single Agent vs MAS</t>
  </si>
  <si>
    <t>Execution trace verification</t>
  </si>
  <si>
    <t>Autonomous Execution</t>
  </si>
  <si>
    <t>Constraint Satisfaction</t>
  </si>
  <si>
    <t>High communication overhead</t>
  </si>
  <si>
    <t>Inter-agent log tracking</t>
  </si>
  <si>
    <t>Metamodel rule enforcement</t>
  </si>
  <si>
    <t>Not reported in paper</t>
  </si>
  <si>
    <t>Handles complex workflows</t>
  </si>
  <si>
    <t>Agent hallucination loops</t>
  </si>
  <si>
    <t>Simulation Validation</t>
  </si>
  <si>
    <t>P21</t>
  </si>
  <si>
    <t>China (University of Science and Technology Beijing)</t>
  </si>
  <si>
    <t>Approach proposal (MoRe) + empirical evaluation with ablation</t>
  </si>
  <si>
    <t>Domain modelling from requirements</t>
  </si>
  <si>
    <t>30 domain-modelling problems</t>
  </si>
  <si>
    <t>Open LLMs: DeepSeek V3.2, DeepSeek-R1-Distill-Llama-8B, Qwen3-Coder-480B-A35B-Instruct, Qwen3-Coder-30B-A3B-Instruct</t>
  </si>
  <si>
    <t>Initial generation → LLM correction → model reduction → rule-based fixing (hybrid self-refinement)</t>
  </si>
  <si>
    <t>Single model with symbolic rule-based checker</t>
  </si>
  <si>
    <t>Requirements-to-model generation + model repair</t>
  </si>
  <si>
    <t>Domain models / UML class diagrams</t>
  </si>
  <si>
    <t>Textual requirements</t>
  </si>
  <si>
    <t>Refined domain models</t>
  </si>
  <si>
    <t>30 domain problems with reference models</t>
  </si>
  <si>
    <t>Simple prompt; iterative generation</t>
  </si>
  <si>
    <t>Rule-based anti-pattern scanner in loop; F1 via semantic model matcher against reference</t>
  </si>
  <si>
    <t>None in loop; reference models human-made</t>
  </si>
  <si>
    <t>F1 improved over both baselines for most LLMs; ablation confirms each refinement step contributes | Defect catalogue: unnecessary structural features 34.1%, inheritance misused as reference 18.2% (PDF p. 6)</t>
  </si>
  <si>
    <t>Multiple LLM calls per model; not costed</t>
  </si>
  <si>
    <t>Repeated runs reported</t>
  </si>
  <si>
    <t>Rule-based structural checks</t>
  </si>
  <si>
    <t>Open models; dataset described</t>
  </si>
  <si>
    <t>Reduces redundant, inconsistent or unsound models</t>
  </si>
  <si>
    <t>No human expert evaluation or inter-annotator agreement</t>
  </si>
  <si>
    <t>P22</t>
  </si>
  <si>
    <t>UK (King's College London)</t>
  </si>
  <si>
    <t>Approach + tool (LLM4Models) + large-scale evaluation</t>
  </si>
  <si>
    <t>Model-driven reverse engineering of legacy systems</t>
  </si>
  <si>
    <t>Large-scale evaluation sets plus real-world reverse-engineering cases</t>
  </si>
  <si>
    <t>Fine-tuned Mistral-7B-v0.x (LLM4Models), chosen after comparing open LLMs (StarCoder2, LLaMA, CodeLlama, Mistral, DeepSeek) for baseline abstraction accuracy</t>
  </si>
  <si>
    <t>Supervised fine-tuning (full, LoRA, QLoRA) + engineered prompts</t>
  </si>
  <si>
    <t>Reverse engineering: code-to-model abstraction (UML + OCL)</t>
  </si>
  <si>
    <t>UML class diagrams and OCL specifications</t>
  </si>
  <si>
    <t>Java and Python source code</t>
  </si>
  <si>
    <t>UML class diagrams + OCL constraints</t>
  </si>
  <si>
    <t>Program–UML–OCL datasets (incl. AVATAR-derived)</t>
  </si>
  <si>
    <t>Open LLM candidates (baseline accuracy); reference UML/OCL models</t>
  </si>
  <si>
    <t>Automated comparison with reference models, manually re-checked; precision, recall, F1, consistency</t>
  </si>
  <si>
    <t>Assistive: outputs used by maintainers for understanding/documentation</t>
  </si>
  <si>
    <t>Recall 0.921, precision 0.976, F1 0.938 (UML class diagram abstraction, evaluation cases); plus consistency and OCL accuracy | Recall 0.921, precision 0.976 on test set; recall 0.834 on a 17,640-LOC package (PDF p. 19)</t>
  </si>
  <si>
    <t>7B model runnable locally; fine-tuning cost discussed</t>
  </si>
  <si>
    <t>None beyond metrics</t>
  </si>
  <si>
    <t>UML/OCL alignment to source code</t>
  </si>
  <si>
    <t>Tool and datasets described</t>
  </si>
  <si>
    <t>Brings LLMs to MDRE; supports legacy maintenance</t>
  </si>
  <si>
    <t>Dataset quality not fully checked; automated comparison can give false negatives</t>
  </si>
  <si>
    <t>Real-world cases, no industrial deployment</t>
  </si>
  <si>
    <t>P24</t>
  </si>
  <si>
    <t>Spain (Universidade da Coruña, CITIC); Italy</t>
  </si>
  <si>
    <t>Tool proposal (DSL-Xpert 2.0) + TAM user survey</t>
  </si>
  <si>
    <t>Domain-specific language engineering</t>
  </si>
  <si>
    <t>Multiple DSLs of varying complexity; 5 survey participants</t>
  </si>
  <si>
    <t>Multiple LLMs via OpenAI, HuggingFace and WebLLM (e.g., GPT-4o, Mistral, Qwen, StarCoder, CodeLlama)</t>
  </si>
  <si>
    <t>Grammar prompting + few-shot examples</t>
  </si>
  <si>
    <t>NL-to-DSL model/code generation</t>
  </si>
  <si>
    <t>User-supplied DSL grammars</t>
  </si>
  <si>
    <t>Natural language + DSL grammar + examples</t>
  </si>
  <si>
    <t>DSL instances/code</t>
  </si>
  <si>
    <t>Running example + multiple DSLs</t>
  </si>
  <si>
    <t>None quantitative</t>
  </si>
  <si>
    <t>Automatic grammar validation and input/output correction</t>
  </si>
  <si>
    <t>Interactive: user iterates with the LLM in the tool</t>
  </si>
  <si>
    <t>TAM survey (n = 5 professionals): positive usefulness and ease-of-use ratings</t>
  </si>
  <si>
    <t>Supports local WebLLM inference</t>
  </si>
  <si>
    <t>Grammar conformance check</t>
  </si>
  <si>
    <t>GitHub repositories (dsl-xpert, text-to-DSL)</t>
  </si>
  <si>
    <t>Lowers DSL learning curve</t>
  </si>
  <si>
    <t>Very small survey; no accuracy benchmark</t>
  </si>
  <si>
    <t>Participants were professionals; no deployment</t>
  </si>
  <si>
    <t>P25</t>
  </si>
  <si>
    <t>Sweden (Malardalen University)</t>
  </si>
  <si>
    <t>Cross-artifact model/schema co-evolution (class-oriented data models &lt;-&gt; relational database schemas)</t>
  </si>
  <si>
    <t>10 base UML-to-SQL source/target pairs x 10 controlled Delta edit operators x 4 LLMs x 10 runs</t>
  </si>
  <si>
    <t>LLMs: GPT-5, Qwen3-Next-80B-A3B, DeepSeek V3, Gemini 2.5</t>
  </si>
  <si>
    <t>Example-driven / few-shot prompting (single fixed example pair, no fine-tuning)</t>
  </si>
  <si>
    <t>Single-model, one-shot round-trip prompting (non-agentic)</t>
  </si>
  <si>
    <t>Model transformation &amp; round-trip consistency / co-evolution</t>
  </si>
  <si>
    <t>UML/Ecore class-oriented data models; relational (SQL) schemas; XMI/XML representations</t>
  </si>
  <si>
    <t>Source model + a controlled structural edit (Delta operator)</t>
  </si>
  <si>
    <t>Translated target schema, then back-translated source model (round trip)</t>
  </si>
  <si>
    <t>Custom curated dataset of paired models/schemas with 10 Delta edit operators (study-specific benchmark)</t>
  </si>
  <si>
    <t>Cross-model comparison among the 4 LLMs; no non-LLM baseline</t>
  </si>
  <si>
    <t>(i) edit persistence, (ii) structural validity/parsability, (iii) run-to-run consistency; weighted line-based scoring over normalized XMI/XML</t>
  </si>
  <si>
    <t>None in the generation loop; authors mention human oversight is needed going forward, not used in this study's pipeline</t>
  </si>
  <si>
    <t>Gemini 2.5 most consistent across runs; DeepSeek V3 preserves semantics but sometimes unparsable; Qwen3-Next-80B-A3B high variance; GPT-5 often detects but fails to propagate changes coherently; all models reliable on small/routine edits, weak on structural reorganization (e.g., split/merge classes)</t>
  </si>
  <si>
    <t>Discusses latency/compute cost of failed propagations (extra validation/retries) qualitatively; no absolute cost figures extracted</t>
  </si>
  <si>
    <t>Reports run-to-run variance/standard deviation as an explicit reliability signal; no other uncertainty quantification</t>
  </si>
  <si>
    <t>Structural validity checked via loadability/parsability of XMI/SQL artifacts</t>
  </si>
  <si>
    <t>Archived prompts, generated artifacts, evaluation sheets, model/version identifiers (per paper); benchmark described as reusable</t>
  </si>
  <si>
    <t>First change-aware round-trip benchmark for LLM-based model/schema co-evolution; reveals gap between "detecting" and "coherently propagating" a change</t>
  </si>
  <si>
    <t>Single fixed example pair may bias mappings; only forward direction (target-started) tested, not reverse; atomic (not compound) edits only; results are a snapshot of specific hosted API model versions, may not replicate as models update</t>
  </si>
  <si>
    <t>None reported (controlled benchmark study, not an industrial case study)</t>
  </si>
  <si>
    <t>Level 4 - Semi-Autonomous Generation as tested capability, but paper's own finding is that current LLMs do NOT yet reliably reach this level for structural changes — reported as a capability gap, not an achieved tool</t>
  </si>
  <si>
    <t>P27</t>
  </si>
  <si>
    <t>Canada (Polytechnique Montreal; Humanitas Solutions, Montreal)</t>
  </si>
  <si>
    <t>Empirical Evaluation &amp; Method Comparison</t>
  </si>
  <si>
    <t>Formal verification / requirements engineering (safety-critical systems)</t>
  </si>
  <si>
    <t>Natural2CTL dataset (requirement-CTL pairs); 11 pattern classes</t>
  </si>
  <si>
    <t>Fine-tuned Mistral; GPT-4 (few-shot); hybrid BERT pattern-classifier + GPT-4</t>
  </si>
  <si>
    <t>Three approaches compared: supervised fine-tuning (Mistral), few-shot prompting (GPT-4), and classifier-guided prompting (BERT prediction fed to GPT-4)</t>
  </si>
  <si>
    <t>Single-model per approach; hybrid pipeline combines a classifier + an LLM (not agentic in the multi-agent-orchestration sense)</t>
  </si>
  <si>
    <t>Requirements-to-formal-model translation (NL -&gt; Computation Tree Logic specifications)</t>
  </si>
  <si>
    <t>CTL (Computation Tree Logic) formal specifications; NuSMV model-checking format</t>
  </si>
  <si>
    <t>Natural language requirements</t>
  </si>
  <si>
    <t>CTL formula candidates</t>
  </si>
  <si>
    <t>Natural2CTL dataset</t>
  </si>
  <si>
    <t>Non-expert human baseline; three AI approaches compared against each other</t>
  </si>
  <si>
    <t>Strict logical accuracy (Acc_logic) and ambiguity-tolerant accuracy (Acc_ambig) via 6-label correctness scheme; auxiliary operator-similarity/embedding scores; NuSMV integration demonstration</t>
  </si>
  <si>
    <t>Non-expert human baseline for accessibility comparison (not professional-practice stand-in); human-in-the-loop recommended for deployment, not used for generation in this study</t>
  </si>
  <si>
    <t>Fine-tuned Mistral: strongest strict correctness &amp; operator-structure fidelity; hybrid BERT-GPT: narrows gap to fine-tuning, improves over few-shot alone; pattern classifier: 78.6% top-1 accuracy on 11 classes; residual errors concentrate in path-quantifier selection, temporal granularity, multi-clause scoping</t>
  </si>
  <si>
    <t>Not quantified in extracted sections; hybrid explicitly framed as avoiding "computational demands of extensive fine-tuning"</t>
  </si>
  <si>
    <t>Ambiguity-tolerant accuracy metric explicitly designed to separate strict correctness from plausible-but-different CTL encodings</t>
  </si>
  <si>
    <t>Gold CTL formulas parse-checked; equivalence evaluated via alpha-renaming and standard CTL identities</t>
  </si>
  <si>
    <t>Natural2CTL dataset referenced; fixed prompt templates and stratified data splits described</t>
  </si>
  <si>
    <t>LLMs can draft usable CTL candidates after light normalization, reducing manual formalization effort</t>
  </si>
  <si>
    <t>Single-reference gold labels may understate practical usefulness; results are in-distribution, not zero-shot to unseen constructs; CTL/NuSMV-specific findings may not transfer to LTL or other tools; not all approaches share the same generator backbone, confounding architecture and training regime</t>
  </si>
  <si>
    <t>None reported (benchmark dataset study)</t>
  </si>
  <si>
    <t>Level 3 - Interactive Co-Modelling (authors explicitly recommend human-in-the-loop workflows with automated checks before high-assurance use; not yet semi-autonomous)</t>
  </si>
  <si>
    <t>P28</t>
  </si>
  <si>
    <t>Information and Software Technology</t>
  </si>
  <si>
    <t>Canada (Amazon AWS, Vancouver; NAV CANADA, Ottawa); Spain (Universidad de Malaga)</t>
  </si>
  <si>
    <t>Domain-model quality assurance / requirements-to-model traceability</t>
  </si>
  <si>
    <t>453 model elements across multiple third-party literature examples; mutation-based error injection for realistic models</t>
  </si>
  <si>
    <t>NLP pre-processing + one LLM used as a semantic comparator (specific model name not captured in extracted excerpt)</t>
  </si>
  <si>
    <t>Prompting (repeated queries per model-element/sentence pair to counter LLM non-determinism); no fine-tuning</t>
  </si>
  <si>
    <t>Single-model pipeline with distinct NLP + Semantic Matcher + Alignment Detector components (pipeline, not multi-agent)</t>
  </si>
  <si>
    <t>Model validation / (mis)alignment detection between domain model and textual specification</t>
  </si>
  <si>
    <t>Textual specification + partial domain model</t>
  </si>
  <si>
    <t>Per-element classification (aligned / misaligned / unclassified) with supporting evidence sentences</t>
  </si>
  <si>
    <t>Third-party literature dataset of specification-model pairs across diverse domains, plus mutation-derived erroneous variants</t>
  </si>
  <si>
    <t>No external tool baseline; compares correct vs. mutated (error-injected) models</t>
  </si>
  <si>
    <t>Precision, Recall, F1 against ground-truth (mis)alignment labels</t>
  </si>
  <si>
    <t>Human-created reference models/specifications (third-party dataset); human needed to build some models/transform text into class diagrams</t>
  </si>
  <si>
    <t>Precision ~0.996-1.0 (near-perfect); Recall ~0.77-0.78; execution time 18s-1min43s per model element; Semantic Matcher reduced sentence pairs to check by a factor of 4.05 (98.39% element match rate)</t>
  </si>
  <si>
    <t>Complexity linear (best case) to quadratic (worst case); 59s for smallest model, 12m56s for largest model in experiments</t>
  </si>
  <si>
    <t>Outputs supporting evidence sentences for each classification; repeated LLM queries used to mitigate non-determinism</t>
  </si>
  <si>
    <t>Not a formal-standards check; traceability is the core output (model element &lt;-&gt; specification sentence links)</t>
  </si>
  <si>
    <t>Third-party public dataset referenced; no repository link captured in extracted text</t>
  </si>
  <si>
    <t>Very high precision means predictions are almost always trustworthy when made; explicit traceable evidence for each classification</t>
  </si>
  <si>
    <t>Only one LLM tested, so results may not generalize to other LLMs; performance degrades on larger specifications/models (untested at scale); precision/recall may not capture practical relevance of individual alignments; some models required human construction, introducing subjectivity</t>
  </si>
  <si>
    <t>None reported (academic literature dataset only)</t>
  </si>
  <si>
    <t>Level 2 - Assistive Modelling (AI flags/explains potential issues; human decides what to do with the output; does not generate or repair the model itself)</t>
  </si>
  <si>
    <t>P30</t>
  </si>
  <si>
    <t>Italy (University of Teramo); France (Softeam/Docaposte, Nantes; IMT Atlantique); Spain (Universitat Politecnica de Catalunya; Universitat Oberta de Catalunya)</t>
  </si>
  <si>
    <t>Industrial Reference Architecture &amp; Multi-Case Evaluation</t>
  </si>
  <si>
    <t>DevOps / continuous software &amp; systems engineering (multiple industrial domains via the AIDOaRt project)</t>
  </si>
  <si>
    <t>10 industrial case studies; 54 distinct technological solutions combined/applied</t>
  </si>
  <si>
    <t>Not a single model - an architecture integrating multiple AI/ML components (e.g. "AI for Modeling", "AI for Testing", "AI for Requirements Engineering" sub-components); specific algorithms not enumerated in extracted text</t>
  </si>
  <si>
    <t>Not applicable at architecture level (varies per component/case study, not detailed in extracted sections)</t>
  </si>
  <si>
    <t>Multi-component architecture (not framed as an LLM multi-agent system; components interact via defined interfaces)</t>
  </si>
  <si>
    <t>Cross-cutting: requirements engineering, modelling, testing, and runtime monitoring within DevOps</t>
  </si>
  <si>
    <t>Global shared architecture model (project-wide "single source of truth"); specific modelling notations not detailed in extracted text</t>
  </si>
  <si>
    <t>Varies by case study/sub-component (requirements, telemetry, test artifacts)</t>
  </si>
  <si>
    <t>AI-augmented DevOps solutions/components deployed in case studies</t>
  </si>
  <si>
    <t>No public benchmark; evaluation based on the 10 AIDOaRt industrial case studies</t>
  </si>
  <si>
    <t>No explicit baseline comparison found in extracted sections; evaluation is feasibility/applicability-focused</t>
  </si>
  <si>
    <t>Quantitative metrics per identified DevOps challenge (challenge-specific, not detailed further in extracted text)</t>
  </si>
  <si>
    <t>Human governance/approval gate explicit in architecture; project partners jointly maintained the shared architecture model with monitored micro-tasks</t>
  </si>
  <si>
    <t>Not quantified with a single headline metric in extracted sections; evaluation reported as feasibility/applicability across 10 case studies and 54 solutions</t>
  </si>
  <si>
    <t>Not quantified in extracted text</t>
  </si>
  <si>
    <t>Not directly addressed in extracted sections</t>
  </si>
  <si>
    <t>Single shared architecture model maintained as source of truth across all partners/case studies</t>
  </si>
  <si>
    <t>Architecture developed within the EU AIDOaRt collaborative project; no public repository captured in extracted text</t>
  </si>
  <si>
    <t>Demonstrated feasibility/applicability of combining AI/ML with MDE across diverse real industrial domains and company sizes</t>
  </si>
  <si>
    <t>Evaluation companies are AIDOaRt project partners (potential selection bias); authors caution against strong statistical claims from the case studies; findings are feasibility evidence, not proof of generalizable performance</t>
  </si>
  <si>
    <t>Strong - 10 real industrial case studies, 54 solutions, EU AIDOaRt project</t>
  </si>
  <si>
    <t>Spans multiple levels depending on sub-component (project-level architecture, not a single tool); overall closest to Level 4 - Semi-Autonomous Generation given explicit human governance/approval gate described in the architecture</t>
  </si>
  <si>
    <t>P32</t>
  </si>
  <si>
    <t>Spain (Universidad San Jorge, SVIT Research Group)</t>
  </si>
  <si>
    <t>Empirical Comparative Study</t>
  </si>
  <si>
    <t>Feature location in software models (search-based MDE); software product lines</t>
  </si>
  <si>
    <t>1895 feature location problems from 40 industrial software product lines</t>
  </si>
  <si>
    <t>Search-based/metaheuristic AI: Random Search, Iterated Local Search, Hill Climbing, Evolutionary Algorithm, and a Hybrid EA+Hill-Climbing (no LLMs/deep learning)</t>
  </si>
  <si>
    <t>Not applicable - metaheuristic search, not a trained/prompted model</t>
  </si>
  <si>
    <t>Single search process per strategy (non-agentic)</t>
  </si>
  <si>
    <t>Feature location / traceability within existing software models (not generation)</t>
  </si>
  <si>
    <t>Software product-line models (industrial, notation not further specified in extracted text)</t>
  </si>
  <si>
    <t>Software models + target feature description</t>
  </si>
  <si>
    <t>Identified model elements implementing the located feature</t>
  </si>
  <si>
    <t>1895 feature-location problems from 40 industrial SPLs (proprietary industrial dataset)</t>
  </si>
  <si>
    <t>Five search strategies compared against each other (Random Search as weak baseline)</t>
  </si>
  <si>
    <t>Precision, Recall, F-measure, MCC; statistical testing (95% confidence intervals) per the "Threats to Validity" section</t>
  </si>
  <si>
    <t>None in the search loop; used for problem/dataset construction by researchers</t>
  </si>
  <si>
    <t>Hybrid EA+Hill-Climbing achieves the best overall results; search-space size has the greatest impact on strategy performance; impact of problem-characteristic measures varies by strategy</t>
  </si>
  <si>
    <t>Same hardware (identical laptops) used across strategies to control for compute differences; explicit scalability figures not extracted beyond this control</t>
  </si>
  <si>
    <t>Not addressed (classic empirical SE validity framework used instead: conclusion/internal/construct/external validity)</t>
  </si>
  <si>
    <t>Not applicable (search/retrieval task, not model generation against a standard)</t>
  </si>
  <si>
    <t>Dataset and measures cited (MR-MFLP characterization); no public repository link captured in extracted text</t>
  </si>
  <si>
    <t>Guidance on which search strategy to use given problem characteristics; recommendations provided</t>
  </si>
  <si>
    <t>Mono-operation bias - only two application domains tested; generalization to other domains/measures uncertain; statistical power limited by sample size</t>
  </si>
  <si>
    <t>Strong - real industrial product-line data (40 SPLs)</t>
  </si>
  <si>
    <t>Does not map cleanly onto the (generation-focused) maturity model — this is a retrieval/analysis task, not model generation. Closest analogue: Level 2 - Assistive Modelling (automated search assists but does not generate the model)</t>
  </si>
  <si>
    <t>P33</t>
  </si>
  <si>
    <t>Journal of Systems and Software (preprint/tech-report version reviewed: Univ. of Michigan COIN Report 2014008)</t>
  </si>
  <si>
    <t>USA (University of Michigan; Michigan State University); Austria (Vienna University of Technology)</t>
  </si>
  <si>
    <t>Method Proposal &amp; Empirical Evaluation</t>
  </si>
  <si>
    <t>Collaborative model engineering / model merging &amp; conflict resolution</t>
  </si>
  <si>
    <t>7 open-source systems evaluated</t>
  </si>
  <si>
    <t>Multi-objective evolutionary optimization: NSGA-II (no LLMs/deep learning)</t>
  </si>
  <si>
    <t>Not applicable - evolutionary/search-based optimization, not a trained/prompted model</t>
  </si>
  <si>
    <t>Single optimization process (non-agentic)</t>
  </si>
  <si>
    <t>Model merging / conflict resolution in collaborative modelling</t>
  </si>
  <si>
    <t>Software models with change operations (refactorings); not tied to one specific notation in extracted text</t>
  </si>
  <si>
    <t>Parallel/conflicting sets of model change operations</t>
  </si>
  <si>
    <t>Merged model (Pareto-optimal trade-off between minimizing omitted operations and maximizing importance of applied operations)</t>
  </si>
  <si>
    <t>7 open-source systems (e.g. JHotDraw) used as case studies</t>
  </si>
  <si>
    <t>Compared against existing (single-objective) model-merging approaches</t>
  </si>
  <si>
    <t>Wilcoxon rank-sum test (95% confidence); 51 independent runs per problem instance; IHV, IGD quality indicators for the Pareto front</t>
  </si>
  <si>
    <t>Software engineer/manager selects preferred solution from the Pareto front (knee point) — not involved in generating candidate merges</t>
  </si>
  <si>
    <t>Merging solutions comparable to existing approaches in conflict minimization in 100% of scenarios, while also carrying high importance scores for merged operations; knee-point solution identified as best practical trade-off</t>
  </si>
  <si>
    <t>51 independent simulation runs per problem instance reported; no absolute runtime/cost figures extracted</t>
  </si>
  <si>
    <t>Statistical significance testing (Wilcoxon) used to support conclusions; no model-level explainability mechanism</t>
  </si>
  <si>
    <t>Not applicable in extracted text</t>
  </si>
  <si>
    <t>COIN Lab technical report publicly hosted; formulas for importance metric documented</t>
  </si>
  <si>
    <t>First multi-objective formulation of model merging; gives engineers a tunable trade-off (Pareto front) instead of a single fixed merge policy</t>
  </si>
  <si>
    <t>Importance-formula construct validity is a new, unvalidated measure; per-type importance scoring is a simplification; generalization beyond the 7 evaluated systems not established</t>
  </si>
  <si>
    <t>Open-source case studies only; no reported industrial deployment</t>
  </si>
  <si>
    <t>Level 4 - Semi-Autonomous Generation (AI computes full candidate merge solutions; human reviews and picks the preferred Pareto-optimal outcome)</t>
  </si>
  <si>
    <t>CRITICAL QUALITY ASSESSMENT &amp; RISK OF BIAS APPRAISAL (18-CRITERION CHECKLIST)</t>
  </si>
  <si>
    <t>Study ID</t>
  </si>
  <si>
    <t>Authors (Year)</t>
  </si>
  <si>
    <t>QA1 Research clarity</t>
  </si>
  <si>
    <t>QA2 Context</t>
  </si>
  <si>
    <t>QA3 AI transparency</t>
  </si>
  <si>
    <t>QA4 Modelling transparency</t>
  </si>
  <si>
    <t>QA5 Dataset quality</t>
  </si>
  <si>
    <t>QA6 Baseline</t>
  </si>
  <si>
    <t>QA7 Syntactic validity</t>
  </si>
  <si>
    <t>QA8 Semantic fidelity</t>
  </si>
  <si>
    <t>QA9 Completeness</t>
  </si>
  <si>
    <t>QA10 Cross-view consistency</t>
  </si>
  <si>
    <t>QA11 Independent validation</t>
  </si>
  <si>
    <t>QA12 Human expertise</t>
  </si>
  <si>
    <t>QA13 Experimental rigour</t>
  </si>
  <si>
    <t>QA14 Statistical analysis</t>
  </si>
  <si>
    <t>QA15 Reproducibility</t>
  </si>
  <si>
    <t>QA16 Practical relevance</t>
  </si>
  <si>
    <t>QA17 Scalability</t>
  </si>
  <si>
    <t>QA18 Threats to validity</t>
  </si>
  <si>
    <t>Total (/18)</t>
  </si>
  <si>
    <t>Score %</t>
  </si>
  <si>
    <t>Quality Tier</t>
  </si>
  <si>
    <t>Tsampouris, Theodoros; Tsardoulias, Emmanouil; Panayiotou, Konstantinos; Symeonidis, Andreas L. (2025)</t>
  </si>
  <si>
    <t>Delgado, David; Burgueño, Lola; Clarisó, Robert (2026)</t>
  </si>
  <si>
    <t>Hanan Abdulwahab Siala (2024)</t>
  </si>
  <si>
    <t>Intissar Boujmil, Wiem Chebil (2025)</t>
  </si>
  <si>
    <t>Kua Chen; Yujing Yang; Boqi Chen; Jose Antonio Hernandez Lopez; Gunter Mussbacher; Daniel Varro (2023)</t>
  </si>
  <si>
    <t>Meriem Ben Chaaben, Lola Burgueño, Istvan David, Houari Sahraoui (2025)</t>
  </si>
  <si>
    <t>Gabor Antal; Richard Vozar; Rudolf Ferenc (2024)</t>
  </si>
  <si>
    <t>Siala, Hanan Abdulwahab; Lano, Kevin (2025)</t>
  </si>
  <si>
    <t>Ahmed, Mudassar Adeel; Anwar, Muhammad Waseem; Butt, Wasi Haider; Azam, Farooque (2026)</t>
  </si>
  <si>
    <t>Ait Hsain, Yassine; Laaz, Naziha; Mbarki, Samir (2025)</t>
  </si>
  <si>
    <t>Awan, Misbah Mehboob; Anwar, Muhammad Waseem; Butt, Wasi Haider; Azam, Farooque (2026)</t>
  </si>
  <si>
    <t>Alaswad, Feisal; Poovammal, E.; Aljaddouh, Batoul; Ramana, Kadiyala; Khan, Arfat Ahmad; Kryvinska, Natalia (2026)</t>
  </si>
  <si>
    <t>Wang, Chong; Wang, Beian; Liang, Peng; Liang, Jie (2026)</t>
  </si>
  <si>
    <t>Blasco, Daniel; Font, Jaime; Zamorano, Mar; Cetina, Carlos (2021)</t>
  </si>
  <si>
    <t>Sergio Morales; Robert ClarisóJordi Cabot (2025)</t>
  </si>
  <si>
    <t>Amer Tahat; Isaac Amundson; David Hardin; Darren Cofer (2026)</t>
  </si>
  <si>
    <t>Daniele De Bari; Giacomo Garaccione; Riccardo Coppola; Marco Torchiano; Luca Ardito (2024)</t>
  </si>
  <si>
    <t>Ali, Najma Imtiaz; Jamali, Aadil; Brohi, Imtiaz Ali; Jhanjhi, Noor Zaman (2026)</t>
  </si>
  <si>
    <t>Chen, Ru; Shen, Jingwei; He, Xiao (2026)</t>
  </si>
  <si>
    <t>Siala, Hanan Abdulwahab; Lano, Kevin (2026)</t>
  </si>
  <si>
    <t>Lamas, Victor; Garcia-Gonzalez, Daniel; Sala, Luca; Luaces, Miguel R. (2026)</t>
  </si>
  <si>
    <t>Dao, Duy; Bucaioni, Alessio; Cicchetti, Antonio (2026)</t>
  </si>
  <si>
    <t>Zrelli, Rim; Misson, Henrique Amaral; Attia, Marwa Ben; de Magalhaes, Felipe Gohring; Shabah, Abdo; Nicolescu, Gabriela (2026)</t>
  </si>
  <si>
    <t>Shimangaud, Shwetali; Burgueño, Lola; Kienzle, Jörg; Saini, Rijul (2026)</t>
  </si>
  <si>
    <t>Eramo, Romina; Said, Bilal; Oriol, Marc; Bruneliere, Hugo; Morales, Sergio (2024)</t>
  </si>
  <si>
    <t>Echeverría, Jorge; Font, Jaime; Pérez, Francisca; Cetina, Carlos (2021)</t>
  </si>
  <si>
    <t>Mansoor, Usman; Kessentini, Marouane; Langer, Philip; Wimmer, Manuel; Bechikh, Slim; Deb, Kalyanmoy (2015)</t>
  </si>
  <si>
    <t>Legend: 0 = No, 0.5 = Partial, 1 = Yes (brief §6). Tiers: ≥75% High, 60–74% Moderate, &lt;60% Developing. Scores weight evidence in synthesis; no study is excluded on score alone.</t>
  </si>
  <si>
    <t>Corpus mean score</t>
  </si>
  <si>
    <t>High Quality (Tier 1)</t>
  </si>
  <si>
    <t>Moderate Quality (Tier 2)</t>
  </si>
  <si>
    <t>Developing Quality (Tier 3)</t>
  </si>
  <si>
    <t>DE-DUPLICATION LOG — retrospective match on normalised title OR DOI across the six database sheets (25 Sep 2026). 1412 logged records → 1366 unique; 46 duplicate records in 43 groups.</t>
  </si>
  <si>
    <t>Group</t>
  </si>
  <si>
    <t>Title (first copy)</t>
  </si>
  <si>
    <t>Copies</t>
  </si>
  <si>
    <t>Kept (first listed)</t>
  </si>
  <si>
    <t>Removed as duplicate</t>
  </si>
  <si>
    <t>Decisions across copies</t>
  </si>
  <si>
    <t>Conflicting decisions?</t>
  </si>
  <si>
    <t>Web of Science WoS-0037</t>
  </si>
  <si>
    <t>Scopus 27</t>
  </si>
  <si>
    <t>Web of Science: Include / Scopus: Include</t>
  </si>
  <si>
    <t>No</t>
  </si>
  <si>
    <t>ScienceDirect 3</t>
  </si>
  <si>
    <t>Web of Science WoS-0011; Scopus 8</t>
  </si>
  <si>
    <t>ScienceDirect: Include / Web of Science: Include / Scopus: Include</t>
  </si>
  <si>
    <t>SpringerLink 18</t>
  </si>
  <si>
    <t>Web of Science WoS-0067</t>
  </si>
  <si>
    <t>SpringerLink: Include / Web of Science: Include</t>
  </si>
  <si>
    <t>SpringerLink 166</t>
  </si>
  <si>
    <t>Web of Science WoS-0085</t>
  </si>
  <si>
    <t>SpringerLink: Include / Web of Science: Exclude</t>
  </si>
  <si>
    <t>YES — resolved as Include (conservative)</t>
  </si>
  <si>
    <t>Web of Science WoS-0044</t>
  </si>
  <si>
    <t>Scopus 25</t>
  </si>
  <si>
    <t>SpringerLink 59</t>
  </si>
  <si>
    <t>Web of Science WoS-0071</t>
  </si>
  <si>
    <t>IEEE Xplore 10</t>
  </si>
  <si>
    <t>Scopus 3</t>
  </si>
  <si>
    <t>IEEE Xplore: Include / Scopus: Include</t>
  </si>
  <si>
    <t>Web of Science WoS-0015</t>
  </si>
  <si>
    <t>Scopus 4</t>
  </si>
  <si>
    <t>Web of Science WoS-0045</t>
  </si>
  <si>
    <t>Scopus 6</t>
  </si>
  <si>
    <t>IEEE Xplore 13</t>
  </si>
  <si>
    <t>Web of Science WoS-0014</t>
  </si>
  <si>
    <t>IEEE Xplore: Include / Web of Science: Exclude</t>
  </si>
  <si>
    <t>ScienceDirect 50</t>
  </si>
  <si>
    <t>Web of Science WoS-0064</t>
  </si>
  <si>
    <t>ScienceDirect: Exclude / Web of Science: Include</t>
  </si>
  <si>
    <t>SpringerLink 704</t>
  </si>
  <si>
    <t>Web of Science WoS-0021</t>
  </si>
  <si>
    <t>SpringerLink: Exclude / Web of Science: Include</t>
  </si>
  <si>
    <t>SpringerLink 710</t>
  </si>
  <si>
    <t>Web of Science WoS-0008</t>
  </si>
  <si>
    <t>SpringerLink 523</t>
  </si>
  <si>
    <t>Web of Science WoS-0082</t>
  </si>
  <si>
    <t>SpringerLink 239</t>
  </si>
  <si>
    <t>Web of Science WoS-0049</t>
  </si>
  <si>
    <t>SpringerLink: Exclude / Web of Science: Exclude</t>
  </si>
  <si>
    <t>SpringerLink 458</t>
  </si>
  <si>
    <t>Web of Science WoS-0065</t>
  </si>
  <si>
    <t>Web of Science WoS-0070</t>
  </si>
  <si>
    <t>Scopus 1</t>
  </si>
  <si>
    <t>Web of Science WoS-0026</t>
  </si>
  <si>
    <t>Scopus 18</t>
  </si>
  <si>
    <t>SpringerLink 259</t>
  </si>
  <si>
    <t>Web of Science WoS-0010</t>
  </si>
  <si>
    <t>Web of Science WoS-0001</t>
  </si>
  <si>
    <t>Scopus 2</t>
  </si>
  <si>
    <t>Web of Science WoS-0058</t>
  </si>
  <si>
    <t>Scopus 13</t>
  </si>
  <si>
    <t>SpringerLink 699</t>
  </si>
  <si>
    <t>Web of Science WoS-0019</t>
  </si>
  <si>
    <t>Web of Science WoS-0004</t>
  </si>
  <si>
    <t>Scopus 11</t>
  </si>
  <si>
    <t>Web of Science WoS-0006</t>
  </si>
  <si>
    <t>Scopus 24</t>
  </si>
  <si>
    <t>SpringerLink 473</t>
  </si>
  <si>
    <t>Web of Science WoS-0035</t>
  </si>
  <si>
    <t>IEEE Xplore 36</t>
  </si>
  <si>
    <t>Web of Science WoS-0032; Scopus 28</t>
  </si>
  <si>
    <t>IEEE Xplore: Include / Web of Science: Include / Scopus: Include</t>
  </si>
  <si>
    <t>Web of Science WoS-0028</t>
  </si>
  <si>
    <t>Scopus 14</t>
  </si>
  <si>
    <t>Web of Science WoS-0041</t>
  </si>
  <si>
    <t>Scopus 5</t>
  </si>
  <si>
    <t>IEEE Xplore 52</t>
  </si>
  <si>
    <t>Scopus 7</t>
  </si>
  <si>
    <t>SpringerLink 132</t>
  </si>
  <si>
    <t>Web of Science WoS-0002</t>
  </si>
  <si>
    <t>SpringerLink 403</t>
  </si>
  <si>
    <t>Web of Science WoS-0046</t>
  </si>
  <si>
    <t>Web of Science WoS-0012</t>
  </si>
  <si>
    <t>Scopus 29</t>
  </si>
  <si>
    <t>SpringerLink 718</t>
  </si>
  <si>
    <t>Web of Science WoS-0029</t>
  </si>
  <si>
    <t>ScienceDirect 21</t>
  </si>
  <si>
    <t>Web of Science WoS-0084; Scopus 39</t>
  </si>
  <si>
    <t>ScienceDirect: Exclude / Web of Science: Include / Scopus: Include</t>
  </si>
  <si>
    <t>Web of Science WoS-0024</t>
  </si>
  <si>
    <t>Scopus 10</t>
  </si>
  <si>
    <t>SpringerLink 440</t>
  </si>
  <si>
    <t>Web of Science WoS-0040</t>
  </si>
  <si>
    <t>Web of Science WoS-0030</t>
  </si>
  <si>
    <t>Scopus 22</t>
  </si>
  <si>
    <t>SpringerLink 251</t>
  </si>
  <si>
    <t>Web of Science WoS-0076</t>
  </si>
  <si>
    <t>SpringerLink 284</t>
  </si>
  <si>
    <t>Web of Science WoS-0003</t>
  </si>
  <si>
    <t>Web of Science WoS-0036</t>
  </si>
  <si>
    <t>Scopus 26</t>
  </si>
  <si>
    <t>Web of Science WoS-0017</t>
  </si>
  <si>
    <t>Scopus 23</t>
  </si>
  <si>
    <t>SpringerLink 240</t>
  </si>
  <si>
    <t>Web of Science WoS-0069</t>
  </si>
  <si>
    <t>Web of Science WoS-0020</t>
  </si>
  <si>
    <t>Scopus 15</t>
  </si>
  <si>
    <t>Duplicate records removed</t>
  </si>
  <si>
    <t>Method: de-duplication was NOT performed as a discrete step during screening; each database was screened independently. Duplicates were identified retrospectively for this PRISMA reconstruction. Where copies received different decisions, the record was carried forward as Include.</t>
  </si>
  <si>
    <t>SECOND-STAGE SCREENING EXCLUSIONS — 1117 unique records (after de-duplication) excluded in the six database sheets, with the reviewer's recorded reason mapped to the Protocol EC codes.</t>
  </si>
  <si>
    <t>Database(s)</t>
  </si>
  <si>
    <t>Recorded reason (verbatim, first copy)</t>
  </si>
  <si>
    <t>EC code</t>
  </si>
  <si>
    <t>EC1</t>
  </si>
  <si>
    <t>Model-driven topic present but does not apply an identifiable AI technique (LLM/ML/DL/agents) to generate, transform, validate, repair or evolve software models | Assessed at full-text; does not meet AI-DME inclusion criteria</t>
  </si>
  <si>
    <t>Does not apply an identifiable AI technique to a software model-engineering task (out of AI-DME scope) | Assessed at full-text; does not meet AI-DME inclusion criteria</t>
  </si>
  <si>
    <t>Microservices maintenance/anti-patterns study; no AI applied to software model generation or transformation | Assessed at full-text; does not meet AI-DME inclusion criteria</t>
  </si>
  <si>
    <t>No identifiable AI technique; traditional modelling extension only | Assessed at full-text; does not meet AI-DME inclusion criteria</t>
  </si>
  <si>
    <t>Language/metamodel evolution tooling; no AI technique used | Assessed at full-text; does not meet AI-DME inclusion criteria</t>
  </si>
  <si>
    <t>Formal/model-based analysis without identifiable AI technique applied to model engineering | Assessed at full-text; does not meet AI-DME inclusion criteria</t>
  </si>
  <si>
    <t>No identifiable AI technique applied to a model-engineering task | Assessed at full-text; does not meet AI-DME inclusion criteria</t>
  </si>
  <si>
    <t>Runtime composition / SoS focus; does not apply AI to software model generation, validation or transformation | Assessed at full-text; does not meet AI-DME inclusion criteria</t>
  </si>
  <si>
    <t>Digital-twin interoperability/traceability focus; insufficient AI application to software model lifecycle tasks | Assessed at full-text; does not meet AI-DME inclusion criteria</t>
  </si>
  <si>
    <t>EC2</t>
  </si>
  <si>
    <t>Addresses ML/MLOps engineering rather than AI applied to software models (UML/SysML/DSL/metamodels) | Assessed at full-text; does not meet AI-DME inclusion criteria</t>
  </si>
  <si>
    <t>Does not address software or systems modelling with AI (context-aware/ubiquitous systems focus) | Assessed at full-text; does not meet AI-DME inclusion criteria</t>
  </si>
  <si>
    <t>Focus on predictive maintenance / digital twins without AI-driven software model generation, transformation or validation | Assessed at full-text; does not meet AI-DME inclusion criteria</t>
  </si>
  <si>
    <t>Uses 'model' to mean a predictive machine-learning model (not a software/design model) | Assessed at full-text; does not meet AI-DME inclusion criteria</t>
  </si>
  <si>
    <t>EC4</t>
  </si>
  <si>
    <t>EC5</t>
  </si>
  <si>
    <t>Secondary/tertiary study (SLR/SMS) – no primary technical contribution applying AI to model-engineering tasks | Assessed at full-text; does not meet AI-DME inclusion criteria</t>
  </si>
  <si>
    <t>SBSE survey/optimisation focus; does not apply AI to generate, transform, validate or evolve software models | Assessed at full-text; does not meet AI-DME inclusion criteria</t>
  </si>
  <si>
    <t>SpringerLink, Web of Science</t>
  </si>
  <si>
    <t>Survey/roadmap paper; conceptual discussion without primary empirical or tool contribution meeting inclusion criteria | Assessed at full-text; does not meet AI-DME inclusion criteria</t>
  </si>
  <si>
    <t>EC8</t>
  </si>
  <si>
    <t>Conceptual/state-of-the-art discussion without a technical AI contribution to model engineering | Assessed at full-text; does not meet AI-DME inclusion criteria</t>
  </si>
  <si>
    <t>Breakdown</t>
  </si>
  <si>
    <t>No identifiable AI technique</t>
  </si>
  <si>
    <t>No software/systems model (incl. 'model' = predictive ML model; code generated without a model)</t>
  </si>
  <si>
    <t>Non-software domain / outside SE scope</t>
  </si>
  <si>
    <t>Secondary study (SLR/survey/mapping)</t>
  </si>
  <si>
    <t>Editorial, tutorial, workshop/short or extended abstract</t>
  </si>
  <si>
    <t>Total</t>
  </si>
  <si>
    <t>Method: second-stage screening was carried out per database by the reviewer pairs named in each database sheet (IEEE Xplore and SpringerLink record two reviewers' decisions per record; the other sheets record a single final decision). EC codes were assigned retrospectively by mapping each recorded reason text to the Protocol's EC1–EC8 definitions (mapping rules: ecmap.py). No inter-rater agreement statistic was recorded; the two-reviewer columns agree on every record where both are present.</t>
  </si>
  <si>
    <t>TASK 4 — criterion-by-criterion scope decisions from full text (Articles.zip), 25 Sep 2026. Page numbers refer to the journal PDF.</t>
  </si>
  <si>
    <t>Study</t>
  </si>
  <si>
    <t>Criterion</t>
  </si>
  <si>
    <t>Result</t>
  </si>
  <si>
    <t>Evidence (page / section)</t>
  </si>
  <si>
    <t>P16 — Cross-platform edge deployment of ML models (Karlsson Landgren et al., SoSyM 2026)</t>
  </si>
  <si>
    <t>IC1 AI applied to MDE</t>
  </si>
  <si>
    <t>FAIL</t>
  </si>
  <si>
    <t>No AI technique performs any modelling task. The ML models are the artefacts being deployed; the paper applies MDE to AI (MDE4AI), the inverse relationship (abstract p. 1; footnote 1 p. 1: 'model' means ML model; RQ1–RQ2 p. 2).</t>
  </si>
  <si>
    <t>IC2 Software/systems modelling artefact</t>
  </si>
  <si>
    <t>PASS</t>
  </si>
  <si>
    <t>JSON-Schema DSL with a metamodel for ML serving pipelines (Sect. 4, Fig. 2, pp. 10–12).</t>
  </si>
  <si>
    <t>IC3 Generates/analyses/validates models</t>
  </si>
  <si>
    <t>PASS (not by AI)</t>
  </si>
  <si>
    <t>DSL instances are interpreted at runtime by a Flutter library (Fig. 3, p. 13); no AI involved.</t>
  </si>
  <si>
    <t>IC4 Framework or evaluation</t>
  </si>
  <si>
    <t>Design-science artefact + evaluation with four engineers (Sect. 5, pp. 15–17).</t>
  </si>
  <si>
    <t>IC5 Peer-reviewed, in period</t>
  </si>
  <si>
    <t>Software and Systems Modeling 25:163–187 (2026).</t>
  </si>
  <si>
    <t>EC1 No identifiable AI</t>
  </si>
  <si>
    <t>APPLIES</t>
  </si>
  <si>
    <t>No LLM/ML technique is used to build, check or transform models (search of full text finds no such use).</t>
  </si>
  <si>
    <t>Decision</t>
  </si>
  <si>
    <t>EXCLUDE (EC1)</t>
  </si>
  <si>
    <t>Although the paper is solid MDE work, the review's subject is AI applied to model engineering. Here the direction is reversed: MDE supports ML deployment. Including it would inflate the corpus with a study that answers none of RQ2–RQ12 about AI techniques. Excluded under EC1 / IC1.</t>
  </si>
  <si>
    <t>P20 — No Resource, No Benchmarks, No Problem? (Giagnorio et al., IEEE TSE 2026)</t>
  </si>
  <si>
    <t>PARTIAL</t>
  </si>
  <si>
    <t>LLMs (Qwen 2.5/3, o3-mini, GPT-4o; Table II p. 4) are applied — but to programming, not to a model-engineering task.</t>
  </si>
  <si>
    <t>Targets general-purpose programming languages Gleam and MoonBit (pp. 1, 3); no UML, SysML, BPMN, metamodel or DSL model.</t>
  </si>
  <si>
    <t>Output is source code evaluated with pass@1 on HumanEval/MBPP-style benchmarks (Tables IV–V, pp. 7–8).</t>
  </si>
  <si>
    <t>Large empirical study with new benchmarks and statistical tests (pp. 5–10).</t>
  </si>
  <si>
    <t>IEEE TSE (2026, DOI 10.1109/TSE.2026.3703553).</t>
  </si>
  <si>
    <t>EC2 No software model</t>
  </si>
  <si>
    <t>Brief §6 excludes studies that 'generate code directly without using or producing a software model'.</t>
  </si>
  <si>
    <t>EXCLUDE (EC2)</t>
  </si>
  <si>
    <t>High-quality work, but it is NL-to-code generation for general-purpose languages. No modelling layer exists at any point in the pipeline, so it falls under the brief's explicit code-generation exclusion.</t>
  </si>
  <si>
    <t>P23 — Generative AI-Assisted Development of Domain-Specific Trading Automation (Fumanal-Andrés, IEEE Access 2026)</t>
  </si>
  <si>
    <t>GitHub Copilot (Codex/GPT-4 family) used for code generation and refinement (Sect. III-A, p. 3).</t>
  </si>
  <si>
    <t>MQL4 is called a 'DSL' (abstract p. 1) but is a C-like imperative trading language; the paper discusses its deviation from 'standard C++ conventions' (p. 9). No metamodel, abstract syntax, model or model transformation appears.</t>
  </si>
  <si>
    <t>Output is an executable Expert Advisor program, validated by compilation and back-testing (Sect. IV–V, pp. 5–8).</t>
  </si>
  <si>
    <t>PASS (weak)</t>
  </si>
  <si>
    <t>Single-author, single case study with an estimated baseline (pp. 6–8).</t>
  </si>
  <si>
    <t>IEEE Access vol. 14 (2026).</t>
  </si>
  <si>
    <t>AI-assisted scripting without a modelling layer.</t>
  </si>
  <si>
    <t>The 'domain-specific' label refers to a platform programming language, not to model-driven engineering. There is no model or MDE process for the AI to act on, so IC2 is not met.</t>
  </si>
  <si>
    <t>Elsevier author-share link https://authors.elsevier.com/a/1lWZqbKHpKFtO</t>
  </si>
  <si>
    <t>Resolution attempt</t>
  </si>
  <si>
    <t>UNRESOLVED</t>
  </si>
  <si>
    <t>The page blocks automated access (robots.txt) and the workbook stores no title, journal or PII with the link. None of the four candidates (P26 Salem 2026 IST; P29 Shu et al. 2025 JSS; P31 Nguyen et al. 2021 JSS; P34 Sherin et al. 2023 JSS) can be matched with confidence. Not guessed.</t>
  </si>
  <si>
    <t>Consequence</t>
  </si>
  <si>
    <t>Moot</t>
  </si>
  <si>
    <t>All four are excluded under EC6 in Task 5 (no PDF). If the team opens the link and it yields a PDF, that single study can be reinstated: move its row back from Excluded_Study_Archive and PRISMA_Flow recalculates.</t>
  </si>
  <si>
    <t>Full-Text Eligibility</t>
  </si>
  <si>
    <t>Full-Text Exclusion Reason</t>
  </si>
  <si>
    <t>PRISMA 2020 Category</t>
  </si>
  <si>
    <t>Passed title/abstract and 2nd-stage screening</t>
  </si>
  <si>
    <t>EC6: Full-text unavailable (no institutional subscription)</t>
  </si>
  <si>
    <t>Report not retrieved (no institutional access) — reason per team statement, 25 Sep 2026</t>
  </si>
  <si>
    <t>Report not retrieved (EC6)</t>
  </si>
  <si>
    <t>Report not retrieved (no institutional access) — originally logged</t>
  </si>
  <si>
    <t>IEEE Xplore, Web of Science</t>
  </si>
  <si>
    <t>IEEE Xplore, Web of Science, Scopus</t>
  </si>
  <si>
    <t>Web of Science, Scopus</t>
  </si>
  <si>
    <t>ScienceDirect, Web of Science</t>
  </si>
  <si>
    <t>EC6: Full-text unavailable (no institutional subscription); abstract-level note: EC5 / EC8: Secondary study (survey) or dataset-only contribution without a primary AI-DME methodological framework.</t>
  </si>
  <si>
    <t>ScienceDirect, Web of Science, Scopus</t>
  </si>
  <si>
    <t>EC6: Full-text unavailable (no institutional subscription); abstract-level note: EC2: Focuses on formalizing the internal math of Deep Neural Networks rather than applying AI to software engineering models.</t>
  </si>
  <si>
    <t>EC6: Full-text unavailable (no institutional subscription); abstract-level note: EC8: Preliminary results/poster paper lacking full empirical validation required for Data Extraction.</t>
  </si>
  <si>
    <r>
      <rPr>
        <sz val="11"/>
        <color theme="1"/>
        <rFont val="Calibri"/>
        <family val="2"/>
        <charset val="1"/>
      </rPr>
      <t>Large Language Model for X Language Simulation: Architecture, Key Technologies, and Typical Applications [X</t>
    </r>
    <r>
      <rPr>
        <sz val="11"/>
        <color theme="1"/>
        <rFont val="Noto Sans CJK SC"/>
        <family val="2"/>
      </rPr>
      <t>语言仿真大模型：体系架构、关键技术与典型应用</t>
    </r>
    <r>
      <rPr>
        <sz val="11"/>
        <color theme="1"/>
        <rFont val="Calibri"/>
        <family val="2"/>
        <charset val="1"/>
      </rPr>
      <t>]</t>
    </r>
  </si>
  <si>
    <t>EC7: Earlier conference version of an included study (Impromptu, P15, Software and Systems Modeling 2025 extends MODELS 2023)</t>
  </si>
  <si>
    <t>Extended journal version included instead (Impromptu paper, Sect. 1 states it extends the MODELS'23 paper)</t>
  </si>
  <si>
    <t>Excluded with reasons (EC7)</t>
  </si>
  <si>
    <t>EC1: Fails IC1 — MDE used to deploy ML models (MDE4AI); no AI applied to a model-engineering task (full text pp. 1–2, 10–12, 18).</t>
  </si>
  <si>
    <t>Formerly included as P16; removed 25 Sep 2026 (Task 4). Extraction/QA rows archived in Excluded_Study_Archive.</t>
  </si>
  <si>
    <t>Excluded with reasons (EC1)</t>
  </si>
  <si>
    <t>EC2: Fails IC2/IC3 — code generation in general-purpose languages (Gleam, MoonBit); no software model produced or used (pp. 1–5, 8, 12).</t>
  </si>
  <si>
    <t>Formerly included as P20; removed 25 Sep 2026 (Task 4). Extraction/QA rows archived in Excluded_Study_Archive.</t>
  </si>
  <si>
    <t>Excluded with reasons (EC2)</t>
  </si>
  <si>
    <t>EC2: Fails IC2 — Copilot-assisted MQL4 scripting; no metamodel, model or MDE process (pp. 1, 3–5, 9).</t>
  </si>
  <si>
    <t>Formerly included as P23; removed 25 Sep 2026 (Task 4). Extraction/QA rows archived in Excluded_Study_Archive.</t>
  </si>
  <si>
    <t>Salem, Ahmed</t>
  </si>
  <si>
    <t>EC6: No PDF in Articles.zip; ScienceDirect paywall, no subscription.</t>
  </si>
  <si>
    <t>Formerly included as P26; removed 25 Sep 2026 (Task 5). Extraction/QA rows archived in Excluded_Study_Archive.</t>
  </si>
  <si>
    <t>Shu, Ting; Xue, Xinru; Yin, Xuesong; Xia, Jinsong</t>
  </si>
  <si>
    <t>Formerly included as P29; removed 25 Sep 2026 (Task 5). Extraction/QA rows archived in Excluded_Study_Archive.</t>
  </si>
  <si>
    <t>Nguyen, Phuong T.; Di Ruscio, Davide; Pierantonio, Alfonso; Di Rocco, Juri; Iovino, Ludovico</t>
  </si>
  <si>
    <t>Formerly included as P31; removed 25 Sep 2026 (Task 5). Extraction/QA rows archived in Excluded_Study_Archive.</t>
  </si>
  <si>
    <t>Sherin, Salman; Muqeet, Asmar; Khan, Muhammad Uzair; Iqbal, Muhammad Zohaib</t>
  </si>
  <si>
    <t>EC6: No PDF in Articles.zip; ScienceDirect paywall, no subscription. Abstract also indicates EC2 (web-app testing, no software models).</t>
  </si>
  <si>
    <t>Formerly included as P34; removed 25 Sep 2026 (Task 5). Extraction/QA rows archived in Excluded_Study_Archive.</t>
  </si>
  <si>
    <t>Full-Text Status (Sept 2026)</t>
  </si>
  <si>
    <t>Met all criteria (IC1-IC5): Directly applies identifiable AI (IC1) to a software modelling artifact (IC2) for generation/validation (IC3) with empirical evaluation (IC4).</t>
  </si>
  <si>
    <t>N/A (Included)</t>
  </si>
  <si>
    <t>None (Full-text downloaded &amp; verified)</t>
  </si>
  <si>
    <t>Full text held (Articles.zip)</t>
  </si>
  <si>
    <t>Delgado, David; Burgueño, Lola; Clarisó, Robert</t>
  </si>
  <si>
    <t>Hanan Abdulwahab Siala</t>
  </si>
  <si>
    <t>Intissar Boujmil, Wiem Chebil</t>
  </si>
  <si>
    <t>https://doi.org/10.1145/3731443.3771362</t>
  </si>
  <si>
    <t>None (Full-text downloaded &amp; verified) | Identified via other methods: no record in the ACM screening sheet.</t>
  </si>
  <si>
    <t>Kua Chen; Yujing Yang; Boqi Chen; Jose Antonio Hernandez Lopez; Gunter Mussbacher; Daniel Varro</t>
  </si>
  <si>
    <t>https://doi.org/10.1109/MODELS58315.2023.00037</t>
  </si>
  <si>
    <t>Meriem Ben Chaaben, Lola Burgueño, Istvan David, Houari Sahraoui</t>
  </si>
  <si>
    <t>https://doi.org/10.1145/3744920</t>
  </si>
  <si>
    <t>Gabor Antal; Richard Vozar; Rudolf Ferenc</t>
  </si>
  <si>
    <t>Full text held (Articles.zip). Note: its IEEE Xplore candidate record (#61) is marked 'No' in the Included list; the study was included via the ACM route — see PRISMA_Flow note</t>
  </si>
  <si>
    <t>Included: Full-text article successfully downloaded (via File_2_APT.zip, Sept 2026) and analyzed for data extraction. Verified against primary source; data-extraction row completed, not carried over from an unverified tracker.</t>
  </si>
  <si>
    <t>Wang, Chong; Wang, Beian; Liang, Peng; Liang, Jie</t>
  </si>
  <si>
    <t>Blasco, Daniel; Font, Jaime; Zamorano, Mar; Cetina, Carlos</t>
  </si>
  <si>
    <t>Daniele De Bari; Giacomo Garaccione; Riccardo Coppola; Marco Torchiano; Luca Ardito</t>
  </si>
  <si>
    <t>https://doi.org/10.1145/3674805.3690741</t>
  </si>
  <si>
    <t>Dao, Duy; Bucaioni, Alessio; Cicchetti, Antonio</t>
  </si>
  <si>
    <t>Zrelli, Rim; Misson, Henrique Amaral; Attia, Marwa Ben; de Magalhaes, Felipe Gohring; Shabah, Abdo; Nicolescu, Gabriela</t>
  </si>
  <si>
    <t>https://doi.org/10.1016/j.jss.2026.112941</t>
  </si>
  <si>
    <t>Shimangaud, Shwetali; Burgueño, Lola; Kienzle, Jörg; Saini, Rijul</t>
  </si>
  <si>
    <t>Eramo, Romina; Said, Bilal; Oriol, Marc; Bruneliere, Hugo; Morales, Sergio</t>
  </si>
  <si>
    <t>Echeverría, Jorge; Font, Jaime; Pérez, Francisca; Cetina, Carlos</t>
  </si>
  <si>
    <t>Mansoor, Usman; Kessentini, Marouane; Langer, Philip; Wimmer, Manuel; Bechikh, Slim; Deb, Kalyanmoy</t>
  </si>
  <si>
    <t>Full text held as the earlier technical report (Kessentini et al.); the JSS 2015 version (Mansoor et al.) is the one cited — content consistent</t>
  </si>
  <si>
    <t>SYSTEMATIC LITERATURE REVIEW PROTOCOL</t>
  </si>
  <si>
    <t>Protocol Element</t>
  </si>
  <si>
    <t>Description</t>
  </si>
  <si>
    <t>Review Objective</t>
  </si>
  <si>
    <t>To systematically identify, classify, and critically evaluate artificial intelligence applied across the model-engineering lifecycle (APT470S Term 3, 2026).</t>
  </si>
  <si>
    <t>Research Questions</t>
  </si>
  <si>
    <t>15 RQs structured across landscape, lifecycle, intelligence, quality, transformations, trustworthiness, and scholarly contributions (RQ1–RQ15).</t>
  </si>
  <si>
    <t>Databases Searched</t>
  </si>
  <si>
    <t>IEEE Xplore, SpringerLink, ScienceDirect, ACM Digital Library, Scopus, Web of Science.</t>
  </si>
  <si>
    <t>Search Period</t>
  </si>
  <si>
    <t>January 2015 to the search dates, 15–18 March 2026.</t>
  </si>
  <si>
    <t>Inclusion Criteria</t>
  </si>
  <si>
    <t>IC1: AI technique applied to MDE; IC2: Software/systems modelling artifact; IC3: Generates/analyses/validates models; IC4: Framework/evaluation; IC5: Peer-reviewed.</t>
  </si>
  <si>
    <t>Exclusion Criteria</t>
  </si>
  <si>
    <t>EC1: No identifiable AI; EC2: No software model; EC3: Pre-2015; EC4: Non-software domain; EC5: Secondary study (SLR/survey); EC6: Full-text unavailable; EC7: Duplicate; EC8: Editorial/tutorial.</t>
  </si>
  <si>
    <t>DATABASE SEARCH STRINGS AND PARAMETERS</t>
  </si>
  <si>
    <t>Search String / Boolean Query</t>
  </si>
  <si>
    <t>Filters Applied</t>
  </si>
  <si>
    <t>Date Executed</t>
  </si>
  <si>
    <t>Raw Yield</t>
  </si>
  <si>
    <t>("artificial intelligence" OR "machine learning" OR "deep learning" OR "generative AI" OR "large language model*" OR LLM* OR "foundation model*" OR "multimodal model*" OR "intelligent agent*" OR "agentic AI" OR "knowledge graph*" OR "neuro-symbolic") AND ("model-driven engineering" OR "model-driven development" OR "model-based software engineering" OR "software model*" OR UML OR SysML OR BPMN OR "domain-specific language*" OR metamodel*) AND ("model generation" OR "model transformation" OR "model validation" OR "model completion" OR "model repair" OR "model evolution" OR "code generation" OR "reverse engineering" OR "requirements-to-model" OR "model-to-code")</t>
  </si>
  <si>
    <t>Journals, Conferences, Early Access (2015–2026)</t>
  </si>
  <si>
    <t>2026-03-15</t>
  </si>
  <si>
    <t>Same baseline string adapted for Springer query syntax</t>
  </si>
  <si>
    <t>Conference papers, Articles (2015–2026)</t>
  </si>
  <si>
    <t>2026-03-16</t>
  </si>
  <si>
    <t>Same baseline string adapted for ScienceDirect query syntax</t>
  </si>
  <si>
    <t>Research articles, Review articles (2015–2026)</t>
  </si>
  <si>
    <t>ACM DL</t>
  </si>
  <si>
    <t>Same baseline string adapted for ACM guide query syntax</t>
  </si>
  <si>
    <t>Proceedings, Journals (2015–2026)</t>
  </si>
  <si>
    <t>2026-03-17</t>
  </si>
  <si>
    <t>Same baseline string adapted for Scopus syntax</t>
  </si>
  <si>
    <t>Article, Conference Paper (2015–2026)</t>
  </si>
  <si>
    <t>2026-03-18</t>
  </si>
  <si>
    <t>Same baseline string adapted for WoS core collection</t>
  </si>
  <si>
    <t>Articles, Proceedings Papers (2015–2026)</t>
  </si>
  <si>
    <t>PRISMA 2020 FLOW DIAGRAM TRACKING TABLE</t>
  </si>
  <si>
    <t>Stage</t>
  </si>
  <si>
    <t>Process / Sub-Stage</t>
  </si>
  <si>
    <t>Record Count</t>
  </si>
  <si>
    <t>Exclusion Reason / Notes</t>
  </si>
  <si>
    <t>Identification</t>
  </si>
  <si>
    <t>Records identified from 6 databases</t>
  </si>
  <si>
    <t>Search hit counts per database (Overview).</t>
  </si>
  <si>
    <t>Records identified via other methods</t>
  </si>
  <si>
    <t>P04, P05, P06, P18 (ACM Digital Library). They are included studies but have no record in the ACM screening sheet; screening trail missing — stated as a limitation.</t>
  </si>
  <si>
    <t>Screening</t>
  </si>
  <si>
    <t>Records excluded at title &amp; abstract (database interface)</t>
  </si>
  <si>
    <t>Out of scope by title/abstract in the database interfaces; per-record log not exported.</t>
  </si>
  <si>
    <t>Records retained after title &amp; abstract</t>
  </si>
  <si>
    <t>Retained records not logged at record level</t>
  </si>
  <si>
    <t>Net gap between Overview 'retained' and records logged in the database sheets (IEEE Xplore logs 22 more; SpringerLink 142 fewer). Treated as not carried forward.</t>
  </si>
  <si>
    <t>Records logged for second-stage screening</t>
  </si>
  <si>
    <t>Rows in the six database sheets.</t>
  </si>
  <si>
    <t>De-duplication was not a discrete step during screening (each database screened independently); duplicates identified retrospectively by title/DOI — see Dedup_Log.</t>
  </si>
  <si>
    <t>Unique records screened (second stage)</t>
  </si>
  <si>
    <t>Records excluded at second stage</t>
  </si>
  <si>
    <t>Retrieval</t>
  </si>
  <si>
    <t>Reports sought for retrieval</t>
  </si>
  <si>
    <t>Unique candidates carried to the Included list.</t>
  </si>
  <si>
    <t>Reports not retrieved (EC6 — no institutional subscription)</t>
  </si>
  <si>
    <t>Listed individually in Excluded_Records. Includes P26, P29, P31, P34 (formerly included; no PDF).</t>
  </si>
  <si>
    <t>Eligibility</t>
  </si>
  <si>
    <t>Reports assessed for eligibility (from databases)</t>
  </si>
  <si>
    <t>Reports excluded with reasons</t>
  </si>
  <si>
    <t>EC7: 1 (earlier version of P15); EC1: 1 (P16); EC2: 2 (P20, P23). See Excluded_Records.</t>
  </si>
  <si>
    <t>Included</t>
  </si>
  <si>
    <t>Studies included from database searches</t>
  </si>
  <si>
    <t>Studies included via other methods</t>
  </si>
  <si>
    <t>Studies included in synthesis (N)</t>
  </si>
  <si>
    <t>Check</t>
  </si>
  <si>
    <t>Reconciliation: identified − every removal + other methods = N?</t>
  </si>
  <si>
    <t>Must read OK</t>
  </si>
  <si>
    <t>Excluded_Records logged vs (not retrieved + excluded with reasons)</t>
  </si>
  <si>
    <t>Must read 'n of n'</t>
  </si>
  <si>
    <t>EVIDENCE CODING MATRIX (1 = study provides evidence). Coded by Claude from Data Extraction, Sept 2026 — team to confirm.</t>
  </si>
  <si>
    <t>Maturity Level</t>
  </si>
  <si>
    <t>T: LLMs / Foundation Models</t>
  </si>
  <si>
    <t>T: Specialised ML / Evolutionary</t>
  </si>
  <si>
    <t>T: Deep Learning (Seq2Seq / Seq2AST / CNN)</t>
  </si>
  <si>
    <t>T: Multimodal Foundation Models</t>
  </si>
  <si>
    <t>T: Knowledge Graphs, RAG &amp; GNNs</t>
  </si>
  <si>
    <t>T: Single &amp; Multi-Agent Systems</t>
  </si>
  <si>
    <t>T: Neuro-Symbolic AI</t>
  </si>
  <si>
    <t>K: Requirements Understanding</t>
  </si>
  <si>
    <t>K: Model Generation</t>
  </si>
  <si>
    <t>K: Model Completion &amp; QA</t>
  </si>
  <si>
    <t>K: Model Repair</t>
  </si>
  <si>
    <t>K: Model Transformation &amp; Reverse Eng.</t>
  </si>
  <si>
    <t>K: Model-to-Code</t>
  </si>
  <si>
    <t>K: Runtime &amp; Evolution</t>
  </si>
  <si>
    <t>E: Tier 1: Syntactic</t>
  </si>
  <si>
    <t>E: Tier 2: Semantic</t>
  </si>
  <si>
    <t>E: Tier 3: Structural</t>
  </si>
  <si>
    <t>E: Tier 4: Formal</t>
  </si>
  <si>
    <t>E: Tier 5: Empirical</t>
  </si>
  <si>
    <t>E: Tier 6: System</t>
  </si>
  <si>
    <t>A: Layer 1: Specification</t>
  </si>
  <si>
    <t>A: Layer 2: Generation</t>
  </si>
  <si>
    <t>A: Layer 3: Verification</t>
  </si>
  <si>
    <t>A: Layer 4: Traceability</t>
  </si>
  <si>
    <t>A: Layer 5: Governance</t>
  </si>
  <si>
    <t>LIFECYCLE STAGE EVIDENCE COVERAGE (N = 27) — source for report Figure 10.3 and §3/§10.2. Bands: Heavy ≥5, Moderate 3–4, Light 1–2, Zero 0.</t>
  </si>
  <si>
    <t>Name</t>
  </si>
  <si>
    <t>Supporting studies</t>
  </si>
  <si>
    <t>n</t>
  </si>
  <si>
    <t>Band</t>
  </si>
  <si>
    <t>Requirements Understanding</t>
  </si>
  <si>
    <t>P01, P04, P09, P27, P28</t>
  </si>
  <si>
    <t>P04, P05, P09, P12, P14, P18, P21</t>
  </si>
  <si>
    <t>Model Completion</t>
  </si>
  <si>
    <t>Model Quality Assurance</t>
  </si>
  <si>
    <t>P13, P17, P28</t>
  </si>
  <si>
    <t>Model Repair</t>
  </si>
  <si>
    <t>P02, P17, P21</t>
  </si>
  <si>
    <t>Model Transformation</t>
  </si>
  <si>
    <t>P25, P27</t>
  </si>
  <si>
    <t>P02, P07, P09, P10, P15, P24</t>
  </si>
  <si>
    <t>P03, P08, P22</t>
  </si>
  <si>
    <t>Model-Code Synchronisation</t>
  </si>
  <si>
    <t>Model Evolution</t>
  </si>
  <si>
    <t>P25, P32, P33</t>
  </si>
  <si>
    <t>Runtime Modelling</t>
  </si>
  <si>
    <t>P30 (partial)</t>
  </si>
  <si>
    <t>Collaborative Modelling</t>
  </si>
  <si>
    <t>P11, P33</t>
  </si>
  <si>
    <t>AI-DME MULTIDIMENSIONAL TAXONOMY (AI Techniques × MDE Lifecycle Stages)</t>
  </si>
  <si>
    <t>AI Technique Class</t>
  </si>
  <si>
    <t>Model Generation</t>
  </si>
  <si>
    <t>Model Completion &amp; QA</t>
  </si>
  <si>
    <t>Model Transformation &amp; Reverse Eng.</t>
  </si>
  <si>
    <t>Model-to-Code</t>
  </si>
  <si>
    <t>Runtime &amp; Evolution</t>
  </si>
  <si>
    <t>Supporting Studies (technique)</t>
  </si>
  <si>
    <t>LLMs / Foundation Models (GPT-4/4o/5, Mistral, Qwen, DeepSeek, Gemini)</t>
  </si>
  <si>
    <t>RUPP template extraction</t>
  </si>
  <si>
    <t>Text-to-UML / BPMN generation</t>
  </si>
  <si>
    <t>Recommending missing classes</t>
  </si>
  <si>
    <t>Prompt-guided syntax repair</t>
  </si>
  <si>
    <t>Neural translation of views</t>
  </si>
  <si>
    <t>Java/Python/Solidity code</t>
  </si>
  <si>
    <t>On-device log summarization</t>
  </si>
  <si>
    <t>P01, P02, P03, P04, P05, P06, P07, P08, P09, P10, P11, P13, P15, P17, P18, P19, P21, P22, P24, P25, P27, P28, P30</t>
  </si>
  <si>
    <t>Specialised ML / Evolutionary</t>
  </si>
  <si>
    <t>Feature clustering</t>
  </si>
  <si>
    <t>Feature model synthesis</t>
  </si>
  <si>
    <t>Collaborative filtering metamodels</t>
  </si>
  <si>
    <t>Heuristic counterexample patching</t>
  </si>
  <si>
    <t>ML inter-model linking</t>
  </si>
  <si>
    <t>AST parser pattern matching</t>
  </si>
  <si>
    <t>Telemetry parameter updates</t>
  </si>
  <si>
    <t>P14, P32, P33</t>
  </si>
  <si>
    <t>Deep Learning (Seq2Seq / Seq2AST / CNN)</t>
  </si>
  <si>
    <t>Structured sequence parsing</t>
  </si>
  <si>
    <t>JSON S-AST neural translation</t>
  </si>
  <si>
    <t>Defect classification models</t>
  </si>
  <si>
    <t>AST node error correction</t>
  </si>
  <si>
    <t>Graph embedding mapping</t>
  </si>
  <si>
    <t>Mistral-7B QLoRA code extraction</t>
  </si>
  <si>
    <t>Execution trace clustering</t>
  </si>
  <si>
    <t>P12, P27</t>
  </si>
  <si>
    <t>Multimodal Foundation Models</t>
  </si>
  <si>
    <t>Sketch-to-text parsing</t>
  </si>
  <si>
    <t>GPT-4V diagram-to-code</t>
  </si>
  <si>
    <t>Graphical defect detection</t>
  </si>
  <si>
    <t>Visual inconsistency flagging</t>
  </si>
  <si>
    <t>Visual-to-textual view bridging</t>
  </si>
  <si>
    <t>Screenshot-to-code translation</t>
  </si>
  <si>
    <t>Visual digital twin sync</t>
  </si>
  <si>
    <t>P07, P13</t>
  </si>
  <si>
    <t>Knowledge Graphs, RAG &amp; GNNs</t>
  </si>
  <si>
    <t>Ontology linking &amp; RAG</t>
  </si>
  <si>
    <t>Schema-guided generation</t>
  </si>
  <si>
    <t>Structural consistency checking</t>
  </si>
  <si>
    <t>Constraint graph validation</t>
  </si>
  <si>
    <t>Heterogeneous GNN link prediction</t>
  </si>
  <si>
    <t>Dependency graph extraction</t>
  </si>
  <si>
    <t>Graph runtime state tracking</t>
  </si>
  <si>
    <t>— none in corpus (proposed, not evidenced)</t>
  </si>
  <si>
    <t>Single &amp; Multi-Agent Systems</t>
  </si>
  <si>
    <t>Collaborative parsing</t>
  </si>
  <si>
    <t>Multi-tier task allocation</t>
  </si>
  <si>
    <t>Automated peer review</t>
  </si>
  <si>
    <t>Diagnostic repair loops</t>
  </si>
  <si>
    <t>Coordinated view transformation</t>
  </si>
  <si>
    <t>End-to-end orchestration</t>
  </si>
  <si>
    <t>Autonomous runtime adaptation</t>
  </si>
  <si>
    <t>P01, P09, P19, P30</t>
  </si>
  <si>
    <t>Neuro-Symbolic AI</t>
  </si>
  <si>
    <t>Formal obligation translation</t>
  </si>
  <si>
    <t>Syntax-guided decoding</t>
  </si>
  <si>
    <t>Invariant checking</t>
  </si>
  <si>
    <t>AGREE-Dog SMT bounded model checking</t>
  </si>
  <si>
    <t>Formal semantic verification</t>
  </si>
  <si>
    <t>Compiler &amp; static analysis</t>
  </si>
  <si>
    <t>Runtime invariant verification</t>
  </si>
  <si>
    <t>P17, P21</t>
  </si>
  <si>
    <t>EVIDENCE GRID — studies supporting each technique × task cell (from Study_Coding). Cells marked 'none' are proposed categories, not evidenced by the corpus.</t>
  </si>
  <si>
    <t>LLMs / Foundation Models</t>
  </si>
  <si>
    <t>P01, P04, P09, P27, P28, P30</t>
  </si>
  <si>
    <t>P01, P02, P04, P05, P09, P18, P19, P21</t>
  </si>
  <si>
    <t>P06, P11, P13, P15, P17, P19, P28</t>
  </si>
  <si>
    <t>P02, P09, P17, P21</t>
  </si>
  <si>
    <t>P03, P08, P11, P22, P25, P27</t>
  </si>
  <si>
    <t>P07, P09, P10, P15, P24</t>
  </si>
  <si>
    <t>P25, P30</t>
  </si>
  <si>
    <t>none</t>
  </si>
  <si>
    <t>P32, P33</t>
  </si>
  <si>
    <t>P01, P09, P30</t>
  </si>
  <si>
    <t>P01, P09, P19</t>
  </si>
  <si>
    <t>Studies per task (n)</t>
  </si>
  <si>
    <t>Row 2 label renamed to match coding: 'Model Transformation' now includes reverse engineering (code→model).</t>
  </si>
  <si>
    <t>AI-DME AUTOMATION MATURITY MODEL (Levels 1 to 6)</t>
  </si>
  <si>
    <t>Operational Definition</t>
  </si>
  <si>
    <t>Current Corpus Prevalence (n / N, %)</t>
  </si>
  <si>
    <t>Supporting Studies</t>
  </si>
  <si>
    <t>Level 1 - Manual Modelling</t>
  </si>
  <si>
    <t>No substantive AI support; traditional manual MDE.</t>
  </si>
  <si>
    <t>100% human-driven authoring and verification.</t>
  </si>
  <si>
    <t>Manual review and traditional compilers.</t>
  </si>
  <si>
    <t>Level 2 - Assistive Modelling</t>
  </si>
  <si>
    <t>AI provides local explanations, autocomplete hints.</t>
  </si>
  <si>
    <t>Human initiates and accepts/rejects suggestions.</t>
  </si>
  <si>
    <t>Syntax checkers and IDE feedback.</t>
  </si>
  <si>
    <t>P03, P05, P13, P18, P28, P32</t>
  </si>
  <si>
    <t>Level 3 - Interactive Co-Modelling</t>
  </si>
  <si>
    <t>Human and AI iteratively construct and refine models.</t>
  </si>
  <si>
    <t>Continuous collaborative dialogue and prompt adjustment.</t>
  </si>
  <si>
    <t>Real-time metamodel conformance checks.</t>
  </si>
  <si>
    <t>P02, P06, P11, P15, P24, P27</t>
  </si>
  <si>
    <t>Level 4 - Semi-Autonomous Generation</t>
  </si>
  <si>
    <t>AI generates substantial models or transformations.</t>
  </si>
  <si>
    <t>Human reviews and approves generated model bundles.</t>
  </si>
  <si>
    <t>Automated unit tests and basic OCL validators.</t>
  </si>
  <si>
    <t>P01, P04, P07, P08, P12, P14, P19, P22, P25, P30, P33</t>
  </si>
  <si>
    <t>Level 5 - Verifier-Guided Autonomous</t>
  </si>
  <si>
    <t>AI generates, validates, diagnoses, and repairs models.</t>
  </si>
  <si>
    <t>Human oversight for high-level governance and final sign-off.</t>
  </si>
  <si>
    <t>Formal SMT provers, JKind, Alloy, Slither analysis.</t>
  </si>
  <si>
    <t>P09, P10, P17, P21</t>
  </si>
  <si>
    <t>Level 6 - Continuous Adaptive</t>
  </si>
  <si>
    <t>AI agents maintain requirements-model-code-runtime alignment.</t>
  </si>
  <si>
    <t>Autonomous execution with audit logs and exception escalation.</t>
  </si>
  <si>
    <t>Runtime telemetry, digital twin monitors, self-adaptation loops.</t>
  </si>
  <si>
    <t>Level assignments come from Data Extraction column AD; counts recalculate automatically. Study-ID lists are static — update if a level changes.</t>
  </si>
  <si>
    <t>AI-DME QUALITY EVALUATION HIERARCHY</t>
  </si>
  <si>
    <t>Evaluation Tier</t>
  </si>
  <si>
    <t>Quality Dimension</t>
  </si>
  <si>
    <t>Measurement Metric / Criterion</t>
  </si>
  <si>
    <t>Verification Tool / Method</t>
  </si>
  <si>
    <t>Tier 1: Syntactic</t>
  </si>
  <si>
    <t>Syntactic Validity</t>
  </si>
  <si>
    <t>Grammar conformance, AST node validity, compilation success rate</t>
  </si>
  <si>
    <t>Java Compilers (javac), PlantUML parsers, solc</t>
  </si>
  <si>
    <t>P01, P02, P03, P07, P08, P09, P10, P12, P14, P18, P24, P25</t>
  </si>
  <si>
    <t>Tier 2: Semantic</t>
  </si>
  <si>
    <t>Semantic Fidelity</t>
  </si>
  <si>
    <t>Alignment with source requirements, concept recall/precision, F1 score</t>
  </si>
  <si>
    <t>Expert or benchmark reference models, semantic matching</t>
  </si>
  <si>
    <t>P04, P05, P12, P13, P18, P21, P22, P25, P27, P28, P32</t>
  </si>
  <si>
    <t>Tier 3: Structural</t>
  </si>
  <si>
    <t>Completeness &amp; Consistency</t>
  </si>
  <si>
    <t>Missing classes/attributes, multiplicity correctness, cross-view consistency</t>
  </si>
  <si>
    <t>Rule-based scanners (P21), completeness and cross-view checks</t>
  </si>
  <si>
    <t>P03, P04, P08, P21, P22, P25, P33</t>
  </si>
  <si>
    <t>Tier 4: Formal</t>
  </si>
  <si>
    <t>Standards Conformance &amp; Traceability</t>
  </si>
  <si>
    <t>OCL constraint satisfaction, invariant preservation, requirement-to-model mapping</t>
  </si>
  <si>
    <t>OCL engines, SMT solvers (JKind), AGREE contracts</t>
  </si>
  <si>
    <t>P02, P09, P10, P17, P27</t>
  </si>
  <si>
    <t>Tier 5: Empirical</t>
  </si>
  <si>
    <t>Independent Validation &amp; Human Expertise</t>
  </si>
  <si>
    <t>Modeller time savings, error reduction, task completion rate, expert Likert scale</t>
  </si>
  <si>
    <t>Controlled user studies, student/industry experiments</t>
  </si>
  <si>
    <t>P06, P11, P13, P18, P24, P30</t>
  </si>
  <si>
    <t>Tier 6: System</t>
  </si>
  <si>
    <t>Scalability, Reproducibility &amp; Industrial Utility</t>
  </si>
  <si>
    <t>Execution time on large models, prompt reproducibility, open-source asset availability</t>
  </si>
  <si>
    <t>Large benchmark suites (PlantUCD), replication packages</t>
  </si>
  <si>
    <t>P14, P21, P25, P32, P33</t>
  </si>
  <si>
    <t>Report (FINAL_6) presents a seven-level hierarchy: Level 0 'Unchecked' (baseline, no study) plus Tiers 1–6 above as Levels 1–6.</t>
  </si>
  <si>
    <t>AI-DME CONCEPTUAL FRAMEWORK (Variables, Mediators, Moderators)</t>
  </si>
  <si>
    <t>Framework Component</t>
  </si>
  <si>
    <t>Construct / Variable</t>
  </si>
  <si>
    <t>Operational Description in AI-DME</t>
  </si>
  <si>
    <t>Independent Variable</t>
  </si>
  <si>
    <t>AI Intervention &amp; Adaptation</t>
  </si>
  <si>
    <t>Choice of foundation model, prompting strategy (Few-shot, CoT), RAG, multi-agent orchestration.</t>
  </si>
  <si>
    <t>Mediating Variable</t>
  </si>
  <si>
    <t>Model Transparency &amp; Grounding</t>
  </si>
  <si>
    <t>Intermediate representation quality (RUPP templates, S-AST JSON), deterministic constraint filtering.</t>
  </si>
  <si>
    <t>Dependent Variable</t>
  </si>
  <si>
    <t>Engineering Outcomes</t>
  </si>
  <si>
    <t>Syntactic correctness, semantic fidelity, time savings, generated code maintainability, cross-view consistency.</t>
  </si>
  <si>
    <t>Moderating Variable</t>
  </si>
  <si>
    <t>Contextual &amp; Domain Constraints</t>
  </si>
  <si>
    <t>System domain complexity, modelling language strictness, team expertise.</t>
  </si>
  <si>
    <t>VERIFIER-GUIDED AI-DME REFERENCE ARCHITECTURE</t>
  </si>
  <si>
    <t>Architectural Layer</t>
  </si>
  <si>
    <t>Component / Module</t>
  </si>
  <si>
    <t>Functional Responsibility</t>
  </si>
  <si>
    <t>Technology &amp; Standards Enforced</t>
  </si>
  <si>
    <t>Evidence Base (studies)</t>
  </si>
  <si>
    <t>Evidence Note</t>
  </si>
  <si>
    <t>Layer 1: Specification</t>
  </si>
  <si>
    <t>Requirement Ingestion &amp; Structuring</t>
  </si>
  <si>
    <t>Parses raw natural language text into Structured Natural Language templates.</t>
  </si>
  <si>
    <t>RUPP templates (P09), spaCy NLP (P04)</t>
  </si>
  <si>
    <t>Evidenced: RUPP (P09), spaCy (P04).</t>
  </si>
  <si>
    <t>Layer 2: Generation</t>
  </si>
  <si>
    <t>Generative AI Core &amp; Multi-Agent Orchestration</t>
  </si>
  <si>
    <t>Synthesizes multi-view software models and code skeletons.</t>
  </si>
  <si>
    <t>GPT-4/4o, GPT-5, Mistral, Qwen, DeepSeek; single and multi-agent designs</t>
  </si>
  <si>
    <t>P04, P05, P07, P09, P12, P19, P21, P24, P25</t>
  </si>
  <si>
    <t>Evidenced: GPT-4o (P24), GPT-5 (P25), fine-tuned Mistral (P08, P22, P27), open LLMs (P21).</t>
  </si>
  <si>
    <t>Layer 3: Verification</t>
  </si>
  <si>
    <t>Deterministic Verifier &amp; Constraint Engine</t>
  </si>
  <si>
    <t>Validates syntax, metamodel conformance, and formal safety invariants.</t>
  </si>
  <si>
    <t>OCL checkers (USE, AgileUML), SMT (JKind), Slither, compilers and parsers</t>
  </si>
  <si>
    <t>P01, P02, P09, P10, P17, P21, P24</t>
  </si>
  <si>
    <t>Evidenced: JKind/SMT (P17), Slither (P10), OCL checkers (P02, P03, P08).</t>
  </si>
  <si>
    <t>Layer 4: Traceability</t>
  </si>
  <si>
    <t>Bidirectional Traceability &amp; XAI Layer</t>
  </si>
  <si>
    <t>Maintains requirement-model links and generates explainable change logs.</t>
  </si>
  <si>
    <t>Requirement-model links, JSON AST mappings, explainable change logs</t>
  </si>
  <si>
    <t>P03, P08, P11, P15, P22, P28, P32</t>
  </si>
  <si>
    <t>Evidenced: JSON AST mappings (P12), XAI change logs (P11).</t>
  </si>
  <si>
    <t>Layer 5: Governance</t>
  </si>
  <si>
    <t>Human-Accountable Approval Gate</t>
  </si>
  <si>
    <t>Provides expert review, conflict resolution, and final deployment sign-off.</t>
  </si>
  <si>
    <t>Role-Based Access Control (RBAC), IDE dashboards</t>
  </si>
  <si>
    <t>P06, P11, P19, P30, P33</t>
  </si>
  <si>
    <t>RBAC evidenced (P11); human approval gates (P19, P30, P33).</t>
  </si>
  <si>
    <t>PRIORITISED AI-DME RESEARCH AGENDA &amp; SCHOLARLY CONTRIBUTIONS</t>
  </si>
  <si>
    <t>Priority</t>
  </si>
  <si>
    <t>Gap (evidence)</t>
  </si>
  <si>
    <t>Agenda item</t>
  </si>
  <si>
    <t>Measure of success</t>
  </si>
  <si>
    <t>1. Complete verifier-guided loop</t>
  </si>
  <si>
    <t>All five architecture layers are evidenced separately; no study implements them together</t>
  </si>
  <si>
    <t>Build and evaluate a complete verifier-guided loop with traceability and governance</t>
  </si>
  <si>
    <t>Level 5 on a multi-view industrial case with evaluation Level 4</t>
  </si>
  <si>
    <t>2. Model-code synchronisation</t>
  </si>
  <si>
    <t>Stage 9 has zero studies; Dao et al. (2026) show LLMs fail on structural edits</t>
  </si>
  <si>
    <t>Model-code synchronisation and co-evolution</t>
  </si>
  <si>
    <t>Round-trip accuracy on real commit histories</t>
  </si>
  <si>
    <t>3. Shared benchmarks</t>
  </si>
  <si>
    <t>Every study uses its own dataset; 5 use industrial data</t>
  </si>
  <si>
    <t>Shared benchmarks with industrial scale and cost reporting</t>
  </si>
  <si>
    <t>Public benchmark with prompts, versions, cost and variance</t>
  </si>
  <si>
    <t>4. Behavioural and architectural views</t>
  </si>
  <si>
    <t>Class diagrams dominate (Stage 2, 7 studies); cross-view consistency mean 0.11</t>
  </si>
  <si>
    <t>Behavioural and architectural generation with cross-view checks</t>
  </si>
  <si>
    <t>Consistency and completeness above evaluation Level 3</t>
  </si>
  <si>
    <t>5. Expert and MDE comparison</t>
  </si>
  <si>
    <t>One direct comparison with human modellers (De Bari et al., 2024)</t>
  </si>
  <si>
    <t>Comparison with expert modellers and rule-based MDE</t>
  </si>
  <si>
    <t>Controlled studies with expert and MDE baselines</t>
  </si>
  <si>
    <t>6. Runtime models</t>
  </si>
  <si>
    <t>Runtime modelling rests on one partial study (P30)</t>
  </si>
  <si>
    <t>Runtime models and self-adaptation</t>
  </si>
  <si>
    <t>Runtime data driving verified model updates (Level 6 pilot)</t>
  </si>
  <si>
    <t>AI USAGE DECLARATION AND TRACEABILITY</t>
  </si>
  <si>
    <t>Declaration Item</t>
  </si>
  <si>
    <t>Details</t>
  </si>
  <si>
    <t>Primary Author</t>
  </si>
  <si>
    <t>Thandolwethu Siloyi &amp; Research Team</t>
  </si>
  <si>
    <t>AI Assistance Used</t>
  </si>
  <si>
    <t>Anthropic Claude (September 2026; earlier drafts GPT-4 and Gemini). Used for: auditing and reconciling this workbook (PRISMA counts, de-duplication, mapping written exclusion reasons to EC codes); recording the EC6 reason for not-retrieved reports from the group's statement; proposing the full-text scope decisions for P16, P20 and P23 at the group's request (Scope_Decisions); extracting 13 of the 27 studies and cross-checking those rows; coding domain, contribution type and taxonomy fields (Study_Coding, Report_Figures); drafting the report text, figures, slides and speaker scripts.</t>
  </si>
  <si>
    <t>AI NOT Used For</t>
  </si>
  <si>
    <t>Database searching, title/abstract screening and the original quality scores were done by group members. AI converted the quality scores from text to numbers but did not assign them.</t>
  </si>
  <si>
    <t>Data Traceability</t>
  </si>
  <si>
    <t>Every data point in the Data Extraction and QA sheets corresponds to the 27 included studies (Final_Included_Studies); excluded studies are archived in Excluded_Study_Archive.</t>
  </si>
  <si>
    <t>Sheet</t>
  </si>
  <si>
    <t>Change</t>
  </si>
  <si>
    <t>Data Extraction</t>
  </si>
  <si>
    <t>Re-extracted 13 rows: P14, P15, P16, P18, P20, P21, P22, P23, P24 (full text); P26, P29, P31, P34 (publisher abstract only). Changed cells shaded green.</t>
  </si>
  <si>
    <t>Team reviewer must verify (col AH) → superseded 25 Sep 2026 (see rows below)</t>
  </si>
  <si>
    <t>7 Claude-drafted rows (P12, P25, P27, P28, P30, P32, P33) cross-checked: every model name, dataset and figure found in source PDF.</t>
  </si>
  <si>
    <t>Team reviewer sign-off (col AH) → superseded 25 Sep 2026 (see rows below)</t>
  </si>
  <si>
    <t>Data Extraction / Final_Included_Studies</t>
  </si>
  <si>
    <t>Years for P19–P24 were stored as text (COUNTIF missed them); converted to numbers.</t>
  </si>
  <si>
    <t>Done</t>
  </si>
  <si>
    <t>Maturity cells normalised to 'Level n (Name)'; commentary moved to col AF; numeric level col AE (formula).</t>
  </si>
  <si>
    <t>Scope flags added for P16, P20, P23, P34 (col AI).</t>
  </si>
  <si>
    <t>TEAM DECISION → superseded 25 Sep 2026 (see rows below)</t>
  </si>
  <si>
    <t>PRISMA_Flow</t>
  </si>
  <si>
    <t>Rebuilt to PRISMA 2020 boxes with live formulas and a reconciliation check. 103 re-classified as 'reports not retrieved'.</t>
  </si>
  <si>
    <t>Duplicates count + 1,395 exclusion reasons: TEAM TO SUPPLY → superseded 25 Sep 2026 (see rows below)</t>
  </si>
  <si>
    <t>00_Overview_&amp;_PRISMA</t>
  </si>
  <si>
    <t>Totals now =SUM(); column headers use PRISMA 2020 wording.</t>
  </si>
  <si>
    <t>Excluded_Records</t>
  </si>
  <si>
    <t>Added PRISMA category + notes on abstract-judged EC codes.</t>
  </si>
  <si>
    <t>77 missing records: TEAM TO LOG → superseded 25 Sep 2026 (see rows below)</t>
  </si>
  <si>
    <t>Quality Assessment</t>
  </si>
  <si>
    <t>224 text scores ('0,5') converted to numbers; totals, %, tier are formulas; 18 criterion headers added from the brief; summary rows added.</t>
  </si>
  <si>
    <t>P01/P02 re-scoring: TEAM → superseded 25 Sep 2026 (see rows below)</t>
  </si>
  <si>
    <t>Maturity_Model</t>
  </si>
  <si>
    <t>Prevalence now computed from Data Extraction (was ~45/25/20/8/&lt;2% unsupported); study IDs per level.</t>
  </si>
  <si>
    <t>Study_Coding (new)</t>
  </si>
  <si>
    <t>34 × (7 techniques, 7 tasks, 6 tiers, 5 layers) evidence matrix feeding all artefact sheets.</t>
  </si>
  <si>
    <t>Team to confirm coding</t>
  </si>
  <si>
    <t>Taxonomy / Evaluation_Hierarchy / Reference_Architecture</t>
  </si>
  <si>
    <t>Study-ID columns, counts and an evidence grid added; unsupported tool names flagged yellow.</t>
  </si>
  <si>
    <t>Team to resolve yellow cells</t>
  </si>
  <si>
    <t>PRISMA_Flow / Dedup_Log (Task 1)</t>
  </si>
  <si>
    <t>Retrospective de-duplication by title/DOI across the six database sheets: 46 duplicate records in 43 groups (15 groups had conflicting decisions across databases, resolved as Include). De-duplication was not a discrete step during screening; stated in PRISMA_Flow and report.</t>
  </si>
  <si>
    <t>PRISMA_Flow / Stage2_Exclusions (Task 2)</t>
  </si>
  <si>
    <t>PRISMA rebuilt from the record-level logs (user decision 25 Sep 2026). 1,532 retained → 1,412 logged (120 not logged) → 1366 unique → 1117 excluded with reviewer reasons mapped to EC1/EC2/EC4/EC5/EC8 → 249 sought for retrieval. The earlier 137/103 figures could not be traced to any record-level log and were retired.</t>
  </si>
  <si>
    <t>Excluded_Records (Task 3)</t>
  </si>
  <si>
    <t>Rebuilt to 226 rows: every post-screening exclusion listed individually. EC6 (no institutional subscription) applied to curation-stage exclusions per the team's statement of 25 Sep 2026; original 26 rows preserved within the log.</t>
  </si>
  <si>
    <t>Done — reason source: team statement</t>
  </si>
  <si>
    <t>Final_Included_Studies / Excluded_Records (Task 4)</t>
  </si>
  <si>
    <t>P16 excluded (EC1, MDE4AI), P20 excluded (EC2, general-purpose code generation), P23 excluded (EC2, no modelling layer); criterion-by-criterion reasoning with page references in Scope_Decisions. Elsevier author-share link could not be resolved (robots-blocked, no title stored) — recorded as unresolved; moot after Task 5.</t>
  </si>
  <si>
    <t>Final_Included_Studies / Excluded_Records (Task 5)</t>
  </si>
  <si>
    <t>P26, P29, P31, P34: no PDF found in Articles.zip (checked by filename, title and DOI on every PDF). Excluded under EC6 per the stated rule; extraction and QA rows moved to Excluded_Study_Archive. N = 34 → 27.</t>
  </si>
  <si>
    <t>Data Extraction (Task 6)</t>
  </si>
  <si>
    <t>P14, P15, P18, P21, P22, P24 re-checked field by field against full text (P16, P20, P23 also checked, then archived). Corrections: P14 statistics named (Quade + Holm); P22 comparison corrected (no GPT-4 benchmark; open-LLM selection) and metrics added (R 0.921, P 0.976, F1 0.938). Verified-by records Claude (AI-assisted) — add a team member's initials if your AI declaration requires human sign-off.</t>
  </si>
  <si>
    <t>SpringerLink / Included list</t>
  </si>
  <si>
    <t>Removed template 'Example:' rows (SpringerLink row 2; Included list row 172).</t>
  </si>
  <si>
    <t>All sheets (Task 7)</t>
  </si>
  <si>
    <t>Reconciliation_Summary sheet added; every location reports N = 27 and the same PRISMA figures.</t>
  </si>
  <si>
    <t>Legend: green = changed; yellow = team input (none outstanding after 25 Sep 2026 pass).</t>
  </si>
  <si>
    <t>Stage_Coverage (new)</t>
  </si>
  <si>
    <t>12-stage evidence coverage for N = 27; drives report Figure 10.3 and §3/§10.2 bands.</t>
  </si>
  <si>
    <t>Report_Change_Log (new)</t>
  </si>
  <si>
    <t>172 logged edits to the Word report (N = 27 sweep, excluded-study citations, figures, tables, length).</t>
  </si>
  <si>
    <t>P08 metrics corrected: row had P22's recall/precision/F1 copied in; replaced with P08's own Table I (accuracy 99.3% vs 50.68% baseline).</t>
  </si>
  <si>
    <t>Search_Strings</t>
  </si>
  <si>
    <t>ScienceDirect execution date typo 2016-03-16 corrected to 2026-03-16.</t>
  </si>
  <si>
    <t>AI_Usage_Declaration</t>
  </si>
  <si>
    <t>Updated to N = 27 and to the actual scope of AI use (extraction assistance, reconciliation, drafting).</t>
  </si>
  <si>
    <t>Group to confirm</t>
  </si>
  <si>
    <t>Report</t>
  </si>
  <si>
    <t>New manuscript SLR_AI_Driven_Model_Engineering_FINAL_6.docx written to brief and rubric; body 24 pages.</t>
  </si>
  <si>
    <t>FINAL_7 changes (25 Sep 2026, AI-assisted with Claude at the group's request)</t>
  </si>
  <si>
    <t>Data Extraction V (P01): added quoted figure with page reference</t>
  </si>
  <si>
    <t>Data Extraction E (P06): year 2025 -&gt; 2026 (TOSEM 35(4), March 2026 version of record)</t>
  </si>
  <si>
    <t>Data Extraction V (P08): added quoted figure with page reference</t>
  </si>
  <si>
    <t>Data Extraction V (P09): added quoted figure with page reference</t>
  </si>
  <si>
    <t>Data Extraction V (P11): added quoted figure with page reference</t>
  </si>
  <si>
    <t>Data Extraction V (P14): added quoted figure with page reference</t>
  </si>
  <si>
    <t>Data Extraction V (P17): added quoted figure with page reference</t>
  </si>
  <si>
    <t>Data Extraction V (P18): added quoted figure with page reference</t>
  </si>
  <si>
    <t>Data Extraction V (P21): added quoted figure with page reference</t>
  </si>
  <si>
    <t>Data Extraction V (P22): added quoted figure with page reference</t>
  </si>
  <si>
    <t>Research_Agenda: rewritten to match report Table 16 (six priorities); removed 'zero evidence for Stages 9-11'</t>
  </si>
  <si>
    <t>00_Overview A3: N = 34 -&gt; N = 27</t>
  </si>
  <si>
    <t>Protocol B6: period corrected to end at the search dates (15–18 March 2026)</t>
  </si>
  <si>
    <t>IEEE Xplore A1: stray text '.vdvs' replaced with sheet title</t>
  </si>
  <si>
    <t>Reference_Architecture D3-G6 and Evaluation_Hierarchy D4-D5, A10: removed technologies not used by any included study (KeyBERT, Claude 3.5 Sonnet, LangChain, Eclipse EMF, Xtext, Bolloju, EMF compare) and resolved open notes</t>
  </si>
  <si>
    <t>AI_Usage_Declaration B4-B5: rewritten to list every AI-assisted task</t>
  </si>
  <si>
    <t>Freeze panes set on header rows of the main data sheets</t>
  </si>
  <si>
    <t>Reconciliation_Summary: stale FINAL_4/FINAL_5 rows updated for FINAL_7</t>
  </si>
  <si>
    <t>ARCHIVE — rows removed from Data Extraction, Quality Assessment and Final_Included_Studies after the Task 4/5 decisions (25 Sep 2026). Kept for traceability; not part of the synthesis.</t>
  </si>
  <si>
    <t>P16</t>
  </si>
  <si>
    <t>Full text assessed; fails IC1 — MDE is used to deploy ML models (MDE4AI); no AI technique is applied to a model-engineering task (pp. 1–2, 10–12, 18).</t>
  </si>
  <si>
    <t>P20</t>
  </si>
  <si>
    <t>Full text assessed; fails IC2/IC3 — generates general-purpose code (Gleam, MoonBit) with no software model produced or used (pp. 1–5, 8, 12); brief §6: 'generate code directly without using or producing a software model'.</t>
  </si>
  <si>
    <t>P23</t>
  </si>
  <si>
    <t>Full text assessed; fails IC2 — Copilot-assisted scripting in MQL4, a C-like platform language, with no metamodel, model or MDE process (pp. 1, 3–5, 9).</t>
  </si>
  <si>
    <t>P26</t>
  </si>
  <si>
    <t>EC6</t>
  </si>
  <si>
    <t>Report not retrieved — no PDF in Articles.zip and no institutional subscription (ScienceDirect paywall).</t>
  </si>
  <si>
    <t>P29</t>
  </si>
  <si>
    <t>P31</t>
  </si>
  <si>
    <t>P34</t>
  </si>
  <si>
    <t>Report not retrieved — no PDF in Articles.zip and no institutional subscription; abstract also indicates EC2 (web-app testing, no software models).</t>
  </si>
  <si>
    <t>From Final_Included_Studies</t>
  </si>
  <si>
    <t>FLAGGED FOR REVIEW: full-text check (Sept 2026) found zero mentions of UML/SysML/BPMN/metamodel/model-driven content. Paper explicitly scopes itself to general-purpose no-resource programming languages, not DSLs/models. Likely does not satisfy IC2/IC3. Awaiting PI decision on exclusion.</t>
  </si>
  <si>
    <t>FLAGGED FOR REVIEW: uses a genuine DSL (MQL4) but no metamodel/UML/formal MDE process found on full-text check (Sept 2026). Weak IC2 fit - AI-assisted DSL scripting, not classical MDE. Awaiting PI decision.</t>
  </si>
  <si>
    <t>STILL UNVERIFIED as of the last upload: no full-text PDF received for this study. One of {P26, P29, P31, P34} is represented only by a paywalled Elsevier author-share link with no title attached (https://authors.elsevier.com/a/1lWZqbKHpKFtO) - needs confirmation of which title this is. The remaining three have no file or link at all. Recommend treating as provisionally EXCLUDED under EC6 (full-text unavailable / no institutional subscription) unless full text is supplied.</t>
  </si>
  <si>
    <t>From Data Extraction</t>
  </si>
  <si>
    <t>Full text (Articles.zip) — re-extracted by Claude, Sept 2026</t>
  </si>
  <si>
    <t>Sweden (Chalmers / Univ. of Gothenburg); Netherlands (Radboud Univ.); industry partner Wiretronic AB</t>
  </si>
  <si>
    <t>Design-science study: DSL + runtime interpreter + preliminary user evaluation</t>
  </si>
  <si>
    <t>Edge ML deployment on smartphones (cross-platform Flutter apps)</t>
  </si>
  <si>
    <t>Industrial prototype; evaluation with 4 developers</t>
  </si>
  <si>
    <t>None applied to model engineering — ML models are the deployment target (MDE4AI), not the modelling assistant</t>
  </si>
  <si>
    <t>Not applicable (no AI-driven modelling)</t>
  </si>
  <si>
    <t>Not applicable</t>
  </si>
  <si>
    <t>DSL design and runtime model interpretation (ML serving pipelines)</t>
  </si>
  <si>
    <t>JSON-based DSL for ML serving pipelines</t>
  </si>
  <si>
    <t>DSL instances describing pre/post-processing pipelines</t>
  </si>
  <si>
    <t>Runtime-interpreted pipelines executed by a Flutter library</t>
  </si>
  <si>
    <t>Artifact study + industrial interviews</t>
  </si>
  <si>
    <t>Previous (manual, platform-specific) development approach</t>
  </si>
  <si>
    <t>User study (task time, lines of code, correctness) and requirements evaluation</t>
  </si>
  <si>
    <t>Manual modelling by engineers using the DSL</t>
  </si>
  <si>
    <t>Lower task time and less code with new approach; no statistically significant difference in correctness (n = 4)</t>
  </si>
  <si>
    <t>Runtime interpretation avoids app re-release; not benchmarked at scale</t>
  </si>
  <si>
    <t>DSL schema conformance</t>
  </si>
  <si>
    <t>Online artifact accompanying the paper</t>
  </si>
  <si>
    <t>Faster changes, less duplicated platform code, confidence for less-experienced engineers</t>
  </si>
  <si>
    <t>Very small evaluation (4 developers); single company context</t>
  </si>
  <si>
    <t>Yes — Wiretronic AB collaboration</t>
  </si>
  <si>
    <t>Level 1 (Manual Modelling)</t>
  </si>
  <si>
    <t>Switzerland (USI, SEART); Spain (Univ. de Sevilla)</t>
  </si>
  <si>
    <t>Empirical study + benchmark construction</t>
  </si>
  <si>
    <t>Code generation for no-resource programming languages</t>
  </si>
  <si>
    <t>Two new benchmarks (Gleam, MoonBit); multiple LLM sizes</t>
  </si>
  <si>
    <t>Qwen family (Qwen2.5/Qwen3 incl. coder variants) and GPT-4o</t>
  </si>
  <si>
    <t>Zero-shot, few-shot, RAG, further pre-training and fine-tuning on scarce data</t>
  </si>
  <si>
    <t>NL-to-code generation (no modelling artefact) — scope concern</t>
  </si>
  <si>
    <t>None (general-purpose languages Gleam, MoonBit)</t>
  </si>
  <si>
    <t>Natural-language task descriptions</t>
  </si>
  <si>
    <t>Source code in Gleam / MoonBit</t>
  </si>
  <si>
    <t>Newly built Gleam and MoonBit benchmarks</t>
  </si>
  <si>
    <t>Zero-shot performance; high- and low-resource languages</t>
  </si>
  <si>
    <t>Test execution (pass@1); McNemar tests with Benjamini–Hochberg correction</t>
  </si>
  <si>
    <t>None in loop (automated benchmark study)</t>
  </si>
  <si>
    <t>Very low zero-shot pass@1; in-context learning improves results (odds ratios 1.89–4.24 Gleam, 1.43–3.78 MoonBit)</t>
  </si>
  <si>
    <t>Compute cost of pre-training/fine-tuning discussed</t>
  </si>
  <si>
    <t>Statistical significance testing</t>
  </si>
  <si>
    <t>Compiler/test conformance only</t>
  </si>
  <si>
    <t>Benchmarks and replication package</t>
  </si>
  <si>
    <t>Guidance for companies building in-house assistants for proprietary languages</t>
  </si>
  <si>
    <t>Only two languages; results tied to specific model versions</t>
  </si>
  <si>
    <t>Motivated by industry need; no industrial deployment</t>
  </si>
  <si>
    <t>Spain (UNED, Madrid; single author)</t>
  </si>
  <si>
    <t>Methodology + single case study</t>
  </si>
  <si>
    <t>Financial trading automation (MetaTrader 4)</t>
  </si>
  <si>
    <t>Single Expert Advisor; 150 historical bars × 7 instruments + months of live use</t>
  </si>
  <si>
    <t>GitHub Copilot (other LLMs considered, not evaluated)</t>
  </si>
  <si>
    <t>Iterative prompt templates incl. compiler-error feedback; 9 refinement cycles</t>
  </si>
  <si>
    <t>Single assistant</t>
  </si>
  <si>
    <t>NL-to-DSL code generation (no metamodel/UML) — scope concern</t>
  </si>
  <si>
    <t>MQL4 domain-specific language</t>
  </si>
  <si>
    <t>Natural-language trading-logic prompts</t>
  </si>
  <si>
    <t>MQL4 Expert Advisor code</t>
  </si>
  <si>
    <t>Historical market data (7 instruments)</t>
  </si>
  <si>
    <t>Manual estimate from published DSL benchmarks (1–2 days)</t>
  </si>
  <si>
    <t>MQL4 compiler feedback + functional tests on historical bars + live deployment</t>
  </si>
  <si>
    <t>Interactive: developer drives each refinement cycle</t>
  </si>
  <si>
    <t>~4 h development (~70% reduction vs baseline estimate); functionally correct after 9 cycles</t>
  </si>
  <si>
    <t>Not measured</t>
  </si>
  <si>
    <t>Documents hallucination patterns</t>
  </si>
  <si>
    <t>Compiler conformance</t>
  </si>
  <si>
    <t>Prompt templates published in paper</t>
  </si>
  <si>
    <t>Rapid prototyping of DSL tools</t>
  </si>
  <si>
    <t>Single case, single author, baseline is an estimate; one LLM</t>
  </si>
  <si>
    <t>Live deployment by author</t>
  </si>
  <si>
    <t>ABSTRACT ONLY (publisher page; full text not in team corpus) — Claude, Sept 2026; team must verify against full text</t>
  </si>
  <si>
    <t>Egypt (Arab Academy for Science, Technology and Maritime Transport)</t>
  </si>
  <si>
    <t>Approach proposal (Semanti-MOP) + empirical evaluation</t>
  </si>
  <si>
    <t>Architecture refactoring: monolith-to-microservices decomposition</t>
  </si>
  <si>
    <t>4 systems incl. Apache Flink; 2,520 + 840 evaluation runs</t>
  </si>
  <si>
    <t>Many-objective evolutionary optimisation (7 optimisers) + LLM with RAG as semantic arbiter (model version not given in abstract)</t>
  </si>
  <si>
    <t>Instability-triggered LLM invocation via RAG only when assignment entropy is high</t>
  </si>
  <si>
    <t>Hybrid optimiser + LLM (non-agentic)</t>
  </si>
  <si>
    <t>Architecture model transformation / refactoring</t>
  </si>
  <si>
    <t>Service decomposition (architecture) models</t>
  </si>
  <si>
    <t>Monolithic code structure and domain semantics</t>
  </si>
  <si>
    <t>Microservice boundary assignments</t>
  </si>
  <si>
    <t>Spring-PetClinic, Cargo Tracker, Shopizer, Apache Flink</t>
  </si>
  <si>
    <t>Purely structural search baselines; global LLM approaches</t>
  </si>
  <si>
    <t>MoJoFM vs reference decompositions; Hypervolume; A12 effect sizes</t>
  </si>
  <si>
    <t>None in loop (automated)</t>
  </si>
  <si>
    <t>Significant MoJoFM gains (A12 up to 0.86); &gt;90% fewer LLM calls than global approaches</t>
  </si>
  <si>
    <t>Explicit: LLM call reduction; scales to Apache Flink</t>
  </si>
  <si>
    <t>Uses entropy (uncertainty) to trigger LLM</t>
  </si>
  <si>
    <t>Not stated in abstract</t>
  </si>
  <si>
    <t>Resolves semantic–structural conflict at low LLM cost</t>
  </si>
  <si>
    <t>Not stated in abstract — verify in full text</t>
  </si>
  <si>
    <t>Industrial-scale open-source system (Apache Flink)</t>
  </si>
  <si>
    <t>China (Zhejiang Sci-Tech University)</t>
  </si>
  <si>
    <t>Framework proposal (MFLF, KWOA-LTR) + empirical evaluation</t>
  </si>
  <si>
    <t>Behavioural model validation (EFSM fault localisation)</t>
  </si>
  <si>
    <t>10 benchmark EFSMs (8 existing + 2 generated)</t>
  </si>
  <si>
    <t>Classical ML + metaheuristics: K-Means, Whale Optimization Algorithm, learning-to-rank; no LLM</t>
  </si>
  <si>
    <t>Supervised learning-to-rank over risk-formula suspiciousness scores</t>
  </si>
  <si>
    <t>Single pipeline (non-agentic)</t>
  </si>
  <si>
    <t>Model validation &amp; fault localisation (repair support)</t>
  </si>
  <si>
    <t>Extended Finite State Machines (EFSM)</t>
  </si>
  <si>
    <t>EFSM models + test execution spectra</t>
  </si>
  <si>
    <t>Ranked list of suspicious transitions</t>
  </si>
  <si>
    <t>10 benchmark EFSMs</t>
  </si>
  <si>
    <t>Existing SBFL risk formulas/methods</t>
  </si>
  <si>
    <t>Fault-localisation precision vs seeded faults; Wilcoxon signed-rank tests</t>
  </si>
  <si>
    <t>Assistive: ranking guides engineer's debugging</t>
  </si>
  <si>
    <t>Higher precision and stability than existing methods (abstract gives no figures)</t>
  </si>
  <si>
    <t>Suspiciousness scores are interpretable rankings</t>
  </si>
  <si>
    <t>Not stated</t>
  </si>
  <si>
    <t>Reduces manual debugging effort for EFSMs</t>
  </si>
  <si>
    <t>None stated</t>
  </si>
  <si>
    <t>Italy (Univ. of L'Aquila)</t>
  </si>
  <si>
    <t>Approach proposal (memoCNN) + empirical comparison</t>
  </si>
  <si>
    <t>Model repository management — metamodel classification</t>
  </si>
  <si>
    <t>Labelled metamodel dataset (size not given in abstract)</t>
  </si>
  <si>
    <t>Convolutional neural network (memoCNN); metamodels encoded as images; no LLM</t>
  </si>
  <si>
    <t>Supervised training on manually labelled metamodels</t>
  </si>
  <si>
    <t>Model management / classification (repository organisation)</t>
  </si>
  <si>
    <t>Ecore metamodels</t>
  </si>
  <si>
    <t>Metamodels (encoded as images)</t>
  </si>
  <si>
    <t>Category labels for metamodels</t>
  </si>
  <si>
    <t>Manually classified metamodel dataset</t>
  </si>
  <si>
    <t>AURORA (state-of-the-art classifier)</t>
  </si>
  <si>
    <t>Classification metrics against labelled ground truth</t>
  </si>
  <si>
    <t>Assistive: supports engineers searching repositories</t>
  </si>
  <si>
    <t>Outperforms AURORA on several quality metrics; improves with more training data (abstract gives no figures)</t>
  </si>
  <si>
    <t>More effective and efficient as training data grows</t>
  </si>
  <si>
    <t>Low (CNN)</t>
  </si>
  <si>
    <t>Removes subjective, tedious manual classification</t>
  </si>
  <si>
    <t>Pakistan (authors Sherin, Muqeet, Khan, Iqbal)</t>
  </si>
  <si>
    <t>Tool proposal (QExplore) + empirical comparison</t>
  </si>
  <si>
    <t>Automated web-application testing — SCOPE CONCERN (no software-model engineering)</t>
  </si>
  <si>
    <t>6 open-source + 1 industrial web application</t>
  </si>
  <si>
    <t>Q-learning-inspired guided search + NLP for contextual form input; no LLM</t>
  </si>
  <si>
    <t>Reinforcement-learning-style exploration; no training corpus</t>
  </si>
  <si>
    <t>Single exploring agent</t>
  </si>
  <si>
    <t>Dynamic exploration / test generation (builds a State-Flow Graph as by-product)</t>
  </si>
  <si>
    <t>State-Flow Graph (internal); no MDE metamodel</t>
  </si>
  <si>
    <t>Running web application</t>
  </si>
  <si>
    <t>Explored states, navigational paths, error states</t>
  </si>
  <si>
    <t>7 web applications; budgets 600/1200/1800 s</t>
  </si>
  <si>
    <t>Crawljax, WebExplor</t>
  </si>
  <si>
    <t>Coverage/diversity metrics against baselines</t>
  </si>
  <si>
    <t>Higher coverage and DOM diversity, more paths/error states than Crawljax and WebExplor</t>
  </si>
  <si>
    <t>Three time budgets evaluated</t>
  </si>
  <si>
    <t>Explores states behind web forms</t>
  </si>
  <si>
    <t>One industrial application</t>
  </si>
  <si>
    <t>From Quality Assessment</t>
  </si>
  <si>
    <t>Albin Karlsson Landgren; Philip Perhult Johnsen; Daniel Strüber (2025)</t>
  </si>
  <si>
    <t>0,5</t>
  </si>
  <si>
    <t>12,5</t>
  </si>
  <si>
    <t>0,694444444</t>
  </si>
  <si>
    <t>Giagnorio, Alessandro; Martin-Lopez, Alberto; Bavota, Gabriele (2026)</t>
  </si>
  <si>
    <t>0,666666667</t>
  </si>
  <si>
    <t>Fumanal-Andrés, Ignacio (2026)</t>
  </si>
  <si>
    <t>Salem, Ahmed (2026)</t>
  </si>
  <si>
    <t>Shu, Ting; Xue, Xinru; Yin, Xuesong; Xia, Jinsong (2025)</t>
  </si>
  <si>
    <t>Nguyen, Phuong T.; Di Ruscio, Davide; Pierantonio, Alfonso; Di Rocco, Juri; Iovino, Ludovico (2021)</t>
  </si>
  <si>
    <t>Sherin, Salman; Muqeet, Asmar; Khan, Muhammad Uzair; Iqbal, Muhammad Zohaib (2023)</t>
  </si>
  <si>
    <t>Figure used in report</t>
  </si>
  <si>
    <t>% of N</t>
  </si>
  <si>
    <t>Study IDs / source</t>
  </si>
  <si>
    <t>N (included studies)</t>
  </si>
  <si>
    <t>Final_Included_Studies</t>
  </si>
  <si>
    <t>Year 2015</t>
  </si>
  <si>
    <t>Data Extraction col E</t>
  </si>
  <si>
    <t>Year 2021</t>
  </si>
  <si>
    <t>Year 2023</t>
  </si>
  <si>
    <t>Year 2024</t>
  </si>
  <si>
    <t>Year 2025</t>
  </si>
  <si>
    <t>Year 2026</t>
  </si>
  <si>
    <t>Database: IEEE Xplore</t>
  </si>
  <si>
    <t>Final_Included_Studies col B</t>
  </si>
  <si>
    <t>Database: SpringerLink</t>
  </si>
  <si>
    <t>Database: ScienceDirect</t>
  </si>
  <si>
    <t>Database: ACM Digital Library</t>
  </si>
  <si>
    <t>Database: Scopus</t>
  </si>
  <si>
    <t>Database: Web of Science</t>
  </si>
  <si>
    <t>Technique: LLMs / Foundation Models</t>
  </si>
  <si>
    <t>Study_Coding</t>
  </si>
  <si>
    <t>Technique: Specialised ML / Evolutionary</t>
  </si>
  <si>
    <t>Technique: Deep Learning (Seq2Seq / Seq2AST / CNN)</t>
  </si>
  <si>
    <t>Technique: Multimodal Foundation Models</t>
  </si>
  <si>
    <t>Technique: Knowledge Graphs, RAG &amp; GNNs</t>
  </si>
  <si>
    <t>Technique: Single &amp; Multi-Agent Systems</t>
  </si>
  <si>
    <t>Technique: Neuro-Symbolic AI</t>
  </si>
  <si>
    <t>Domain: Safety-critical &amp; embedded</t>
  </si>
  <si>
    <t>P11, P17, P27</t>
  </si>
  <si>
    <t>Domain: SE education</t>
  </si>
  <si>
    <t>P13, P18</t>
  </si>
  <si>
    <t>Domain: Blockchain</t>
  </si>
  <si>
    <t>Domain: Games</t>
  </si>
  <si>
    <t>Domain: Financial trading</t>
  </si>
  <si>
    <t>Domain: Healthcare / biomedical</t>
  </si>
  <si>
    <t>Domain: general-purpose SE</t>
  </si>
  <si>
    <t>all others</t>
  </si>
  <si>
    <t>Contribution: Tool / framework / approach proposal</t>
  </si>
  <si>
    <t>P01, P04, P06, P08, P09, P10, P11, P12, P14, P15, P17, P19, P21, P22, P24, P28, P30, P33</t>
  </si>
  <si>
    <t>Contribution: Empirical evaluation / benchmark</t>
  </si>
  <si>
    <t>P02, P05, P07, P13, P18, P25, P27, P32</t>
  </si>
  <si>
    <t>Contribution: Methodological vision</t>
  </si>
  <si>
    <t>Domain and contribution-type coding by Claude from Data Extraction (Sept 2026) — team to confirm.</t>
  </si>
  <si>
    <t>WORD REPORT CHANGE LOG — SLR_report_FINAL_5_tracked.docx vs the uploaded report (25 Sep 2026). Every entry is also a tracked change in the .docx.</t>
  </si>
  <si>
    <t>Action</t>
  </si>
  <si>
    <t>Detail / reason</t>
  </si>
  <si>
    <t>AI Usage Declaration, item 3</t>
  </si>
  <si>
    <t>'AI_Driven_Model_Engineering_SLR_Workboo_Final.xlsx' → 'AI_Driven_Model_Engineering_SLR_Workbook_FINAL_5.x'</t>
  </si>
  <si>
    <t>§1.2 Identification bullet</t>
  </si>
  <si>
    <t>Rewritten</t>
  </si>
  <si>
    <t>31,469 → 7,585; per-database counts; +4 via other methods</t>
  </si>
  <si>
    <t>§1.2 Screening bullet</t>
  </si>
  <si>
    <t>1,397 → record-level flow with EC breakdown and retrospective de-duplication</t>
  </si>
  <si>
    <t>§1.2 Eligibility bullet</t>
  </si>
  <si>
    <t>137/103 → 249/222/27/4</t>
  </si>
  <si>
    <t>§1.2 Inclusion bullet</t>
  </si>
  <si>
    <t>60 → 27</t>
  </si>
  <si>
    <t>§1.3 heading</t>
  </si>
  <si>
    <t>'(2023-2026)' → '(2015–2026)'</t>
  </si>
  <si>
    <t>§1.3 para 1</t>
  </si>
  <si>
    <t>'between 2023 and 2026.' → 'between 2023 and 2026: 19 of the 27 included studi'</t>
  </si>
  <si>
    <t>§1.3 year bullet P28</t>
  </si>
  <si>
    <t>Deleted</t>
  </si>
  <si>
    <t>Cut for length: repeats Table 1.1 (bullets cited MAGDA/MemoRec and Karlsson Landgren et al., which are not in the corpus)</t>
  </si>
  <si>
    <t>§1.3 year bullet P29</t>
  </si>
  <si>
    <t>§1.3 year bullet P30</t>
  </si>
  <si>
    <t>§1.3 year bullet P31</t>
  </si>
  <si>
    <t>Table 1.1</t>
  </si>
  <si>
    <t>Table rebuilt from workbook</t>
  </si>
  <si>
    <t>Rebuilt from Report_Figures (Year counts, N = 27)</t>
  </si>
  <si>
    <t>§1.3 synthesis</t>
  </si>
  <si>
    <t>'The high concentration of 2026 publications furthe' → 'Nearly half of the corpus (13 of 27) appeared in 2'</t>
  </si>
  <si>
    <t>Table 1.2</t>
  </si>
  <si>
    <t>Rebuilt from Final_Included_Studies (N = 27)</t>
  </si>
  <si>
    <t>§1.4 'Evaluating Search Strategy Rigor'</t>
  </si>
  <si>
    <t>Balanced-distribution claim no longer true; recomputed shares</t>
  </si>
  <si>
    <t>§1.5 Application Domains</t>
  </si>
  <si>
    <t>Unsupported ~40/25/15/10/10% replaced with Report_Figures counts</t>
  </si>
  <si>
    <t>§1.5 contribution type 1</t>
  </si>
  <si>
    <t>'(~45%)' → '(n = 18, 66.7%)'</t>
  </si>
  <si>
    <t>§1.5 contribution type 2</t>
  </si>
  <si>
    <t>'(~35%)' → '(n = 8, 29.6%)'</t>
  </si>
  <si>
    <t>§1.5 contribution type 3</t>
  </si>
  <si>
    <t>'(~20%)' → '(n = 1, 3.7%)'</t>
  </si>
  <si>
    <t>§1.6 second paragraph</t>
  </si>
  <si>
    <t>Cut for length: bridging sentence repeated in §11–14</t>
  </si>
  <si>
    <t>§1.6</t>
  </si>
  <si>
    <t>'This has created a noticeable imbalance in the lit' → 'The result is an imbalance that frames the quality'</t>
  </si>
  <si>
    <t>§1.7 PRISMA bullet</t>
  </si>
  <si>
    <t>31,469/438/403/60/34 → reconciled flow</t>
  </si>
  <si>
    <t>§1.7 workbook name</t>
  </si>
  <si>
    <t>'AI_Driven_Model_Engineering_SLR_Complete_Master_Wo' → 'AI_Driven_Model_Engineering_SLR_Workbook_FINAL_5.x'</t>
  </si>
  <si>
    <t>§2 intro</t>
  </si>
  <si>
    <t>'all 34 studies' → 'all 27 studies'</t>
  </si>
  <si>
    <t>§2.1</t>
  </si>
  <si>
    <t>'final corpus of 34 studies' → 'final corpus of 27 studies'</t>
  </si>
  <si>
    <t>Figure 2.1 caption</t>
  </si>
  <si>
    <t>'among the 34 studies' → 'among the 27 studies'</t>
  </si>
  <si>
    <t>§2.2 para 1</t>
  </si>
  <si>
    <t>29/34 (85.3%) → 23/27 (85.2%)</t>
  </si>
  <si>
    <t>§2.4 para 1</t>
  </si>
  <si>
    <t>Removed Nguyen et al. (2021) [P31, excluded EC6]; re-attributed to Alaswad, Zrelli, Blasco (verified in Data Extraction)</t>
  </si>
  <si>
    <t>§2.4 multimodal</t>
  </si>
  <si>
    <t>'Only two articles (5.9%) among the 34 reviewed stu' → 'Only two of the 27 studies (7.4%)'</t>
  </si>
  <si>
    <t>§2.5 agentic</t>
  </si>
  <si>
    <t>2/34 (5.9%) → 4/27 (14.8%) per Study_Coding</t>
  </si>
  <si>
    <t>§2.6</t>
  </si>
  <si>
    <t>'(Nguyen et al., 2021; Echeverria et al., 2021; Man' → '(Blasco et al., 2021; Echeverría et al., 2021; Man'</t>
  </si>
  <si>
    <t>Nguyen et al. (2021) excluded → Blasco et al. (2021)</t>
  </si>
  <si>
    <t>§2.7</t>
  </si>
  <si>
    <t>'within the framework of 34 studies' → 'across the 27 studies'</t>
  </si>
  <si>
    <t>§2.8 para 1</t>
  </si>
  <si>
    <t>Cut for length: repeated §2.1–2.2 counts</t>
  </si>
  <si>
    <t>§3 para 1</t>
  </si>
  <si>
    <t>34 → 27; stage counts from Stage_Coverage; T5 attribution corrected</t>
  </si>
  <si>
    <t>§3 para 2</t>
  </si>
  <si>
    <t>GNN/collaborative-filtering claims had no corpus support (Wang 2024, MemoRec); late-stage evidence recomputed</t>
  </si>
  <si>
    <t>§3 para 3 (bands)</t>
  </si>
  <si>
    <t>Bands recomputed; Stage 3 and 12 fall to Light, Stage 8 to Moderate, Stage 10 rises to Moderate</t>
  </si>
  <si>
    <t>§3 para 4</t>
  </si>
  <si>
    <t>Dao et al. was mislabelled a GNN study; single-anchor stages restated</t>
  </si>
  <si>
    <t>Figure 3.1 caption</t>
  </si>
  <si>
    <t>Added retrospective de-duplication statement</t>
  </si>
  <si>
    <t>§3 PRISMA narrative</t>
  </si>
  <si>
    <t>137/103/34 → reconciled flow</t>
  </si>
  <si>
    <t>RQ4 intro</t>
  </si>
  <si>
    <t>Condensed RQ4 prose into one paragraph; Di Rocco et al. (MemoRec) removed — not in corpus; Wang 2024 → Wang et al. 2026 (P13)</t>
  </si>
  <si>
    <t>RQ4 prose P99</t>
  </si>
  <si>
    <t>Cut for length: duplicated Table 4.3</t>
  </si>
  <si>
    <t>RQ4 prose P100</t>
  </si>
  <si>
    <t>RQ4 prose P101</t>
  </si>
  <si>
    <t>RQ4 prose P102</t>
  </si>
  <si>
    <t>RQ4 prose P103</t>
  </si>
  <si>
    <t>RQ4 prose P104</t>
  </si>
  <si>
    <t>RQ4 prose P105</t>
  </si>
  <si>
    <t>RQ4 prose P106</t>
  </si>
  <si>
    <t>RQ4 architecture/DSL/formal</t>
  </si>
  <si>
    <t>Condensed; CTL re-attributed to Zrelli et al. (2026); 'Edge ML Deployment Schemas' (Karlsson Landgren, excluded) removed</t>
  </si>
  <si>
    <t>RQ4 prose P108</t>
  </si>
  <si>
    <t>RQ4 prose P109</t>
  </si>
  <si>
    <t>RQ4 prose P110</t>
  </si>
  <si>
    <t>RQ4 prose P111</t>
  </si>
  <si>
    <t>RQ4 prose P112</t>
  </si>
  <si>
    <t>RQ4 table caption</t>
  </si>
  <si>
    <t>'Table: Classification of Modelling Languages and A' → 'Table 4.3: Classification of Modelling Languages a'</t>
  </si>
  <si>
    <t>Table 4.3 structural row</t>
  </si>
  <si>
    <t>'Di Rocco et al. (2023); ' → ''</t>
  </si>
  <si>
    <t>'Siala &amp; Lano (2026)' → 'Chen, Shen &amp; He (2026); Siala &amp; Lano (2026)'</t>
  </si>
  <si>
    <t>Table 4.3 interaction row</t>
  </si>
  <si>
    <t>'Wang et al. (2024)' → 'Wang et al. (2026)'</t>
  </si>
  <si>
    <t>Table 4.3 formal row</t>
  </si>
  <si>
    <t>'Siala &amp; Lano (2026); Tahat et al. (2026)' → 'Delgado et al. (2026); Siala &amp; Lano (2026); Tahat '</t>
  </si>
  <si>
    <t>Table 4.3 DSL row</t>
  </si>
  <si>
    <t>'Ait Hsain et al. (2025)' → 'Ait Hsain et al. (2025); Lamas et al. (2026)'</t>
  </si>
  <si>
    <t>Table 4.3 DSL row (edge-ML schemas were P16)</t>
  </si>
  <si>
    <t>' and specialised schemas' → ''</t>
  </si>
  <si>
    <t>RQ4 synthesis</t>
  </si>
  <si>
    <t>Tightened</t>
  </si>
  <si>
    <t>§5 para 1</t>
  </si>
  <si>
    <t>'Wang et al., 2024' → 'Wang et al., 2026'</t>
  </si>
  <si>
    <t>'These scholarly findings underscore artificial int' → ''</t>
  </si>
  <si>
    <t>Removed redundant closing sentence</t>
  </si>
  <si>
    <t>RQ6 role prose P125</t>
  </si>
  <si>
    <t>Cut for length: ten role subsections condensed into one table (6.2 duplicated 6.1 verbatim)</t>
  </si>
  <si>
    <t>RQ6 role prose P126</t>
  </si>
  <si>
    <t>RQ6 role prose P127</t>
  </si>
  <si>
    <t>RQ6 role prose P128</t>
  </si>
  <si>
    <t>RQ6 role prose P129</t>
  </si>
  <si>
    <t>RQ6 role prose P130</t>
  </si>
  <si>
    <t>RQ6 role prose P131</t>
  </si>
  <si>
    <t>RQ6 role prose P132</t>
  </si>
  <si>
    <t>RQ6 role prose P133</t>
  </si>
  <si>
    <t>RQ6 role prose P134</t>
  </si>
  <si>
    <t>RQ6 role prose P135</t>
  </si>
  <si>
    <t>RQ6 role prose P136</t>
  </si>
  <si>
    <t>RQ6 role prose P137</t>
  </si>
  <si>
    <t>RQ6 role prose P138</t>
  </si>
  <si>
    <t>RQ6 role prose P139</t>
  </si>
  <si>
    <t>RQ6 role prose P140</t>
  </si>
  <si>
    <t>RQ6 role prose P141</t>
  </si>
  <si>
    <t>RQ6 role prose P142</t>
  </si>
  <si>
    <t>RQ6 role prose P143</t>
  </si>
  <si>
    <t>RQ6 role prose P144</t>
  </si>
  <si>
    <t>RQ6 role prose P145</t>
  </si>
  <si>
    <t>RQ6 role prose P146</t>
  </si>
  <si>
    <t>RQ6 new table caption</t>
  </si>
  <si>
    <t>Inserted</t>
  </si>
  <si>
    <t>Table 4.3a: AI roles in model engineering and their supporting studies</t>
  </si>
  <si>
    <t>RQ6 roles table</t>
  </si>
  <si>
    <t>New table replacing §6.1–6.10 prose; role→study mapping from Data Extraction (Model-Engineering Stage/Task)</t>
  </si>
  <si>
    <t>RQ6 table source</t>
  </si>
  <si>
    <t>Source: AI-Driven Model Engineering SLR Master Workbook, Data Extraction and Stu</t>
  </si>
  <si>
    <t>RQ6 overall finding</t>
  </si>
  <si>
    <t>Condensed three paragraphs into one</t>
  </si>
  <si>
    <t>RQ6 overall finding P149</t>
  </si>
  <si>
    <t>Merged into previous paragraph</t>
  </si>
  <si>
    <t>RQ6 overall finding P150</t>
  </si>
  <si>
    <t>Table 4.4 (maturity)</t>
  </si>
  <si>
    <t>Rebuilt from Maturity_Model sheet; MemoRec, Hörner (SLR) and Tinnes removed — not in corpus</t>
  </si>
  <si>
    <t>Table 4.4 source</t>
  </si>
  <si>
    <t>'Data Extraction tab (Assigned Maturity Level field' → 'Maturity_Model and Data Extraction sheets (N = 27)'</t>
  </si>
  <si>
    <t>§7 headline 1</t>
  </si>
  <si>
    <t>Hörner (2026) SLR is not in the corpus; figures from Maturity_Model</t>
  </si>
  <si>
    <t>§7 headline 2</t>
  </si>
  <si>
    <t>Named the four L5 studies</t>
  </si>
  <si>
    <t>§8 para 1</t>
  </si>
  <si>
    <t>Counts from Evaluation_Hierarchy (N = 27)</t>
  </si>
  <si>
    <t>Table 4.5 caption</t>
  </si>
  <si>
    <t>'Table 4.5: What quality dimensions each study eval' → 'Table 4.5: Evaluation hierarchy and supporting stu'</t>
  </si>
  <si>
    <t>Table 4.5</t>
  </si>
  <si>
    <t>Rebuilt from Evaluation_Hierarchy; old table cited Tinnes 2025, MemoRec 2022, Jananloo 2025 (not in corpus)</t>
  </si>
  <si>
    <t>§8 bullet 1</t>
  </si>
  <si>
    <t>§8 bullet 2</t>
  </si>
  <si>
    <t>MemoRec/Awan claims replaced with Tier-4 studies</t>
  </si>
  <si>
    <t>§8 bullet 3</t>
  </si>
  <si>
    <t>Tinnes 2025 removed — not in corpus</t>
  </si>
  <si>
    <t>§8 7-level hierarchy intro</t>
  </si>
  <si>
    <t>Cut: a second, conflicting hierarchy; Table 4.5 now uses the workbook's six tiers</t>
  </si>
  <si>
    <t>§8 hierarchy list P172</t>
  </si>
  <si>
    <t>Cut: duplicated Table 4.5</t>
  </si>
  <si>
    <t>§8 hierarchy list P173</t>
  </si>
  <si>
    <t>§8 hierarchy list P174</t>
  </si>
  <si>
    <t>§8 hierarchy list P175</t>
  </si>
  <si>
    <t>§8 hierarchy list P176</t>
  </si>
  <si>
    <t>§8 hierarchy list P177</t>
  </si>
  <si>
    <t>§8 hierarchy list P178</t>
  </si>
  <si>
    <t>§8 headline</t>
  </si>
  <si>
    <t>Aligned to six-tier hierarchy</t>
  </si>
  <si>
    <t>Table 4.6 row 2</t>
  </si>
  <si>
    <t>', MemoRec (Di Rocco et al., 2023).' → '.'</t>
  </si>
  <si>
    <t>Table 4.6 row 5</t>
  </si>
  <si>
    <t>', Maude Formal Engine' → ''</t>
  </si>
  <si>
    <t>', Formal DNNs (Springer 2025)' → ''</t>
  </si>
  <si>
    <t>Table 4.6 row 6</t>
  </si>
  <si>
    <t>'(Wang et al., 2024)' → '(Wang et al., 2026)'</t>
  </si>
  <si>
    <t>§9.2 P188</t>
  </si>
  <si>
    <t>Cut: §9.2 overlapped §10; consolidated into §10</t>
  </si>
  <si>
    <t>§9.2 P189</t>
  </si>
  <si>
    <t>§9.2 P190</t>
  </si>
  <si>
    <t>§9.2 P191</t>
  </si>
  <si>
    <t>§9.2 P192</t>
  </si>
  <si>
    <t>Table 4.7 (rule-based vs AI pipelines)</t>
  </si>
  <si>
    <t>Table deleted</t>
  </si>
  <si>
    <t>Table 4.7</t>
  </si>
  <si>
    <t>Overlapped §10 prose and Table 10.1; also cited Miranda et al. (2024), not in corpus</t>
  </si>
  <si>
    <t>Table 4.8 row 1</t>
  </si>
  <si>
    <t>'Heavy (&gt;80% of studies). Highly clustered in stati' → 'Heavy. Generation (Stage 2, 7 studies) and extract'</t>
  </si>
  <si>
    <t>Table 4.8 row 3</t>
  </si>
  <si>
    <t>'Zero Evidence (Stages 9, 10, 11). All toolchains o' → 'Zero evidence for Stage 9; thin evidence for Stage'</t>
  </si>
  <si>
    <t>§9.4 hierarchy</t>
  </si>
  <si>
    <t>Replaced a second, conflicting seven-level list with a pointer to Table 4.5</t>
  </si>
  <si>
    <t>§9.4 hierarchy list</t>
  </si>
  <si>
    <t>Cut: duplicated Table 4.5 and conflicted with the §8 list</t>
  </si>
  <si>
    <t>§9.4 reference architecture</t>
  </si>
  <si>
    <t>Aligned to the workbook's five layers with corpus evidence; KeyBERT, LangChain, Claude 3.5, Xtext, EMF removed (not in corpus)</t>
  </si>
  <si>
    <t>Table 10.1 row 4</t>
  </si>
  <si>
    <t>'Stages 9–11 rest on one partial anchor each, or no' → 'Stage 9 has no study; Stage 11 has one partial anc'</t>
  </si>
  <si>
    <t>§10.2 stage anchors</t>
  </si>
  <si>
    <t>Anchors recomputed for N = 27</t>
  </si>
  <si>
    <t>Figure 10.3 caption</t>
  </si>
  <si>
    <t>Diagram recomputed</t>
  </si>
  <si>
    <t>Table 5.1</t>
  </si>
  <si>
    <t>Rebuilt from Data Extraction; Lano 2025 and Tinnes 2025 (not in corpus) removed</t>
  </si>
  <si>
    <t>§11 interpretation</t>
  </si>
  <si>
    <t>Energy claims (Lano 2025, not in corpus) removed; three axes restated from corpus</t>
  </si>
  <si>
    <t>§11 P226</t>
  </si>
  <si>
    <t>Merged into previous paragraph / removed Lano 2025 energy figures (not in corpus)</t>
  </si>
  <si>
    <t>§11 P227</t>
  </si>
  <si>
    <t>§11 P228</t>
  </si>
  <si>
    <t>§11 interpretation 2</t>
  </si>
  <si>
    <t>Energy-penalty claim removed (sourced from Lano 2025, not in corpus)</t>
  </si>
  <si>
    <t>§11 baselines</t>
  </si>
  <si>
    <t>'Lano 2025 (MDE rule-based + manual), Chen 2023 (ex' → 'Chen et al. (2023) (expert references), Blasco et '</t>
  </si>
  <si>
    <t>§11 industrial readiness</t>
  </si>
  <si>
    <t>Lano 2025 removed</t>
  </si>
  <si>
    <t>Table 5.2 hallucination</t>
  </si>
  <si>
    <t>'; Ali 2026; Hörner 2026 SLR' → '; Ali 2026'</t>
  </si>
  <si>
    <t>Table 5.2 nondeterminism</t>
  </si>
  <si>
    <t>'Lano 2025 (re-ran experiments weeks apart as valid' → 'Dao 2026 (run-to-run variance across four LLMs)'</t>
  </si>
  <si>
    <t>Table 5.2 scale</t>
  </si>
  <si>
    <t>'Lano 2025 (class-level vs statement-level)' → 'Siala &amp; Lano 2026 (recall 0.921 → 0.834 on a 17,64'</t>
  </si>
  <si>
    <t>Table 5.2 privacy</t>
  </si>
  <si>
    <t>'; Jananloo 2025 (local Ollama)' → ''</t>
  </si>
  <si>
    <t>Table 5.2 automation bias</t>
  </si>
  <si>
    <t>'Inferred from Chen 2023 + Jananloo 2025 (SCA ~50% ' → 'Inferred from Chen 2023 (high precision, low recal'</t>
  </si>
  <si>
    <t>Table 5.2 circularity</t>
  </si>
  <si>
    <t>'MoRe 2026 flags LLM-as-judge instability, motivati' → 'MoRe 2026 (LLM-as-judge instability, deterministic'</t>
  </si>
  <si>
    <t>Table 5.3 scalability</t>
  </si>
  <si>
    <t>'contrast Lano 2025 scale-degradation' → 'contrast Siala &amp; Lano 2026 scale degradation'</t>
  </si>
  <si>
    <t>Table 5.3 cost</t>
  </si>
  <si>
    <t>'Lano 2025; Ali 2026' → 'Ali 2026; Ahmed 2026 (token cost)'</t>
  </si>
  <si>
    <t>Table 5.3 governance</t>
  </si>
  <si>
    <t>'Tinnes 2025 (human judgement)' → 'Eramo 2024 (governance gate)'</t>
  </si>
  <si>
    <t>Table 5.3 data scarcity</t>
  </si>
  <si>
    <t>'; MemoRec 2022 (cold-start)' → ''</t>
  </si>
  <si>
    <t>Table 5.3 reproducibility</t>
  </si>
  <si>
    <t>'Lano 2025; Ali 2026' → 'Ali 2026; Dao 2026'</t>
  </si>
  <si>
    <t>§13 scalability</t>
  </si>
  <si>
    <t>'the generation literature (Lano 2025, Chen 2023)' → 'the generation literature (Siala &amp; Lano, 2026; Che'</t>
  </si>
  <si>
    <t>Table 5.4</t>
  </si>
  <si>
    <t>Rebuilt from Data Extraction (Industrial Evidence, Reproducibility Assets); Tinnes, Lano, Jananloo removed — not in corpus</t>
  </si>
  <si>
    <t>§14 industrial evidence</t>
  </si>
  <si>
    <t>Re-attributed from Tinnes/Awan to corpus studies</t>
  </si>
  <si>
    <t>§14 reproducibility</t>
  </si>
  <si>
    <t>'Lano 2025 and Ali 2026 are positive outliers.' → 'Dao et al. (2026) and Ali et al. (2026) are positi'</t>
  </si>
  <si>
    <t>New §15 heading</t>
  </si>
  <si>
    <t>Added from Conceptual_Framework and Research_Agenda sheets (no such section existed)</t>
  </si>
  <si>
    <t>New §15 framework paragraph</t>
  </si>
  <si>
    <t>The conceptual framework links four constructs: AI intervention and adaptation (</t>
  </si>
  <si>
    <t>New Table 15.1 caption</t>
  </si>
  <si>
    <t>Table 15.1: Prioritised research agenda</t>
  </si>
  <si>
    <t>Table 15.1</t>
  </si>
  <si>
    <t>Built from Research_Agenda sheet, re-prioritised by evidence gap size</t>
  </si>
  <si>
    <t>Table 15.1 source</t>
  </si>
  <si>
    <t>Source: AI-Driven Model Engineering SLR Master Workbook, Research_Agenda, Stage_</t>
  </si>
  <si>
    <t>Reference: Di Rocco et al. (2023) MemoRec</t>
  </si>
  <si>
    <t>No longer cited; not in corpus</t>
  </si>
  <si>
    <t>Reference: Karlsson Landgren et al. (2025)</t>
  </si>
  <si>
    <t>Excluded study P16 (EC1)</t>
  </si>
  <si>
    <t>Reference: Miranda et al. (2024)</t>
  </si>
  <si>
    <t>Reference: Wang et al.</t>
  </si>
  <si>
    <t>Corrected: previous entry pointed to an excluded record (Applied Sciences, 10.3390/app142310873)</t>
  </si>
  <si>
    <t>References</t>
  </si>
  <si>
    <t>Added missing reference for a cited corpus study</t>
  </si>
  <si>
    <t>All body tables</t>
  </si>
  <si>
    <t>Formatting</t>
  </si>
  <si>
    <t>Cells single-spaced, 9.5 pt, full text width, fixed column widths (APA permits single-spaced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</si>
</sst>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font>
      <sz val="11"/>
      <color theme="1"/>
      <name val="Calibri"/>
      <family val="2"/>
      <charset val="1"/>
    </font>
    <font>
      <b/>
      <sz val="13"/>
      <color rgb="FFFFFFFF"/>
      <name val="Calibri"/>
      <charset val="1"/>
    </font>
    <font>
      <b/>
      <sz val="10"/>
      <name val="Calibri"/>
      <charset val="1"/>
    </font>
    <font>
      <b/>
      <sz val="10"/>
      <color rgb="FFFFFFFF"/>
      <name val="Calibri"/>
      <charset val="1"/>
    </font>
    <font>
      <sz val="10"/>
      <name val="Calibri"/>
      <charset val="1"/>
    </font>
    <font>
      <b/>
      <sz val="11"/>
      <name val="Cambria"/>
      <charset val="1"/>
    </font>
    <font>
      <b/>
      <sz val="10"/>
      <color rgb="FFFFFFFF"/>
      <name val="Cambria"/>
      <charset val="1"/>
    </font>
    <font>
      <sz val="9.5"/>
      <name val="Calibri"/>
      <charset val="1"/>
    </font>
    <font>
      <u/>
      <sz val="11"/>
      <color theme="10"/>
      <name val="Calibri"/>
      <family val="2"/>
      <charset val="1"/>
    </font>
    <font>
      <sz val="9.5"/>
      <color rgb="FFFF0000"/>
      <name val="Calibri"/>
      <family val="2"/>
      <charset val="1"/>
    </font>
    <font>
      <sz val="11"/>
      <color rgb="FFFF0000"/>
      <name val="Calibri"/>
      <family val="2"/>
      <charset val="1"/>
    </font>
    <font>
      <sz val="10"/>
      <color rgb="FF333333"/>
      <name val="Calibri"/>
      <charset val="1"/>
    </font>
    <font>
      <sz val="10"/>
      <name val="FreeSans"/>
      <family val="2"/>
    </font>
    <font>
      <sz val="10"/>
      <name val="Noto Sans CJK SC"/>
      <family val="2"/>
    </font>
    <font>
      <b/>
      <sz val="11"/>
      <name val="Calibri"/>
      <charset val="1"/>
    </font>
    <font>
      <i/>
      <sz val="9"/>
      <color rgb="FF666666"/>
      <name val="Cambria"/>
      <charset val="1"/>
    </font>
    <font>
      <sz val="11"/>
      <color theme="1"/>
      <name val="FreeSans"/>
      <family val="2"/>
    </font>
    <font>
      <sz val="10"/>
      <name val="Arial"/>
      <family val="2"/>
    </font>
    <font>
      <sz val="11"/>
      <color theme="1"/>
      <name val="Noto Sans CJK SC"/>
      <family val="2"/>
    </font>
  </fonts>
  <fills count="11">
    <fill>
      <patternFill patternType="none"/>
    </fill>
    <fill>
      <patternFill patternType="gray125"/>
    </fill>
    <fill>
      <patternFill patternType="solid">
        <fgColor rgb="FF1B365D"/>
        <bgColor rgb="FF1B2A4A"/>
      </patternFill>
    </fill>
    <fill>
      <patternFill patternType="solid">
        <fgColor rgb="FF2C4D75"/>
        <bgColor rgb="FF1B365D"/>
      </patternFill>
    </fill>
    <fill>
      <patternFill patternType="solid">
        <fgColor rgb="FFE2EFDA"/>
        <bgColor rgb="FFF2F2F2"/>
      </patternFill>
    </fill>
    <fill>
      <patternFill patternType="solid">
        <fgColor rgb="FFC6EFCE"/>
        <bgColor rgb="FFE2EFDA"/>
      </patternFill>
    </fill>
    <fill>
      <patternFill patternType="solid">
        <fgColor rgb="FFF8CBCB"/>
        <bgColor rgb="FFFCE4D6"/>
      </patternFill>
    </fill>
    <fill>
      <patternFill patternType="solid">
        <fgColor rgb="FFFFFF00"/>
        <bgColor rgb="FFFFFF00"/>
      </patternFill>
    </fill>
    <fill>
      <patternFill patternType="solid">
        <fgColor rgb="FF1B2A4A"/>
        <bgColor rgb="FF1B365D"/>
      </patternFill>
    </fill>
    <fill>
      <patternFill patternType="solid">
        <fgColor rgb="FFFCE4D6"/>
        <bgColor rgb="FFF2F2F2"/>
      </patternFill>
    </fill>
    <fill>
      <patternFill patternType="solid">
        <fgColor rgb="FFF2F2F2"/>
        <bgColor rgb="FFE2EFDA"/>
      </patternFill>
    </fill>
  </fills>
  <borders count="5">
    <border>
      <left/>
      <right/>
      <top/>
      <bottom/>
      <diagonal/>
    </border>
    <border>
      <left style="thin">
        <color rgb="FFD3D3D3"/>
      </left>
      <right style="thin">
        <color rgb="FFD3D3D3"/>
      </right>
      <top style="thin">
        <color rgb="FFD3D3D3"/>
      </top>
      <bottom style="thin">
        <color rgb="FFD3D3D3"/>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right style="thin">
        <color rgb="FFD3D3D3"/>
      </right>
      <top/>
      <bottom style="thin">
        <color rgb="FFD3D3D3"/>
      </bottom>
      <diagonal/>
    </border>
  </borders>
  <cellStyleXfs count="2">
    <xf numFmtId="0" fontId="0" fillId="0" borderId="0"/>
    <xf numFmtId="0" fontId="8" fillId="0" borderId="0" applyNumberFormat="0" applyFill="0" applyBorder="0" applyAlignment="0" applyProtection="0"/>
  </cellStyleXfs>
  <cellXfs count="49">
    <xf numFmtId="0" fontId="0" fillId="0" borderId="0" xfId="0"/>
    <xf numFmtId="0" fontId="1" fillId="2" borderId="0" xfId="0" applyFont="1" applyFill="1"/>
    <xf numFmtId="0" fontId="2" fillId="0" borderId="0" xfId="0" applyFont="1"/>
    <xf numFmtId="0" fontId="3" fillId="3" borderId="1" xfId="0" applyFont="1" applyFill="1" applyBorder="1" applyAlignment="1">
      <alignment vertical="top" wrapText="1"/>
    </xf>
    <xf numFmtId="0" fontId="4" fillId="0" borderId="1" xfId="0" applyFont="1" applyBorder="1"/>
    <xf numFmtId="0" fontId="4" fillId="4" borderId="1" xfId="0" applyFont="1" applyFill="1" applyBorder="1"/>
    <xf numFmtId="0" fontId="0" fillId="4" borderId="0" xfId="0" applyFill="1"/>
    <xf numFmtId="0" fontId="0" fillId="0" borderId="0" xfId="0" applyAlignment="1">
      <alignment vertical="top" wrapText="1"/>
    </xf>
    <xf numFmtId="0" fontId="5" fillId="0" borderId="0" xfId="0" applyFont="1"/>
    <xf numFmtId="0" fontId="6" fillId="2" borderId="0" xfId="0" applyFont="1" applyFill="1" applyAlignment="1">
      <alignment vertical="top" wrapText="1"/>
    </xf>
    <xf numFmtId="0" fontId="3" fillId="3" borderId="1" xfId="0" applyFont="1" applyFill="1" applyBorder="1" applyAlignment="1">
      <alignment horizontal="center" vertical="center" wrapText="1"/>
    </xf>
    <xf numFmtId="0" fontId="7" fillId="0" borderId="1" xfId="0" applyFont="1" applyBorder="1"/>
    <xf numFmtId="0" fontId="7" fillId="5" borderId="1" xfId="0" applyFont="1" applyFill="1" applyBorder="1"/>
    <xf numFmtId="0" fontId="7" fillId="6" borderId="1" xfId="0" applyFont="1" applyFill="1" applyBorder="1"/>
    <xf numFmtId="0" fontId="8" fillId="0" borderId="1" xfId="0" applyFont="1" applyBorder="1"/>
    <xf numFmtId="0" fontId="9" fillId="5" borderId="1" xfId="0" applyFont="1" applyFill="1" applyBorder="1"/>
    <xf numFmtId="0" fontId="10" fillId="0" borderId="0" xfId="0" applyFont="1"/>
    <xf numFmtId="0" fontId="11" fillId="0" borderId="0" xfId="0" applyFont="1"/>
    <xf numFmtId="0" fontId="14" fillId="0" borderId="2" xfId="0" applyFont="1" applyBorder="1" applyAlignment="1">
      <alignment horizontal="center" vertical="top"/>
    </xf>
    <xf numFmtId="0" fontId="0" fillId="7" borderId="0" xfId="0" applyFill="1"/>
    <xf numFmtId="0" fontId="0" fillId="5" borderId="0" xfId="0" applyFill="1"/>
    <xf numFmtId="0" fontId="0" fillId="5" borderId="0" xfId="0" applyFill="1" applyAlignment="1">
      <alignment wrapText="1"/>
    </xf>
    <xf numFmtId="0" fontId="0" fillId="0" borderId="0" xfId="0" applyAlignment="1">
      <alignment wrapText="1"/>
    </xf>
    <xf numFmtId="0" fontId="3" fillId="8" borderId="3" xfId="0" applyFont="1" applyFill="1" applyBorder="1" applyAlignment="1">
      <alignment horizontal="center" vertical="center" wrapText="1"/>
    </xf>
    <xf numFmtId="0" fontId="4" fillId="5" borderId="3" xfId="0" applyFont="1" applyFill="1" applyBorder="1"/>
    <xf numFmtId="0" fontId="15" fillId="0" borderId="0" xfId="0" applyFont="1"/>
    <xf numFmtId="0" fontId="3" fillId="2" borderId="0" xfId="0" applyFont="1" applyFill="1" applyAlignment="1">
      <alignment vertical="top" wrapText="1"/>
    </xf>
    <xf numFmtId="0" fontId="0" fillId="0" borderId="1" xfId="0" applyBorder="1"/>
    <xf numFmtId="0" fontId="0" fillId="4" borderId="1" xfId="0" applyFill="1" applyBorder="1"/>
    <xf numFmtId="0" fontId="0" fillId="7" borderId="1" xfId="0" applyFill="1" applyBorder="1"/>
    <xf numFmtId="164" fontId="0" fillId="0" borderId="1" xfId="0" applyNumberFormat="1" applyBorder="1"/>
    <xf numFmtId="165" fontId="0" fillId="0" borderId="1" xfId="0" applyNumberFormat="1" applyBorder="1"/>
    <xf numFmtId="165" fontId="0" fillId="0" borderId="0" xfId="0" applyNumberFormat="1"/>
    <xf numFmtId="0" fontId="0" fillId="9" borderId="0" xfId="0" applyFill="1" applyAlignment="1">
      <alignment vertical="top" wrapText="1"/>
    </xf>
    <xf numFmtId="0" fontId="6" fillId="2" borderId="1" xfId="0" applyFont="1" applyFill="1" applyBorder="1" applyAlignment="1">
      <alignment vertical="top" wrapText="1"/>
    </xf>
    <xf numFmtId="0" fontId="3" fillId="3" borderId="1" xfId="0" applyFont="1" applyFill="1" applyBorder="1"/>
    <xf numFmtId="0" fontId="0" fillId="0" borderId="1" xfId="0" applyBorder="1" applyAlignment="1">
      <alignment vertical="center" wrapText="1"/>
    </xf>
    <xf numFmtId="0" fontId="0" fillId="4" borderId="1" xfId="0" applyFill="1" applyBorder="1" applyAlignment="1">
      <alignment vertical="center" wrapText="1"/>
    </xf>
    <xf numFmtId="0" fontId="0" fillId="10" borderId="0" xfId="0" applyFill="1" applyAlignment="1">
      <alignment vertical="top" wrapText="1"/>
    </xf>
    <xf numFmtId="0" fontId="0" fillId="7" borderId="0" xfId="0" applyFill="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0" fillId="4" borderId="0" xfId="0" applyFill="1" applyAlignment="1">
      <alignment vertical="top" wrapText="1"/>
    </xf>
    <xf numFmtId="0" fontId="3" fillId="2" borderId="0" xfId="0" applyFont="1" applyFill="1"/>
    <xf numFmtId="0" fontId="8" fillId="0" borderId="1" xfId="1" applyBorder="1"/>
    <xf numFmtId="0" fontId="4" fillId="0" borderId="1" xfId="0" applyFont="1" applyBorder="1" applyAlignment="1">
      <alignment horizontal="left"/>
    </xf>
    <xf numFmtId="0" fontId="1" fillId="2" borderId="0" xfId="0" applyFont="1" applyFill="1" applyAlignment="1"/>
    <xf numFmtId="0" fontId="0" fillId="0" borderId="0" xfId="0" applyAlignment="1"/>
    <xf numFmtId="0" fontId="1" fillId="2" borderId="4" xfId="0" applyFont="1" applyFill="1" applyBorder="1" applyAlignme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2EFDA"/>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6EFCE"/>
      <rgbColor rgb="FFFCE4D6"/>
      <rgbColor rgb="FF99CCFF"/>
      <rgbColor rgb="FFFF99CC"/>
      <rgbColor rgb="FFCC99FF"/>
      <rgbColor rgb="FFF8CBCB"/>
      <rgbColor rgb="FF3366FF"/>
      <rgbColor rgb="FF33CCCC"/>
      <rgbColor rgb="FF99CC00"/>
      <rgbColor rgb="FFFFCC00"/>
      <rgbColor rgb="FFFF9900"/>
      <rgbColor rgb="FFFF6600"/>
      <rgbColor rgb="FF666666"/>
      <rgbColor rgb="FF969696"/>
      <rgbColor rgb="FF1B365D"/>
      <rgbColor rgb="FF339966"/>
      <rgbColor rgb="FF003300"/>
      <rgbColor rgb="FF1B2A4A"/>
      <rgbColor rgb="FF993300"/>
      <rgbColor rgb="FF993366"/>
      <rgbColor rgb="FF2C4D7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oi.org/10.1109/ICTAI66417.2025.00189"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oi.org/10.1109/MODELS-C68889.2025.00081" TargetMode="External"/><Relationship Id="rId18" Type="http://schemas.openxmlformats.org/officeDocument/2006/relationships/hyperlink" Target="https://doi.org/10.1109/MODELS58315.2023.00038" TargetMode="External"/><Relationship Id="rId26" Type="http://schemas.openxmlformats.org/officeDocument/2006/relationships/hyperlink" Target="https://doi.org/10.1016/j.infsof.2026.108280" TargetMode="External"/><Relationship Id="rId39" Type="http://schemas.openxmlformats.org/officeDocument/2006/relationships/hyperlink" Target="https://mdh.diva-portal.org/smash/record.jsf?pid=diva2%3A2022791&amp;dswid=-1010" TargetMode="External"/><Relationship Id="rId21" Type="http://schemas.openxmlformats.org/officeDocument/2006/relationships/hyperlink" Target="https://doi.org/10.1109/ICI2ST57350.2022.00033" TargetMode="External"/><Relationship Id="rId34" Type="http://schemas.openxmlformats.org/officeDocument/2006/relationships/hyperlink" Target="https://doi.org/10.1016/j.jss.2020.110804" TargetMode="External"/><Relationship Id="rId7" Type="http://schemas.openxmlformats.org/officeDocument/2006/relationships/hyperlink" Target="https://doi.org/10.1109/ICECET65726.2026.11632676" TargetMode="External"/><Relationship Id="rId12" Type="http://schemas.openxmlformats.org/officeDocument/2006/relationships/hyperlink" Target="https://doi.org/10.1109/ACCESS.2025.3615828" TargetMode="External"/><Relationship Id="rId17" Type="http://schemas.openxmlformats.org/officeDocument/2006/relationships/hyperlink" Target="https://doi.org/10.1109/MODELS67397.2025.00024" TargetMode="External"/><Relationship Id="rId25" Type="http://schemas.openxmlformats.org/officeDocument/2006/relationships/hyperlink" Target="https://doi.org/10.1016/j.jss.2026.113014" TargetMode="External"/><Relationship Id="rId33" Type="http://schemas.openxmlformats.org/officeDocument/2006/relationships/hyperlink" Target="https://doi.org/10.1016/j.jss.2020.110860" TargetMode="External"/><Relationship Id="rId38" Type="http://schemas.openxmlformats.org/officeDocument/2006/relationships/hyperlink" Target="https://ieeexplore.ieee.org/document/4144732" TargetMode="External"/><Relationship Id="rId2" Type="http://schemas.openxmlformats.org/officeDocument/2006/relationships/hyperlink" Target="https://doi.org/10.1109/CLEI60451.2023.10346132" TargetMode="External"/><Relationship Id="rId16" Type="http://schemas.openxmlformats.org/officeDocument/2006/relationships/hyperlink" Target="https://doi.org/10.1109/MODELS67397.2025.00031" TargetMode="External"/><Relationship Id="rId20" Type="http://schemas.openxmlformats.org/officeDocument/2006/relationships/hyperlink" Target="https://doi.org/10.1109/HICSS.2014.101" TargetMode="External"/><Relationship Id="rId29" Type="http://schemas.openxmlformats.org/officeDocument/2006/relationships/hyperlink" Target="https://www.sciencedirect.com/science/article/pii/S0950584926001436" TargetMode="External"/><Relationship Id="rId1" Type="http://schemas.openxmlformats.org/officeDocument/2006/relationships/hyperlink" Target="https://doi.org/10.1109/IECON55916.2024.10905976" TargetMode="External"/><Relationship Id="rId6" Type="http://schemas.openxmlformats.org/officeDocument/2006/relationships/hyperlink" Target="https://doi.org/10.1109/MODELS.2019.00011" TargetMode="External"/><Relationship Id="rId11" Type="http://schemas.openxmlformats.org/officeDocument/2006/relationships/hyperlink" Target="https://doi.org/10.1109/NNICE68970.2026.11465726" TargetMode="External"/><Relationship Id="rId24" Type="http://schemas.openxmlformats.org/officeDocument/2006/relationships/hyperlink" Target="https://doi.org/10.1109/MODELS-C.2019.00079" TargetMode="External"/><Relationship Id="rId32" Type="http://schemas.openxmlformats.org/officeDocument/2006/relationships/hyperlink" Target="https://doi.org/10.1016/j.jss.2024.112180" TargetMode="External"/><Relationship Id="rId37" Type="http://schemas.openxmlformats.org/officeDocument/2006/relationships/hyperlink" Target="https://doi.org/10.1016/j.jss.2022.111512" TargetMode="External"/><Relationship Id="rId40" Type="http://schemas.openxmlformats.org/officeDocument/2006/relationships/hyperlink" Target="https://doi.org/10.1109/MODELS-C68889.2025.00101" TargetMode="External"/><Relationship Id="rId5" Type="http://schemas.openxmlformats.org/officeDocument/2006/relationships/hyperlink" Target="https://doi.org/10.1109/CGO57630.2024.10444830" TargetMode="External"/><Relationship Id="rId15" Type="http://schemas.openxmlformats.org/officeDocument/2006/relationships/hyperlink" Target="https://doi.org/10.13039/501100011033" TargetMode="External"/><Relationship Id="rId23" Type="http://schemas.openxmlformats.org/officeDocument/2006/relationships/hyperlink" Target="https://doi.org/10.1109/ICoSSE65712.2025.00020" TargetMode="External"/><Relationship Id="rId28" Type="http://schemas.openxmlformats.org/officeDocument/2006/relationships/hyperlink" Target="https://doi.org/10.1016/j.infsof.2026.108154" TargetMode="External"/><Relationship Id="rId36" Type="http://schemas.openxmlformats.org/officeDocument/2006/relationships/hyperlink" Target="https://doi.org/10.1016/j.jss.2014.11.043" TargetMode="External"/><Relationship Id="rId10" Type="http://schemas.openxmlformats.org/officeDocument/2006/relationships/hyperlink" Target="https://doi.org/10.1109/WI-IAT.2009.127" TargetMode="External"/><Relationship Id="rId19" Type="http://schemas.openxmlformats.org/officeDocument/2006/relationships/hyperlink" Target="https://doi.org/10.1145/3643795.3648391" TargetMode="External"/><Relationship Id="rId31" Type="http://schemas.openxmlformats.org/officeDocument/2006/relationships/hyperlink" Target="https://doi.org/10.1016/j.jss.2025.112576" TargetMode="External"/><Relationship Id="rId4" Type="http://schemas.openxmlformats.org/officeDocument/2006/relationships/hyperlink" Target="https://doi.org/10.1109/MODELS67397.2025.00018" TargetMode="External"/><Relationship Id="rId9" Type="http://schemas.openxmlformats.org/officeDocument/2006/relationships/hyperlink" Target="https://doi.org/10.1109/MODELS-C68889.2025.00080" TargetMode="External"/><Relationship Id="rId14" Type="http://schemas.openxmlformats.org/officeDocument/2006/relationships/hyperlink" Target="https://doi.org/10.1109/MODELS-C68889.2025.00054" TargetMode="External"/><Relationship Id="rId22" Type="http://schemas.openxmlformats.org/officeDocument/2006/relationships/hyperlink" Target="https://doi.org/10.1109/APSEC66846.2025.00107" TargetMode="External"/><Relationship Id="rId27" Type="http://schemas.openxmlformats.org/officeDocument/2006/relationships/hyperlink" Target="https://doi.org/10.1016/j.jss.2026.112871" TargetMode="External"/><Relationship Id="rId30" Type="http://schemas.openxmlformats.org/officeDocument/2006/relationships/hyperlink" Target="https://doi.org/10.1016/j.jss.2025.112709" TargetMode="External"/><Relationship Id="rId35" Type="http://schemas.openxmlformats.org/officeDocument/2006/relationships/hyperlink" Target="https://doi.org/10.1016/j.jss.2021.111037" TargetMode="External"/><Relationship Id="rId8" Type="http://schemas.openxmlformats.org/officeDocument/2006/relationships/hyperlink" Target="https://doi.org/10.1109/ICSCEE50312.2021.9497935" TargetMode="External"/><Relationship Id="rId3" Type="http://schemas.openxmlformats.org/officeDocument/2006/relationships/hyperlink" Target="https://doi.org/10.1109/DASA63652.2024.10836366"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zoomScaleNormal="100" workbookViewId="0">
      <selection activeCell="B8" sqref="B8"/>
    </sheetView>
  </sheetViews>
  <sheetFormatPr defaultColWidth="8.5703125" defaultRowHeight="14.45"/>
  <cols>
    <col min="1" max="5" width="30" customWidth="1"/>
    <col min="6" max="8" width="16" customWidth="1"/>
  </cols>
  <sheetData>
    <row r="1" spans="1:8" ht="15" customHeight="1">
      <c r="A1" s="46" t="s">
        <v>0</v>
      </c>
      <c r="B1" s="46"/>
      <c r="C1" s="46"/>
      <c r="D1" s="46"/>
      <c r="E1" s="46"/>
      <c r="F1" s="46"/>
      <c r="G1" s="46"/>
      <c r="H1" s="46"/>
    </row>
    <row r="2" spans="1:8" ht="15" customHeight="1">
      <c r="A2" s="46"/>
      <c r="B2" s="46"/>
      <c r="C2" s="46"/>
      <c r="D2" s="46"/>
      <c r="E2" s="46"/>
      <c r="F2" s="46"/>
      <c r="G2" s="46"/>
      <c r="H2" s="46"/>
    </row>
    <row r="3" spans="1:8" ht="15" customHeight="1">
      <c r="A3" s="2" t="s">
        <v>1</v>
      </c>
    </row>
    <row r="5" spans="1:8" ht="15" customHeight="1">
      <c r="A5" s="3" t="s">
        <v>2</v>
      </c>
      <c r="B5" s="3" t="s">
        <v>3</v>
      </c>
      <c r="C5" s="3" t="s">
        <v>4</v>
      </c>
      <c r="D5" s="3" t="s">
        <v>5</v>
      </c>
      <c r="E5" s="3" t="s">
        <v>6</v>
      </c>
      <c r="F5" s="3" t="s">
        <v>7</v>
      </c>
    </row>
    <row r="6" spans="1:8" ht="23.25" customHeight="1">
      <c r="A6" s="4" t="s">
        <v>8</v>
      </c>
      <c r="B6" s="4">
        <v>318</v>
      </c>
      <c r="C6" s="4">
        <v>61</v>
      </c>
      <c r="D6" s="5">
        <v>83</v>
      </c>
      <c r="E6" s="5">
        <v>71</v>
      </c>
      <c r="F6" s="6">
        <f>COUNTIF(Final_Included_Studies!B2:B200,A6)</f>
        <v>2</v>
      </c>
    </row>
    <row r="7" spans="1:8" ht="15" customHeight="1">
      <c r="A7" s="4" t="s">
        <v>9</v>
      </c>
      <c r="B7" s="4">
        <v>3093</v>
      </c>
      <c r="C7" s="4">
        <v>1192</v>
      </c>
      <c r="D7" s="5">
        <v>1050</v>
      </c>
      <c r="E7" s="5">
        <v>69</v>
      </c>
      <c r="F7" s="6">
        <f>COUNTIF(Final_Included_Studies!B2:B200,A7)</f>
        <v>2</v>
      </c>
    </row>
    <row r="8" spans="1:8" ht="15" customHeight="1">
      <c r="A8" s="4" t="s">
        <v>10</v>
      </c>
      <c r="B8" s="4">
        <v>1907</v>
      </c>
      <c r="C8" s="4">
        <v>126</v>
      </c>
      <c r="D8" s="5">
        <v>126</v>
      </c>
      <c r="E8" s="5">
        <v>13</v>
      </c>
      <c r="F8" s="6">
        <f>COUNTIF(Final_Included_Studies!B2:B200,A8)</f>
        <v>9</v>
      </c>
    </row>
    <row r="9" spans="1:8" ht="15" customHeight="1">
      <c r="A9" s="4" t="s">
        <v>11</v>
      </c>
      <c r="B9" s="4">
        <v>2034</v>
      </c>
      <c r="C9" s="4">
        <v>23</v>
      </c>
      <c r="D9" s="5">
        <v>23</v>
      </c>
      <c r="E9" s="5">
        <v>10</v>
      </c>
      <c r="F9" s="6">
        <f>COUNTIF(Final_Included_Studies!B2:B200,A9)</f>
        <v>6</v>
      </c>
    </row>
    <row r="10" spans="1:8" ht="15" customHeight="1">
      <c r="A10" s="4" t="s">
        <v>12</v>
      </c>
      <c r="B10" s="4">
        <v>140</v>
      </c>
      <c r="C10" s="4">
        <v>40</v>
      </c>
      <c r="D10" s="5">
        <v>40</v>
      </c>
      <c r="E10" s="5">
        <v>40</v>
      </c>
      <c r="F10" s="6">
        <f>COUNTIF(Final_Included_Studies!B2:B200,A10)</f>
        <v>4</v>
      </c>
    </row>
    <row r="11" spans="1:8" ht="15" customHeight="1">
      <c r="A11" s="4" t="s">
        <v>13</v>
      </c>
      <c r="B11" s="4">
        <v>93</v>
      </c>
      <c r="C11" s="4">
        <v>90</v>
      </c>
      <c r="D11" s="5">
        <v>90</v>
      </c>
      <c r="E11" s="5">
        <v>75</v>
      </c>
      <c r="F11" s="6">
        <f>COUNTIF(Final_Included_Studies!B2:B200,A11)</f>
        <v>4</v>
      </c>
    </row>
    <row r="12" spans="1:8" ht="15" customHeight="1">
      <c r="A12" s="2" t="s">
        <v>14</v>
      </c>
      <c r="B12" s="2">
        <f>SUM(B6:B11)</f>
        <v>7585</v>
      </c>
      <c r="C12" s="2">
        <f>SUM(C6:C11)</f>
        <v>1532</v>
      </c>
      <c r="D12" s="2">
        <f>SUM(D6:D11)</f>
        <v>1412</v>
      </c>
      <c r="E12" s="2">
        <f>SUM(E6:E11)</f>
        <v>278</v>
      </c>
      <c r="F12">
        <f>SUM(F6:F11)</f>
        <v>27</v>
      </c>
    </row>
    <row r="13" spans="1:8" ht="15" customHeight="1">
      <c r="A13" t="s">
        <v>15</v>
      </c>
      <c r="D13">
        <f>D12-Dedup_Log!C47</f>
        <v>1366</v>
      </c>
      <c r="E13">
        <v>249</v>
      </c>
    </row>
    <row r="14" spans="1:8" ht="162" customHeight="1">
      <c r="A14" s="7" t="s">
        <v>16</v>
      </c>
    </row>
    <row r="15" spans="1:8" ht="15" customHeight="1">
      <c r="A15" s="47"/>
      <c r="B15" s="47"/>
      <c r="C15" s="47"/>
      <c r="D15" s="47"/>
      <c r="E15" s="47"/>
      <c r="F15" s="47"/>
      <c r="G15" s="47"/>
      <c r="H15" s="47"/>
    </row>
    <row r="16" spans="1:8" ht="15" customHeight="1">
      <c r="A16" s="47"/>
      <c r="B16" s="47"/>
      <c r="C16" s="47"/>
      <c r="D16" s="47"/>
      <c r="E16" s="47"/>
      <c r="F16" s="47"/>
      <c r="G16" s="47"/>
      <c r="H16" s="47"/>
    </row>
    <row r="17" spans="1:8" ht="15" customHeight="1">
      <c r="A17" s="47"/>
      <c r="B17" s="47"/>
      <c r="C17" s="47"/>
      <c r="D17" s="47"/>
      <c r="E17" s="47"/>
      <c r="F17" s="47"/>
      <c r="G17" s="47"/>
      <c r="H17" s="47"/>
    </row>
    <row r="18" spans="1:8" ht="15" customHeight="1">
      <c r="A18" s="47"/>
      <c r="B18" s="47"/>
      <c r="C18" s="47"/>
      <c r="D18" s="47"/>
      <c r="E18" s="47"/>
      <c r="F18" s="47"/>
      <c r="G18" s="47"/>
      <c r="H18" s="47"/>
    </row>
    <row r="19" spans="1:8" ht="15" customHeight="1">
      <c r="A19" s="47"/>
      <c r="B19" s="47"/>
      <c r="C19" s="47"/>
      <c r="D19" s="47"/>
      <c r="E19" s="47"/>
      <c r="F19" s="47"/>
      <c r="G19" s="47"/>
      <c r="H19" s="47"/>
    </row>
    <row r="20" spans="1:8" ht="15" customHeight="1">
      <c r="A20" s="47"/>
      <c r="B20" s="47"/>
      <c r="C20" s="47"/>
      <c r="D20" s="47"/>
      <c r="E20" s="47"/>
      <c r="F20" s="47"/>
      <c r="G20" s="47"/>
      <c r="H20" s="47"/>
    </row>
  </sheetData>
  <mergeCells count="7">
    <mergeCell ref="A19:H19"/>
    <mergeCell ref="A20:H20"/>
    <mergeCell ref="A1:H2"/>
    <mergeCell ref="A15:H15"/>
    <mergeCell ref="A16:H16"/>
    <mergeCell ref="A17:H17"/>
    <mergeCell ref="A18:H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
  <sheetViews>
    <sheetView zoomScaleNormal="100" workbookViewId="0"/>
  </sheetViews>
  <sheetFormatPr defaultColWidth="8.5703125" defaultRowHeight="14.45"/>
  <cols>
    <col min="1" max="1" width="52" customWidth="1"/>
    <col min="2" max="4" width="12" customWidth="1"/>
    <col min="5" max="5" width="80" customWidth="1"/>
  </cols>
  <sheetData>
    <row r="1" spans="1:5" ht="15" customHeight="1">
      <c r="A1" s="8" t="s">
        <v>17</v>
      </c>
    </row>
    <row r="2" spans="1:5" ht="15" customHeight="1">
      <c r="A2" s="9" t="s">
        <v>18</v>
      </c>
      <c r="B2" s="9" t="s">
        <v>19</v>
      </c>
      <c r="C2" s="9" t="s">
        <v>20</v>
      </c>
      <c r="D2" s="9" t="s">
        <v>21</v>
      </c>
      <c r="E2" s="9" t="s">
        <v>22</v>
      </c>
    </row>
    <row r="3" spans="1:5" ht="15" customHeight="1">
      <c r="A3" s="7" t="s">
        <v>23</v>
      </c>
      <c r="B3" s="7">
        <f>'00_Overview_&amp;_PRISMA'!F12</f>
        <v>27</v>
      </c>
      <c r="C3" s="7">
        <f>PRISMA_Flow!C18</f>
        <v>27</v>
      </c>
      <c r="D3" s="7" t="str">
        <f t="shared" ref="D3:D16" si="0">IF(B3=C3,"OK","MISMATCH")</f>
        <v>OK</v>
      </c>
      <c r="E3" s="7" t="s">
        <v>24</v>
      </c>
    </row>
    <row r="4" spans="1:5" ht="15" customHeight="1">
      <c r="A4" s="7" t="s">
        <v>25</v>
      </c>
      <c r="B4" s="7">
        <f>PRISMA_Flow!C18</f>
        <v>27</v>
      </c>
      <c r="C4" s="7">
        <f>COUNTA(Final_Included_Studies!A2:A200)</f>
        <v>27</v>
      </c>
      <c r="D4" s="7" t="str">
        <f t="shared" si="0"/>
        <v>OK</v>
      </c>
      <c r="E4" s="7" t="s">
        <v>24</v>
      </c>
    </row>
    <row r="5" spans="1:5" ht="15" customHeight="1">
      <c r="A5" s="7" t="s">
        <v>26</v>
      </c>
      <c r="B5" s="7" t="str">
        <f>PRISMA_Flow!C19</f>
        <v>OK</v>
      </c>
      <c r="C5" s="7" t="s">
        <v>27</v>
      </c>
      <c r="D5" s="7" t="str">
        <f t="shared" si="0"/>
        <v>OK</v>
      </c>
      <c r="E5" s="7" t="s">
        <v>24</v>
      </c>
    </row>
    <row r="6" spans="1:5" ht="15" customHeight="1">
      <c r="A6" s="7" t="s">
        <v>28</v>
      </c>
      <c r="B6" s="7">
        <f>COUNTA(Final_Included_Studies!A2:A200)</f>
        <v>27</v>
      </c>
      <c r="C6" s="7">
        <f>PRISMA_Flow!C18</f>
        <v>27</v>
      </c>
      <c r="D6" s="7" t="str">
        <f t="shared" si="0"/>
        <v>OK</v>
      </c>
      <c r="E6" s="7" t="s">
        <v>24</v>
      </c>
    </row>
    <row r="7" spans="1:5" ht="15" customHeight="1">
      <c r="A7" s="7" t="s">
        <v>29</v>
      </c>
      <c r="B7" s="7">
        <f>COUNTA('Data Extraction'!A2:A200)</f>
        <v>27</v>
      </c>
      <c r="C7" s="7">
        <f>PRISMA_Flow!C18</f>
        <v>27</v>
      </c>
      <c r="D7" s="7" t="str">
        <f t="shared" si="0"/>
        <v>OK</v>
      </c>
      <c r="E7" s="7" t="s">
        <v>24</v>
      </c>
    </row>
    <row r="8" spans="1:5" ht="15" customHeight="1">
      <c r="A8" s="7" t="s">
        <v>30</v>
      </c>
      <c r="B8" s="7">
        <f>COUNTIF('Quality Assessment'!A3:A200,"P*")</f>
        <v>27</v>
      </c>
      <c r="C8" s="7">
        <f>PRISMA_Flow!C18</f>
        <v>27</v>
      </c>
      <c r="D8" s="7" t="str">
        <f t="shared" si="0"/>
        <v>OK</v>
      </c>
      <c r="E8" s="7" t="s">
        <v>24</v>
      </c>
    </row>
    <row r="9" spans="1:5" ht="15" customHeight="1">
      <c r="A9" s="7" t="s">
        <v>31</v>
      </c>
      <c r="B9" s="7">
        <f>COUNTIF(Study_Coding!A3:A200,"P*")</f>
        <v>27</v>
      </c>
      <c r="C9" s="7">
        <f>PRISMA_Flow!C18</f>
        <v>27</v>
      </c>
      <c r="D9" s="7" t="str">
        <f t="shared" si="0"/>
        <v>OK</v>
      </c>
      <c r="E9" s="7" t="s">
        <v>24</v>
      </c>
    </row>
    <row r="10" spans="1:5" ht="15" customHeight="1">
      <c r="A10" s="7" t="s">
        <v>32</v>
      </c>
      <c r="B10" s="7">
        <f>COUNT('Data Extraction'!AE2:AE200)</f>
        <v>27</v>
      </c>
      <c r="C10" s="7">
        <f>PRISMA_Flow!C18</f>
        <v>27</v>
      </c>
      <c r="D10" s="7" t="str">
        <f t="shared" si="0"/>
        <v>OK</v>
      </c>
      <c r="E10" s="7" t="s">
        <v>24</v>
      </c>
    </row>
    <row r="11" spans="1:5" ht="15" customHeight="1">
      <c r="A11" s="7" t="s">
        <v>33</v>
      </c>
      <c r="B11" s="7">
        <f>COUNTA(Excluded_Records!A2:A1000)</f>
        <v>226</v>
      </c>
      <c r="C11" s="7">
        <f>PRISMA_Flow!C13+PRISMA_Flow!C15</f>
        <v>226</v>
      </c>
      <c r="D11" s="7" t="str">
        <f t="shared" si="0"/>
        <v>OK</v>
      </c>
      <c r="E11" s="7" t="s">
        <v>34</v>
      </c>
    </row>
    <row r="12" spans="1:5" ht="15" customHeight="1">
      <c r="A12" s="7" t="s">
        <v>35</v>
      </c>
      <c r="B12" s="7">
        <f>COUNTA(Excluded_Records!A2:A1000)</f>
        <v>226</v>
      </c>
      <c r="C12" s="7">
        <f>PRISMA_Flow!C3+PRISMA_Flow!C4-PRISMA_Flow!C18-PRISMA_Flow!C5-PRISMA_Flow!C7-PRISMA_Flow!C9-PRISMA_Flow!C11</f>
        <v>226</v>
      </c>
      <c r="D12" s="7" t="str">
        <f t="shared" si="0"/>
        <v>OK</v>
      </c>
      <c r="E12" s="7" t="s">
        <v>36</v>
      </c>
    </row>
    <row r="13" spans="1:5" ht="15" customHeight="1">
      <c r="A13" s="7" t="s">
        <v>37</v>
      </c>
      <c r="B13" s="7">
        <v>27</v>
      </c>
      <c r="C13" s="7">
        <f>PRISMA_Flow!C18</f>
        <v>27</v>
      </c>
      <c r="D13" s="7" t="str">
        <f t="shared" si="0"/>
        <v>OK</v>
      </c>
      <c r="E13" s="7" t="s">
        <v>38</v>
      </c>
    </row>
    <row r="14" spans="1:5" ht="27.75" customHeight="1">
      <c r="A14" s="7" t="s">
        <v>39</v>
      </c>
      <c r="B14" s="7">
        <v>27</v>
      </c>
      <c r="C14" s="7">
        <f>PRISMA_Flow!C18</f>
        <v>27</v>
      </c>
      <c r="D14" s="7" t="str">
        <f t="shared" si="0"/>
        <v>OK</v>
      </c>
      <c r="E14" s="7" t="s">
        <v>40</v>
      </c>
    </row>
    <row r="15" spans="1:5" ht="15" customHeight="1">
      <c r="A15" s="7" t="s">
        <v>41</v>
      </c>
      <c r="B15" s="7">
        <v>27</v>
      </c>
      <c r="C15" s="7">
        <f>PRISMA_Flow!C18</f>
        <v>27</v>
      </c>
      <c r="D15" s="7" t="str">
        <f t="shared" si="0"/>
        <v>OK</v>
      </c>
      <c r="E15" s="7" t="s">
        <v>42</v>
      </c>
    </row>
    <row r="16" spans="1:5" ht="15" customHeight="1">
      <c r="A16" s="7" t="s">
        <v>43</v>
      </c>
      <c r="B16" s="7">
        <v>27</v>
      </c>
      <c r="C16" s="7">
        <f>PRISMA_Flow!C18</f>
        <v>27</v>
      </c>
      <c r="D16" s="7" t="str">
        <f t="shared" si="0"/>
        <v>OK</v>
      </c>
      <c r="E16" s="7" t="s">
        <v>44</v>
      </c>
    </row>
    <row r="18" spans="1:5" ht="81.75" customHeight="1">
      <c r="A18" s="7" t="s">
        <v>45</v>
      </c>
    </row>
    <row r="20" spans="1:5" ht="15" customHeight="1">
      <c r="A20" t="s">
        <v>46</v>
      </c>
      <c r="B20" t="s">
        <v>47</v>
      </c>
      <c r="C20" t="s">
        <v>47</v>
      </c>
      <c r="D20" t="str">
        <f>IF(B20=C20,"OK","MISMATCH")</f>
        <v>OK</v>
      </c>
      <c r="E20" t="s">
        <v>48</v>
      </c>
    </row>
    <row r="21" spans="1:5" ht="15" customHeight="1">
      <c r="A21" t="s">
        <v>49</v>
      </c>
      <c r="B21">
        <v>27</v>
      </c>
      <c r="C21">
        <v>30</v>
      </c>
      <c r="D21" t="str">
        <f>IF(B21&lt;=C21,"OK","MISMATCH")</f>
        <v>OK</v>
      </c>
      <c r="E21" t="s">
        <v>50</v>
      </c>
    </row>
    <row r="22" spans="1:5" ht="15" customHeight="1">
      <c r="A22" t="s">
        <v>51</v>
      </c>
      <c r="B22" t="s">
        <v>52</v>
      </c>
      <c r="C22" t="s">
        <v>52</v>
      </c>
      <c r="D22" t="str">
        <f>IF(B22=C22,"OK","MISMATCH")</f>
        <v>OK</v>
      </c>
      <c r="E22" t="s">
        <v>53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4"/>
  <sheetViews>
    <sheetView topLeftCell="A73" zoomScaleNormal="100" workbookViewId="0">
      <pane ySplit="2" topLeftCell="A3" activePane="bottomLeft" state="frozen"/>
      <selection pane="bottomLeft" activeCell="M77" sqref="M77"/>
      <selection activeCell="A73" sqref="A73"/>
    </sheetView>
  </sheetViews>
  <sheetFormatPr defaultColWidth="8.5703125" defaultRowHeight="14.45"/>
  <sheetData>
    <row r="1" spans="1:15" ht="34.5" customHeight="1">
      <c r="A1" s="10" t="s">
        <v>54</v>
      </c>
      <c r="B1" s="10" t="s">
        <v>55</v>
      </c>
      <c r="C1" s="10" t="s">
        <v>56</v>
      </c>
      <c r="D1" s="10" t="s">
        <v>57</v>
      </c>
      <c r="E1" s="10" t="s">
        <v>58</v>
      </c>
      <c r="F1" s="10" t="s">
        <v>59</v>
      </c>
      <c r="G1" s="10" t="s">
        <v>60</v>
      </c>
      <c r="H1" s="10" t="s">
        <v>61</v>
      </c>
      <c r="I1" s="10" t="s">
        <v>62</v>
      </c>
      <c r="J1" s="10" t="s">
        <v>63</v>
      </c>
      <c r="K1" s="10" t="s">
        <v>64</v>
      </c>
      <c r="L1" s="10" t="s">
        <v>65</v>
      </c>
      <c r="M1" s="10" t="s">
        <v>66</v>
      </c>
      <c r="N1" s="10" t="s">
        <v>67</v>
      </c>
      <c r="O1" s="10" t="s">
        <v>68</v>
      </c>
    </row>
    <row r="2" spans="1:15" ht="15" customHeight="1">
      <c r="A2" s="11">
        <v>1</v>
      </c>
      <c r="B2" s="11" t="s">
        <v>8</v>
      </c>
      <c r="C2" s="11" t="s">
        <v>69</v>
      </c>
      <c r="D2" s="11" t="s">
        <v>70</v>
      </c>
      <c r="E2" s="11" t="s">
        <v>71</v>
      </c>
      <c r="F2" s="11">
        <v>2018</v>
      </c>
      <c r="G2" s="11" t="s">
        <v>72</v>
      </c>
      <c r="H2" s="11" t="s">
        <v>73</v>
      </c>
      <c r="I2" s="11" t="s">
        <v>74</v>
      </c>
      <c r="J2" s="11" t="s">
        <v>75</v>
      </c>
      <c r="K2" s="12" t="s">
        <v>76</v>
      </c>
      <c r="L2" s="11" t="s">
        <v>77</v>
      </c>
      <c r="M2" s="12" t="s">
        <v>76</v>
      </c>
      <c r="N2" s="12" t="s">
        <v>76</v>
      </c>
      <c r="O2" s="11" t="s">
        <v>78</v>
      </c>
    </row>
    <row r="3" spans="1:15" ht="15" customHeight="1">
      <c r="A3" s="11">
        <v>2</v>
      </c>
      <c r="B3" s="11" t="s">
        <v>8</v>
      </c>
      <c r="C3" s="11" t="s">
        <v>69</v>
      </c>
      <c r="D3" s="11" t="s">
        <v>79</v>
      </c>
      <c r="E3" s="11" t="s">
        <v>80</v>
      </c>
      <c r="F3" s="11">
        <v>2026</v>
      </c>
      <c r="G3" s="11"/>
      <c r="H3" s="11" t="s">
        <v>79</v>
      </c>
      <c r="I3" s="11" t="s">
        <v>81</v>
      </c>
      <c r="J3" s="11" t="s">
        <v>75</v>
      </c>
      <c r="K3" s="12" t="s">
        <v>76</v>
      </c>
      <c r="L3" s="11" t="s">
        <v>77</v>
      </c>
      <c r="M3" s="12" t="s">
        <v>76</v>
      </c>
      <c r="N3" s="12" t="s">
        <v>76</v>
      </c>
      <c r="O3" s="11" t="s">
        <v>82</v>
      </c>
    </row>
    <row r="4" spans="1:15" ht="15" customHeight="1">
      <c r="A4" s="11">
        <v>3</v>
      </c>
      <c r="B4" s="11" t="s">
        <v>8</v>
      </c>
      <c r="C4" s="11" t="s">
        <v>69</v>
      </c>
      <c r="D4" s="11" t="s">
        <v>83</v>
      </c>
      <c r="E4" s="11" t="s">
        <v>84</v>
      </c>
      <c r="F4" s="11"/>
      <c r="G4" s="11"/>
      <c r="H4" s="11" t="s">
        <v>85</v>
      </c>
      <c r="I4" s="11" t="s">
        <v>86</v>
      </c>
      <c r="J4" s="11" t="s">
        <v>75</v>
      </c>
      <c r="K4" s="12" t="s">
        <v>76</v>
      </c>
      <c r="L4" s="11" t="s">
        <v>77</v>
      </c>
      <c r="M4" s="12" t="s">
        <v>76</v>
      </c>
      <c r="N4" s="12" t="s">
        <v>76</v>
      </c>
      <c r="O4" s="11" t="s">
        <v>87</v>
      </c>
    </row>
    <row r="5" spans="1:15" ht="15" customHeight="1">
      <c r="A5" s="11">
        <v>4</v>
      </c>
      <c r="B5" s="11" t="s">
        <v>8</v>
      </c>
      <c r="C5" s="11" t="s">
        <v>69</v>
      </c>
      <c r="D5" s="11" t="s">
        <v>88</v>
      </c>
      <c r="E5" s="11"/>
      <c r="F5" s="11">
        <v>2025</v>
      </c>
      <c r="G5" s="11"/>
      <c r="H5" s="11" t="s">
        <v>89</v>
      </c>
      <c r="I5" s="11" t="s">
        <v>90</v>
      </c>
      <c r="J5" s="11" t="s">
        <v>75</v>
      </c>
      <c r="K5" s="13" t="s">
        <v>91</v>
      </c>
      <c r="L5" s="11" t="s">
        <v>77</v>
      </c>
      <c r="M5" s="13" t="s">
        <v>91</v>
      </c>
      <c r="N5" s="13" t="s">
        <v>91</v>
      </c>
      <c r="O5" s="11" t="s">
        <v>92</v>
      </c>
    </row>
    <row r="6" spans="1:15" ht="15" customHeight="1">
      <c r="A6" s="11">
        <v>5</v>
      </c>
      <c r="B6" s="11" t="s">
        <v>8</v>
      </c>
      <c r="C6" s="11" t="s">
        <v>69</v>
      </c>
      <c r="D6" s="11" t="s">
        <v>93</v>
      </c>
      <c r="E6" s="11" t="s">
        <v>94</v>
      </c>
      <c r="F6" s="11">
        <v>2023</v>
      </c>
      <c r="G6" s="11"/>
      <c r="H6" s="11" t="s">
        <v>95</v>
      </c>
      <c r="I6" s="11" t="s">
        <v>96</v>
      </c>
      <c r="J6" s="11" t="s">
        <v>75</v>
      </c>
      <c r="K6" s="12" t="s">
        <v>76</v>
      </c>
      <c r="L6" s="11" t="s">
        <v>77</v>
      </c>
      <c r="M6" s="12" t="s">
        <v>76</v>
      </c>
      <c r="N6" s="12" t="s">
        <v>76</v>
      </c>
      <c r="O6" s="11" t="s">
        <v>97</v>
      </c>
    </row>
    <row r="7" spans="1:15" ht="15" customHeight="1">
      <c r="A7" s="11">
        <v>6</v>
      </c>
      <c r="B7" s="11" t="s">
        <v>8</v>
      </c>
      <c r="C7" s="11" t="s">
        <v>69</v>
      </c>
      <c r="D7" s="11" t="s">
        <v>98</v>
      </c>
      <c r="E7" s="11" t="s">
        <v>99</v>
      </c>
      <c r="F7" s="11">
        <v>2024</v>
      </c>
      <c r="G7" s="11"/>
      <c r="H7" s="11" t="s">
        <v>100</v>
      </c>
      <c r="I7" s="11" t="s">
        <v>101</v>
      </c>
      <c r="J7" s="11" t="s">
        <v>75</v>
      </c>
      <c r="K7" s="12" t="s">
        <v>76</v>
      </c>
      <c r="L7" s="11" t="s">
        <v>77</v>
      </c>
      <c r="M7" s="12" t="s">
        <v>76</v>
      </c>
      <c r="N7" s="12" t="s">
        <v>76</v>
      </c>
      <c r="O7" s="11" t="s">
        <v>102</v>
      </c>
    </row>
    <row r="8" spans="1:15" ht="15" customHeight="1">
      <c r="A8" s="11">
        <v>7</v>
      </c>
      <c r="B8" s="11" t="s">
        <v>8</v>
      </c>
      <c r="C8" s="11" t="s">
        <v>69</v>
      </c>
      <c r="D8" s="11" t="s">
        <v>103</v>
      </c>
      <c r="E8" s="11" t="s">
        <v>104</v>
      </c>
      <c r="F8" s="11">
        <v>2026</v>
      </c>
      <c r="G8" s="11" t="s">
        <v>105</v>
      </c>
      <c r="H8" s="11"/>
      <c r="I8" s="11" t="s">
        <v>106</v>
      </c>
      <c r="J8" s="11" t="s">
        <v>75</v>
      </c>
      <c r="K8" s="12" t="s">
        <v>76</v>
      </c>
      <c r="L8" s="11" t="s">
        <v>77</v>
      </c>
      <c r="M8" s="12" t="s">
        <v>76</v>
      </c>
      <c r="N8" s="12" t="s">
        <v>76</v>
      </c>
      <c r="O8" s="11" t="s">
        <v>87</v>
      </c>
    </row>
    <row r="9" spans="1:15" ht="15" customHeight="1">
      <c r="A9" s="11">
        <v>8</v>
      </c>
      <c r="B9" s="11" t="s">
        <v>8</v>
      </c>
      <c r="C9" s="11" t="s">
        <v>69</v>
      </c>
      <c r="D9" s="11" t="s">
        <v>107</v>
      </c>
      <c r="E9" s="11" t="s">
        <v>108</v>
      </c>
      <c r="F9" s="11">
        <v>2026</v>
      </c>
      <c r="G9" s="11"/>
      <c r="H9" s="11" t="s">
        <v>109</v>
      </c>
      <c r="I9" s="11" t="s">
        <v>110</v>
      </c>
      <c r="J9" s="11" t="s">
        <v>75</v>
      </c>
      <c r="K9" s="13" t="s">
        <v>91</v>
      </c>
      <c r="L9" s="11" t="s">
        <v>77</v>
      </c>
      <c r="M9" s="13" t="s">
        <v>91</v>
      </c>
      <c r="N9" s="13" t="s">
        <v>91</v>
      </c>
      <c r="O9" s="11" t="s">
        <v>92</v>
      </c>
    </row>
    <row r="10" spans="1:15" ht="15" customHeight="1">
      <c r="A10" s="11">
        <v>9</v>
      </c>
      <c r="B10" s="11" t="s">
        <v>8</v>
      </c>
      <c r="C10" s="11" t="s">
        <v>69</v>
      </c>
      <c r="D10" s="11" t="s">
        <v>111</v>
      </c>
      <c r="E10" s="11" t="s">
        <v>112</v>
      </c>
      <c r="F10" s="11">
        <v>2025</v>
      </c>
      <c r="G10" s="11"/>
      <c r="H10" s="11" t="s">
        <v>113</v>
      </c>
      <c r="I10" s="11" t="s">
        <v>114</v>
      </c>
      <c r="J10" s="11" t="s">
        <v>75</v>
      </c>
      <c r="K10" s="12" t="s">
        <v>76</v>
      </c>
      <c r="L10" s="11" t="s">
        <v>77</v>
      </c>
      <c r="M10" s="12" t="s">
        <v>76</v>
      </c>
      <c r="N10" s="12" t="s">
        <v>76</v>
      </c>
      <c r="O10" s="11" t="s">
        <v>115</v>
      </c>
    </row>
    <row r="11" spans="1:15" ht="15" customHeight="1">
      <c r="A11" s="11">
        <v>10</v>
      </c>
      <c r="B11" s="11" t="s">
        <v>8</v>
      </c>
      <c r="C11" s="11" t="s">
        <v>69</v>
      </c>
      <c r="D11" s="11" t="s">
        <v>116</v>
      </c>
      <c r="E11" s="11"/>
      <c r="F11" s="11">
        <v>2024</v>
      </c>
      <c r="G11" s="11" t="s">
        <v>117</v>
      </c>
      <c r="H11" s="11" t="s">
        <v>118</v>
      </c>
      <c r="I11" s="11" t="s">
        <v>119</v>
      </c>
      <c r="J11" s="11" t="s">
        <v>75</v>
      </c>
      <c r="K11" s="12" t="s">
        <v>76</v>
      </c>
      <c r="L11" s="11" t="s">
        <v>77</v>
      </c>
      <c r="M11" s="12" t="s">
        <v>76</v>
      </c>
      <c r="N11" s="12" t="s">
        <v>76</v>
      </c>
      <c r="O11" s="11" t="s">
        <v>120</v>
      </c>
    </row>
    <row r="12" spans="1:15" ht="15" customHeight="1">
      <c r="A12" s="11">
        <v>11</v>
      </c>
      <c r="B12" s="11" t="s">
        <v>8</v>
      </c>
      <c r="C12" s="11" t="s">
        <v>69</v>
      </c>
      <c r="D12" s="11" t="s">
        <v>121</v>
      </c>
      <c r="E12" s="11" t="s">
        <v>122</v>
      </c>
      <c r="F12" s="11">
        <v>2024</v>
      </c>
      <c r="G12" s="11"/>
      <c r="H12" s="11" t="s">
        <v>123</v>
      </c>
      <c r="I12" s="11" t="s">
        <v>124</v>
      </c>
      <c r="J12" s="11" t="s">
        <v>75</v>
      </c>
      <c r="K12" s="12" t="s">
        <v>76</v>
      </c>
      <c r="L12" s="11" t="s">
        <v>77</v>
      </c>
      <c r="M12" s="12" t="s">
        <v>76</v>
      </c>
      <c r="N12" s="12" t="s">
        <v>76</v>
      </c>
      <c r="O12" s="11" t="s">
        <v>125</v>
      </c>
    </row>
    <row r="13" spans="1:15" ht="15" customHeight="1">
      <c r="A13" s="11">
        <v>12</v>
      </c>
      <c r="B13" s="11" t="s">
        <v>8</v>
      </c>
      <c r="C13" s="11" t="s">
        <v>69</v>
      </c>
      <c r="D13" s="11" t="s">
        <v>126</v>
      </c>
      <c r="E13" s="11" t="s">
        <v>127</v>
      </c>
      <c r="F13" s="11">
        <v>2025</v>
      </c>
      <c r="G13" s="11" t="s">
        <v>128</v>
      </c>
      <c r="H13" s="11" t="s">
        <v>129</v>
      </c>
      <c r="I13" s="11" t="s">
        <v>130</v>
      </c>
      <c r="J13" s="11" t="s">
        <v>75</v>
      </c>
      <c r="K13" s="13" t="s">
        <v>91</v>
      </c>
      <c r="L13" s="11" t="s">
        <v>77</v>
      </c>
      <c r="M13" s="13" t="s">
        <v>91</v>
      </c>
      <c r="N13" s="13" t="s">
        <v>91</v>
      </c>
      <c r="O13" s="11" t="s">
        <v>92</v>
      </c>
    </row>
    <row r="14" spans="1:15" ht="15" customHeight="1">
      <c r="A14" s="11">
        <v>13</v>
      </c>
      <c r="B14" s="11" t="s">
        <v>8</v>
      </c>
      <c r="C14" s="11" t="s">
        <v>69</v>
      </c>
      <c r="D14" s="11" t="s">
        <v>131</v>
      </c>
      <c r="E14" s="11" t="s">
        <v>132</v>
      </c>
      <c r="F14" s="11">
        <v>2026</v>
      </c>
      <c r="G14" s="11" t="s">
        <v>133</v>
      </c>
      <c r="H14" s="11" t="s">
        <v>134</v>
      </c>
      <c r="I14" s="11" t="s">
        <v>135</v>
      </c>
      <c r="J14" s="11" t="s">
        <v>75</v>
      </c>
      <c r="K14" s="12" t="s">
        <v>76</v>
      </c>
      <c r="L14" s="11" t="s">
        <v>77</v>
      </c>
      <c r="M14" s="12" t="s">
        <v>76</v>
      </c>
      <c r="N14" s="12" t="s">
        <v>76</v>
      </c>
      <c r="O14" s="11" t="s">
        <v>136</v>
      </c>
    </row>
    <row r="15" spans="1:15" ht="15" customHeight="1">
      <c r="A15" s="11">
        <v>14</v>
      </c>
      <c r="B15" s="11" t="s">
        <v>8</v>
      </c>
      <c r="C15" s="11" t="s">
        <v>69</v>
      </c>
      <c r="D15" s="11" t="s">
        <v>137</v>
      </c>
      <c r="E15" s="11" t="s">
        <v>138</v>
      </c>
      <c r="F15" s="11">
        <v>2019</v>
      </c>
      <c r="G15" s="11"/>
      <c r="H15" s="11" t="s">
        <v>139</v>
      </c>
      <c r="I15" s="11" t="s">
        <v>140</v>
      </c>
      <c r="J15" s="11" t="s">
        <v>75</v>
      </c>
      <c r="K15" s="12" t="s">
        <v>76</v>
      </c>
      <c r="L15" s="11" t="s">
        <v>77</v>
      </c>
      <c r="M15" s="12" t="s">
        <v>76</v>
      </c>
      <c r="N15" s="12" t="s">
        <v>76</v>
      </c>
      <c r="O15" s="11" t="s">
        <v>141</v>
      </c>
    </row>
    <row r="16" spans="1:15" ht="15" customHeight="1">
      <c r="A16" s="11">
        <v>15</v>
      </c>
      <c r="B16" s="11" t="s">
        <v>8</v>
      </c>
      <c r="C16" s="11" t="s">
        <v>69</v>
      </c>
      <c r="D16" s="11" t="s">
        <v>142</v>
      </c>
      <c r="E16" s="11" t="s">
        <v>143</v>
      </c>
      <c r="F16" s="11">
        <v>2023</v>
      </c>
      <c r="G16" s="11" t="s">
        <v>144</v>
      </c>
      <c r="H16" s="11" t="s">
        <v>145</v>
      </c>
      <c r="I16" s="11" t="s">
        <v>146</v>
      </c>
      <c r="J16" s="11" t="s">
        <v>75</v>
      </c>
      <c r="K16" s="12" t="s">
        <v>76</v>
      </c>
      <c r="L16" s="11" t="s">
        <v>77</v>
      </c>
      <c r="M16" s="12" t="s">
        <v>76</v>
      </c>
      <c r="N16" s="12" t="s">
        <v>76</v>
      </c>
      <c r="O16" s="11" t="s">
        <v>147</v>
      </c>
    </row>
    <row r="17" spans="1:15" ht="15" customHeight="1">
      <c r="A17" s="11">
        <v>16</v>
      </c>
      <c r="B17" s="11" t="s">
        <v>8</v>
      </c>
      <c r="C17" s="11" t="s">
        <v>69</v>
      </c>
      <c r="D17" s="11" t="s">
        <v>148</v>
      </c>
      <c r="E17" s="11" t="s">
        <v>149</v>
      </c>
      <c r="F17" s="11">
        <v>2023</v>
      </c>
      <c r="G17" s="11" t="s">
        <v>150</v>
      </c>
      <c r="H17" s="11" t="s">
        <v>151</v>
      </c>
      <c r="I17" s="11" t="s">
        <v>152</v>
      </c>
      <c r="J17" s="11" t="s">
        <v>75</v>
      </c>
      <c r="K17" s="12" t="s">
        <v>76</v>
      </c>
      <c r="L17" s="11" t="s">
        <v>77</v>
      </c>
      <c r="M17" s="12" t="s">
        <v>76</v>
      </c>
      <c r="N17" s="12" t="s">
        <v>76</v>
      </c>
      <c r="O17" s="11" t="s">
        <v>153</v>
      </c>
    </row>
    <row r="18" spans="1:15" ht="15" customHeight="1">
      <c r="A18" s="11">
        <v>17</v>
      </c>
      <c r="B18" s="11" t="s">
        <v>8</v>
      </c>
      <c r="C18" s="11" t="s">
        <v>69</v>
      </c>
      <c r="D18" s="11" t="s">
        <v>154</v>
      </c>
      <c r="E18" s="11"/>
      <c r="F18" s="11">
        <v>2025</v>
      </c>
      <c r="G18" s="11" t="s">
        <v>155</v>
      </c>
      <c r="H18" s="11" t="s">
        <v>156</v>
      </c>
      <c r="I18" s="11"/>
      <c r="J18" s="11" t="s">
        <v>75</v>
      </c>
      <c r="K18" s="12" t="s">
        <v>76</v>
      </c>
      <c r="L18" s="11" t="s">
        <v>77</v>
      </c>
      <c r="M18" s="12" t="s">
        <v>76</v>
      </c>
      <c r="N18" s="12" t="s">
        <v>76</v>
      </c>
      <c r="O18" s="11" t="s">
        <v>157</v>
      </c>
    </row>
    <row r="19" spans="1:15" ht="15" customHeight="1">
      <c r="A19" s="11">
        <v>18</v>
      </c>
      <c r="B19" s="11" t="s">
        <v>8</v>
      </c>
      <c r="C19" s="11" t="s">
        <v>69</v>
      </c>
      <c r="D19" s="11" t="s">
        <v>158</v>
      </c>
      <c r="E19" s="11" t="s">
        <v>159</v>
      </c>
      <c r="F19" s="11">
        <v>2021</v>
      </c>
      <c r="G19" s="11" t="s">
        <v>160</v>
      </c>
      <c r="H19" s="11" t="s">
        <v>161</v>
      </c>
      <c r="I19" s="11" t="s">
        <v>162</v>
      </c>
      <c r="J19" s="11" t="s">
        <v>75</v>
      </c>
      <c r="K19" s="12" t="s">
        <v>76</v>
      </c>
      <c r="L19" s="11" t="s">
        <v>77</v>
      </c>
      <c r="M19" s="12" t="s">
        <v>76</v>
      </c>
      <c r="N19" s="12" t="s">
        <v>76</v>
      </c>
      <c r="O19" s="11" t="s">
        <v>163</v>
      </c>
    </row>
    <row r="20" spans="1:15" ht="15" customHeight="1">
      <c r="A20" s="11">
        <v>19</v>
      </c>
      <c r="B20" s="11" t="s">
        <v>8</v>
      </c>
      <c r="C20" s="11" t="s">
        <v>69</v>
      </c>
      <c r="D20" s="11" t="s">
        <v>164</v>
      </c>
      <c r="E20" s="11" t="s">
        <v>165</v>
      </c>
      <c r="F20" s="11">
        <v>2022</v>
      </c>
      <c r="G20" s="11" t="s">
        <v>166</v>
      </c>
      <c r="H20" s="11" t="s">
        <v>167</v>
      </c>
      <c r="I20" s="11" t="s">
        <v>168</v>
      </c>
      <c r="J20" s="11" t="s">
        <v>75</v>
      </c>
      <c r="K20" s="13" t="s">
        <v>91</v>
      </c>
      <c r="L20" s="11" t="s">
        <v>77</v>
      </c>
      <c r="M20" s="13" t="s">
        <v>91</v>
      </c>
      <c r="N20" s="13" t="s">
        <v>91</v>
      </c>
      <c r="O20" s="11" t="s">
        <v>169</v>
      </c>
    </row>
    <row r="21" spans="1:15" ht="15" customHeight="1">
      <c r="A21" s="11">
        <v>20</v>
      </c>
      <c r="B21" s="11" t="s">
        <v>8</v>
      </c>
      <c r="C21" s="11" t="s">
        <v>69</v>
      </c>
      <c r="D21" s="11" t="s">
        <v>170</v>
      </c>
      <c r="E21" s="11" t="s">
        <v>171</v>
      </c>
      <c r="F21" s="11">
        <v>2021</v>
      </c>
      <c r="G21" s="11" t="s">
        <v>160</v>
      </c>
      <c r="H21" s="11" t="s">
        <v>172</v>
      </c>
      <c r="I21" s="11" t="s">
        <v>173</v>
      </c>
      <c r="J21" s="11" t="s">
        <v>75</v>
      </c>
      <c r="K21" s="12" t="s">
        <v>76</v>
      </c>
      <c r="L21" s="11" t="s">
        <v>77</v>
      </c>
      <c r="M21" s="12" t="s">
        <v>76</v>
      </c>
      <c r="N21" s="12" t="s">
        <v>76</v>
      </c>
      <c r="O21" s="11" t="s">
        <v>174</v>
      </c>
    </row>
    <row r="22" spans="1:15" ht="15" customHeight="1">
      <c r="A22" s="11">
        <v>21</v>
      </c>
      <c r="B22" s="11" t="s">
        <v>8</v>
      </c>
      <c r="C22" s="11" t="s">
        <v>69</v>
      </c>
      <c r="D22" s="11" t="s">
        <v>175</v>
      </c>
      <c r="E22" s="11"/>
      <c r="F22" s="11">
        <v>2026</v>
      </c>
      <c r="G22" s="11"/>
      <c r="H22" s="11" t="s">
        <v>176</v>
      </c>
      <c r="I22" s="11" t="s">
        <v>177</v>
      </c>
      <c r="J22" s="11" t="s">
        <v>75</v>
      </c>
      <c r="K22" s="12" t="s">
        <v>76</v>
      </c>
      <c r="L22" s="11" t="s">
        <v>77</v>
      </c>
      <c r="M22" s="12" t="s">
        <v>76</v>
      </c>
      <c r="N22" s="12" t="s">
        <v>76</v>
      </c>
      <c r="O22" s="11" t="s">
        <v>178</v>
      </c>
    </row>
    <row r="23" spans="1:15" ht="15" customHeight="1">
      <c r="A23" s="11">
        <v>22</v>
      </c>
      <c r="B23" s="11" t="s">
        <v>8</v>
      </c>
      <c r="C23" s="11" t="s">
        <v>69</v>
      </c>
      <c r="D23" s="11" t="s">
        <v>179</v>
      </c>
      <c r="E23" s="11" t="s">
        <v>180</v>
      </c>
      <c r="F23" s="11">
        <v>2026</v>
      </c>
      <c r="G23" s="11" t="s">
        <v>181</v>
      </c>
      <c r="H23" s="11" t="s">
        <v>182</v>
      </c>
      <c r="I23" s="11" t="s">
        <v>183</v>
      </c>
      <c r="J23" s="11" t="s">
        <v>75</v>
      </c>
      <c r="K23" s="12" t="s">
        <v>76</v>
      </c>
      <c r="L23" s="11" t="s">
        <v>77</v>
      </c>
      <c r="M23" s="12" t="s">
        <v>76</v>
      </c>
      <c r="N23" s="12" t="s">
        <v>76</v>
      </c>
      <c r="O23" s="11" t="s">
        <v>184</v>
      </c>
    </row>
    <row r="24" spans="1:15" ht="15" customHeight="1">
      <c r="A24" s="11">
        <v>23</v>
      </c>
      <c r="B24" s="11" t="s">
        <v>8</v>
      </c>
      <c r="C24" s="11" t="s">
        <v>69</v>
      </c>
      <c r="D24" s="11" t="s">
        <v>185</v>
      </c>
      <c r="E24" s="11" t="s">
        <v>186</v>
      </c>
      <c r="F24" s="11">
        <v>2021</v>
      </c>
      <c r="G24" s="11"/>
      <c r="H24" s="11" t="s">
        <v>187</v>
      </c>
      <c r="I24" s="11" t="s">
        <v>188</v>
      </c>
      <c r="J24" s="11" t="s">
        <v>75</v>
      </c>
      <c r="K24" s="12" t="s">
        <v>76</v>
      </c>
      <c r="L24" s="11" t="s">
        <v>77</v>
      </c>
      <c r="M24" s="12" t="s">
        <v>76</v>
      </c>
      <c r="N24" s="12" t="s">
        <v>76</v>
      </c>
      <c r="O24" s="11" t="s">
        <v>153</v>
      </c>
    </row>
    <row r="25" spans="1:15" ht="15" customHeight="1">
      <c r="A25" s="11">
        <v>24</v>
      </c>
      <c r="B25" s="11" t="s">
        <v>8</v>
      </c>
      <c r="C25" s="11" t="s">
        <v>69</v>
      </c>
      <c r="D25" s="11" t="s">
        <v>189</v>
      </c>
      <c r="E25" s="11"/>
      <c r="F25" s="11">
        <v>2024</v>
      </c>
      <c r="G25" s="11" t="s">
        <v>190</v>
      </c>
      <c r="H25" s="11" t="s">
        <v>191</v>
      </c>
      <c r="I25" s="11" t="s">
        <v>192</v>
      </c>
      <c r="J25" s="11" t="s">
        <v>75</v>
      </c>
      <c r="K25" s="12" t="s">
        <v>76</v>
      </c>
      <c r="L25" s="11" t="s">
        <v>77</v>
      </c>
      <c r="M25" s="12" t="s">
        <v>76</v>
      </c>
      <c r="N25" s="12" t="s">
        <v>76</v>
      </c>
      <c r="O25" s="11" t="s">
        <v>193</v>
      </c>
    </row>
    <row r="26" spans="1:15" ht="15" customHeight="1">
      <c r="A26" s="11">
        <v>25</v>
      </c>
      <c r="B26" s="11" t="s">
        <v>8</v>
      </c>
      <c r="C26" s="11" t="s">
        <v>69</v>
      </c>
      <c r="D26" s="11" t="s">
        <v>194</v>
      </c>
      <c r="E26" s="11" t="s">
        <v>195</v>
      </c>
      <c r="F26" s="11">
        <v>2025</v>
      </c>
      <c r="G26" s="11"/>
      <c r="H26" s="11" t="s">
        <v>196</v>
      </c>
      <c r="I26" s="11"/>
      <c r="J26" s="11" t="s">
        <v>75</v>
      </c>
      <c r="K26" s="13" t="s">
        <v>91</v>
      </c>
      <c r="L26" s="11" t="s">
        <v>77</v>
      </c>
      <c r="M26" s="13" t="s">
        <v>91</v>
      </c>
      <c r="N26" s="13" t="s">
        <v>91</v>
      </c>
      <c r="O26" s="11" t="s">
        <v>92</v>
      </c>
    </row>
    <row r="27" spans="1:15" ht="15" customHeight="1">
      <c r="A27" s="11">
        <v>26</v>
      </c>
      <c r="B27" s="11" t="s">
        <v>8</v>
      </c>
      <c r="C27" s="11" t="s">
        <v>69</v>
      </c>
      <c r="D27" s="11" t="s">
        <v>197</v>
      </c>
      <c r="E27" s="11" t="s">
        <v>198</v>
      </c>
      <c r="F27" s="11">
        <v>2026</v>
      </c>
      <c r="G27" s="11"/>
      <c r="H27" s="11" t="s">
        <v>199</v>
      </c>
      <c r="I27" s="11" t="s">
        <v>200</v>
      </c>
      <c r="J27" s="11" t="s">
        <v>75</v>
      </c>
      <c r="K27" s="13" t="s">
        <v>91</v>
      </c>
      <c r="L27" s="11" t="s">
        <v>77</v>
      </c>
      <c r="M27" s="13" t="s">
        <v>91</v>
      </c>
      <c r="N27" s="13" t="s">
        <v>91</v>
      </c>
      <c r="O27" s="11" t="s">
        <v>201</v>
      </c>
    </row>
    <row r="28" spans="1:15" ht="15" customHeight="1">
      <c r="A28" s="11">
        <v>27</v>
      </c>
      <c r="B28" s="11" t="s">
        <v>8</v>
      </c>
      <c r="C28" s="11" t="s">
        <v>69</v>
      </c>
      <c r="D28" s="11" t="s">
        <v>202</v>
      </c>
      <c r="E28" s="11" t="s">
        <v>203</v>
      </c>
      <c r="F28" s="11">
        <v>2021</v>
      </c>
      <c r="G28" s="11" t="s">
        <v>150</v>
      </c>
      <c r="H28" s="11" t="s">
        <v>204</v>
      </c>
      <c r="I28" s="11" t="s">
        <v>205</v>
      </c>
      <c r="J28" s="11" t="s">
        <v>75</v>
      </c>
      <c r="K28" s="12" t="s">
        <v>76</v>
      </c>
      <c r="L28" s="11" t="s">
        <v>77</v>
      </c>
      <c r="M28" s="12" t="s">
        <v>76</v>
      </c>
      <c r="N28" s="12" t="s">
        <v>76</v>
      </c>
      <c r="O28" s="11" t="s">
        <v>206</v>
      </c>
    </row>
    <row r="29" spans="1:15" ht="15" customHeight="1">
      <c r="A29" s="11">
        <v>28</v>
      </c>
      <c r="B29" s="11" t="s">
        <v>8</v>
      </c>
      <c r="C29" s="11" t="s">
        <v>69</v>
      </c>
      <c r="D29" s="11" t="s">
        <v>207</v>
      </c>
      <c r="E29" s="11" t="s">
        <v>208</v>
      </c>
      <c r="F29" s="11">
        <v>2025</v>
      </c>
      <c r="G29" s="11" t="s">
        <v>209</v>
      </c>
      <c r="H29" s="11" t="s">
        <v>210</v>
      </c>
      <c r="I29" s="11" t="s">
        <v>211</v>
      </c>
      <c r="J29" s="11" t="s">
        <v>75</v>
      </c>
      <c r="K29" s="12" t="s">
        <v>76</v>
      </c>
      <c r="L29" s="11" t="s">
        <v>77</v>
      </c>
      <c r="M29" s="12" t="s">
        <v>76</v>
      </c>
      <c r="N29" s="12" t="s">
        <v>76</v>
      </c>
      <c r="O29" s="11" t="s">
        <v>212</v>
      </c>
    </row>
    <row r="30" spans="1:15" ht="15" customHeight="1">
      <c r="A30" s="11">
        <v>29</v>
      </c>
      <c r="B30" s="11" t="s">
        <v>8</v>
      </c>
      <c r="C30" s="11" t="s">
        <v>69</v>
      </c>
      <c r="D30" s="11" t="s">
        <v>213</v>
      </c>
      <c r="E30" s="11"/>
      <c r="F30" s="11">
        <v>2025</v>
      </c>
      <c r="G30" s="11" t="s">
        <v>214</v>
      </c>
      <c r="H30" s="11" t="s">
        <v>215</v>
      </c>
      <c r="I30" s="11" t="s">
        <v>216</v>
      </c>
      <c r="J30" s="11" t="s">
        <v>75</v>
      </c>
      <c r="K30" s="13" t="s">
        <v>91</v>
      </c>
      <c r="L30" s="11" t="s">
        <v>77</v>
      </c>
      <c r="M30" s="13" t="s">
        <v>91</v>
      </c>
      <c r="N30" s="13" t="s">
        <v>91</v>
      </c>
      <c r="O30" s="11" t="s">
        <v>92</v>
      </c>
    </row>
    <row r="31" spans="1:15" ht="15" customHeight="1">
      <c r="A31" s="11">
        <v>30</v>
      </c>
      <c r="B31" s="11" t="s">
        <v>8</v>
      </c>
      <c r="C31" s="11" t="s">
        <v>69</v>
      </c>
      <c r="D31" s="11" t="s">
        <v>217</v>
      </c>
      <c r="E31" s="11" t="s">
        <v>218</v>
      </c>
      <c r="F31" s="11">
        <v>2025</v>
      </c>
      <c r="G31" s="11"/>
      <c r="H31" s="11" t="s">
        <v>219</v>
      </c>
      <c r="I31" s="11" t="s">
        <v>220</v>
      </c>
      <c r="J31" s="11" t="s">
        <v>75</v>
      </c>
      <c r="K31" s="12" t="s">
        <v>76</v>
      </c>
      <c r="L31" s="11" t="s">
        <v>77</v>
      </c>
      <c r="M31" s="12" t="s">
        <v>76</v>
      </c>
      <c r="N31" s="12" t="s">
        <v>76</v>
      </c>
      <c r="O31" s="11" t="s">
        <v>221</v>
      </c>
    </row>
    <row r="32" spans="1:15" ht="15" customHeight="1">
      <c r="A32" s="11">
        <v>31</v>
      </c>
      <c r="B32" s="11" t="s">
        <v>8</v>
      </c>
      <c r="C32" s="11" t="s">
        <v>69</v>
      </c>
      <c r="D32" s="11" t="s">
        <v>222</v>
      </c>
      <c r="E32" s="11" t="s">
        <v>223</v>
      </c>
      <c r="F32" s="11">
        <v>2023</v>
      </c>
      <c r="G32" s="11" t="s">
        <v>150</v>
      </c>
      <c r="H32" s="11" t="s">
        <v>224</v>
      </c>
      <c r="I32" s="11" t="s">
        <v>225</v>
      </c>
      <c r="J32" s="11" t="s">
        <v>75</v>
      </c>
      <c r="K32" s="12" t="s">
        <v>76</v>
      </c>
      <c r="L32" s="11" t="s">
        <v>77</v>
      </c>
      <c r="M32" s="12" t="s">
        <v>76</v>
      </c>
      <c r="N32" s="12" t="s">
        <v>76</v>
      </c>
      <c r="O32" s="11" t="s">
        <v>226</v>
      </c>
    </row>
    <row r="33" spans="1:15" ht="15" customHeight="1">
      <c r="A33" s="11">
        <v>32</v>
      </c>
      <c r="B33" s="11" t="s">
        <v>8</v>
      </c>
      <c r="C33" s="11" t="s">
        <v>69</v>
      </c>
      <c r="D33" s="11" t="s">
        <v>227</v>
      </c>
      <c r="E33" s="11" t="s">
        <v>228</v>
      </c>
      <c r="F33" s="11">
        <v>2025</v>
      </c>
      <c r="G33" s="11" t="s">
        <v>229</v>
      </c>
      <c r="H33" s="11" t="s">
        <v>230</v>
      </c>
      <c r="I33" s="11" t="s">
        <v>231</v>
      </c>
      <c r="J33" s="11" t="s">
        <v>75</v>
      </c>
      <c r="K33" s="12" t="s">
        <v>76</v>
      </c>
      <c r="L33" s="11" t="s">
        <v>77</v>
      </c>
      <c r="M33" s="12" t="s">
        <v>76</v>
      </c>
      <c r="N33" s="12" t="s">
        <v>76</v>
      </c>
      <c r="O33" s="11" t="s">
        <v>232</v>
      </c>
    </row>
    <row r="34" spans="1:15" ht="15" customHeight="1">
      <c r="A34" s="11">
        <v>33</v>
      </c>
      <c r="B34" s="11" t="s">
        <v>8</v>
      </c>
      <c r="C34" s="11" t="s">
        <v>69</v>
      </c>
      <c r="D34" s="11" t="s">
        <v>233</v>
      </c>
      <c r="E34" s="11" t="s">
        <v>234</v>
      </c>
      <c r="F34" s="11"/>
      <c r="G34" s="11"/>
      <c r="H34" s="11" t="s">
        <v>235</v>
      </c>
      <c r="I34" s="11" t="s">
        <v>236</v>
      </c>
      <c r="J34" s="11" t="s">
        <v>75</v>
      </c>
      <c r="K34" s="12" t="s">
        <v>76</v>
      </c>
      <c r="L34" s="11" t="s">
        <v>77</v>
      </c>
      <c r="M34" s="12" t="s">
        <v>76</v>
      </c>
      <c r="N34" s="12" t="s">
        <v>76</v>
      </c>
      <c r="O34" s="11" t="s">
        <v>237</v>
      </c>
    </row>
    <row r="35" spans="1:15" ht="15" customHeight="1">
      <c r="A35" s="11">
        <v>34</v>
      </c>
      <c r="B35" s="11" t="s">
        <v>8</v>
      </c>
      <c r="C35" s="11" t="s">
        <v>69</v>
      </c>
      <c r="D35" s="11" t="s">
        <v>238</v>
      </c>
      <c r="E35" s="11" t="s">
        <v>239</v>
      </c>
      <c r="F35" s="11">
        <v>2026</v>
      </c>
      <c r="G35" s="11"/>
      <c r="H35" s="11" t="s">
        <v>240</v>
      </c>
      <c r="I35" s="11" t="s">
        <v>241</v>
      </c>
      <c r="J35" s="11" t="s">
        <v>75</v>
      </c>
      <c r="K35" s="12" t="s">
        <v>76</v>
      </c>
      <c r="L35" s="11" t="s">
        <v>77</v>
      </c>
      <c r="M35" s="12" t="s">
        <v>76</v>
      </c>
      <c r="N35" s="12" t="s">
        <v>76</v>
      </c>
      <c r="O35" s="11" t="s">
        <v>242</v>
      </c>
    </row>
    <row r="36" spans="1:15" ht="15" customHeight="1">
      <c r="A36" s="11">
        <v>35</v>
      </c>
      <c r="B36" s="11" t="s">
        <v>8</v>
      </c>
      <c r="C36" s="11" t="s">
        <v>69</v>
      </c>
      <c r="D36" s="11" t="s">
        <v>243</v>
      </c>
      <c r="E36" s="11" t="s">
        <v>244</v>
      </c>
      <c r="F36" s="11"/>
      <c r="G36" s="11"/>
      <c r="H36" s="11"/>
      <c r="I36" s="11" t="s">
        <v>245</v>
      </c>
      <c r="J36" s="11" t="s">
        <v>75</v>
      </c>
      <c r="K36" s="12" t="s">
        <v>76</v>
      </c>
      <c r="L36" s="11" t="s">
        <v>77</v>
      </c>
      <c r="M36" s="12" t="s">
        <v>76</v>
      </c>
      <c r="N36" s="12" t="s">
        <v>76</v>
      </c>
      <c r="O36" s="11" t="s">
        <v>174</v>
      </c>
    </row>
    <row r="37" spans="1:15" ht="15" customHeight="1">
      <c r="A37" s="11">
        <v>36</v>
      </c>
      <c r="B37" s="11" t="s">
        <v>8</v>
      </c>
      <c r="C37" s="11" t="s">
        <v>69</v>
      </c>
      <c r="D37" s="11" t="s">
        <v>246</v>
      </c>
      <c r="E37" s="11" t="s">
        <v>247</v>
      </c>
      <c r="F37" s="11">
        <v>2025</v>
      </c>
      <c r="G37" s="11"/>
      <c r="H37" s="11" t="s">
        <v>248</v>
      </c>
      <c r="I37" s="11" t="s">
        <v>249</v>
      </c>
      <c r="J37" s="11" t="s">
        <v>75</v>
      </c>
      <c r="K37" s="12" t="s">
        <v>76</v>
      </c>
      <c r="L37" s="11" t="s">
        <v>77</v>
      </c>
      <c r="M37" s="12" t="s">
        <v>76</v>
      </c>
      <c r="N37" s="12" t="s">
        <v>76</v>
      </c>
      <c r="O37" s="11" t="s">
        <v>250</v>
      </c>
    </row>
    <row r="38" spans="1:15" ht="15" customHeight="1">
      <c r="A38" s="11">
        <v>37</v>
      </c>
      <c r="B38" s="11" t="s">
        <v>8</v>
      </c>
      <c r="C38" s="11" t="s">
        <v>69</v>
      </c>
      <c r="D38" s="11" t="s">
        <v>251</v>
      </c>
      <c r="E38" s="11" t="s">
        <v>252</v>
      </c>
      <c r="F38" s="11">
        <v>2024</v>
      </c>
      <c r="G38" s="11"/>
      <c r="H38" s="11"/>
      <c r="I38" s="11" t="s">
        <v>253</v>
      </c>
      <c r="J38" s="11" t="s">
        <v>75</v>
      </c>
      <c r="K38" s="12" t="s">
        <v>76</v>
      </c>
      <c r="L38" s="11" t="s">
        <v>77</v>
      </c>
      <c r="M38" s="12" t="s">
        <v>76</v>
      </c>
      <c r="N38" s="12" t="s">
        <v>76</v>
      </c>
      <c r="O38" s="11" t="s">
        <v>87</v>
      </c>
    </row>
    <row r="39" spans="1:15" ht="15" customHeight="1">
      <c r="A39" s="11">
        <v>38</v>
      </c>
      <c r="B39" s="11" t="s">
        <v>8</v>
      </c>
      <c r="C39" s="11" t="s">
        <v>69</v>
      </c>
      <c r="D39" s="11" t="s">
        <v>254</v>
      </c>
      <c r="E39" s="11" t="s">
        <v>255</v>
      </c>
      <c r="F39" s="11">
        <v>2025</v>
      </c>
      <c r="G39" s="11"/>
      <c r="H39" s="11" t="s">
        <v>256</v>
      </c>
      <c r="I39" s="11" t="s">
        <v>257</v>
      </c>
      <c r="J39" s="11" t="s">
        <v>75</v>
      </c>
      <c r="K39" s="12" t="s">
        <v>76</v>
      </c>
      <c r="L39" s="11" t="s">
        <v>77</v>
      </c>
      <c r="M39" s="12" t="s">
        <v>76</v>
      </c>
      <c r="N39" s="12" t="s">
        <v>76</v>
      </c>
      <c r="O39" s="11" t="s">
        <v>258</v>
      </c>
    </row>
    <row r="40" spans="1:15" ht="15" customHeight="1">
      <c r="A40" s="11">
        <v>39</v>
      </c>
      <c r="B40" s="11" t="s">
        <v>8</v>
      </c>
      <c r="C40" s="11" t="s">
        <v>69</v>
      </c>
      <c r="D40" s="11" t="s">
        <v>259</v>
      </c>
      <c r="E40" s="11" t="s">
        <v>260</v>
      </c>
      <c r="F40" s="11">
        <v>2026</v>
      </c>
      <c r="G40" s="11" t="s">
        <v>261</v>
      </c>
      <c r="H40" s="11" t="s">
        <v>262</v>
      </c>
      <c r="I40" s="11" t="s">
        <v>263</v>
      </c>
      <c r="J40" s="11" t="s">
        <v>75</v>
      </c>
      <c r="K40" s="12" t="s">
        <v>76</v>
      </c>
      <c r="L40" s="11" t="s">
        <v>77</v>
      </c>
      <c r="M40" s="12" t="s">
        <v>76</v>
      </c>
      <c r="N40" s="12" t="s">
        <v>76</v>
      </c>
      <c r="O40" s="11" t="s">
        <v>147</v>
      </c>
    </row>
    <row r="41" spans="1:15" ht="15" customHeight="1">
      <c r="A41" s="11">
        <v>40</v>
      </c>
      <c r="B41" s="11" t="s">
        <v>8</v>
      </c>
      <c r="C41" s="11" t="s">
        <v>69</v>
      </c>
      <c r="D41" s="11" t="s">
        <v>264</v>
      </c>
      <c r="E41" s="11" t="s">
        <v>265</v>
      </c>
      <c r="F41" s="11"/>
      <c r="G41" s="11"/>
      <c r="H41" s="11"/>
      <c r="I41" s="11" t="s">
        <v>266</v>
      </c>
      <c r="J41" s="11" t="s">
        <v>75</v>
      </c>
      <c r="K41" s="12" t="s">
        <v>76</v>
      </c>
      <c r="L41" s="11" t="s">
        <v>77</v>
      </c>
      <c r="M41" s="12" t="s">
        <v>76</v>
      </c>
      <c r="N41" s="12" t="s">
        <v>76</v>
      </c>
      <c r="O41" s="11" t="s">
        <v>237</v>
      </c>
    </row>
    <row r="42" spans="1:15" ht="15" customHeight="1">
      <c r="A42" s="11">
        <v>41</v>
      </c>
      <c r="B42" s="11" t="s">
        <v>8</v>
      </c>
      <c r="C42" s="11" t="s">
        <v>69</v>
      </c>
      <c r="D42" s="11" t="s">
        <v>267</v>
      </c>
      <c r="E42" s="11" t="s">
        <v>268</v>
      </c>
      <c r="F42" s="11">
        <v>2011</v>
      </c>
      <c r="G42" s="11" t="s">
        <v>269</v>
      </c>
      <c r="H42" s="11"/>
      <c r="I42" s="11" t="s">
        <v>270</v>
      </c>
      <c r="J42" s="11" t="s">
        <v>75</v>
      </c>
      <c r="K42" s="12" t="s">
        <v>76</v>
      </c>
      <c r="L42" s="11" t="s">
        <v>77</v>
      </c>
      <c r="M42" s="12" t="s">
        <v>76</v>
      </c>
      <c r="N42" s="12" t="s">
        <v>76</v>
      </c>
      <c r="O42" s="11" t="s">
        <v>237</v>
      </c>
    </row>
    <row r="43" spans="1:15" ht="15" customHeight="1">
      <c r="A43" s="11">
        <v>42</v>
      </c>
      <c r="B43" s="11" t="s">
        <v>8</v>
      </c>
      <c r="C43" s="11" t="s">
        <v>69</v>
      </c>
      <c r="D43" s="11" t="s">
        <v>271</v>
      </c>
      <c r="E43" s="11" t="s">
        <v>272</v>
      </c>
      <c r="F43" s="11">
        <v>2025</v>
      </c>
      <c r="G43" s="11"/>
      <c r="H43" s="11" t="s">
        <v>273</v>
      </c>
      <c r="I43" s="11" t="s">
        <v>274</v>
      </c>
      <c r="J43" s="11" t="s">
        <v>75</v>
      </c>
      <c r="K43" s="12" t="s">
        <v>76</v>
      </c>
      <c r="L43" s="11" t="s">
        <v>77</v>
      </c>
      <c r="M43" s="12" t="s">
        <v>76</v>
      </c>
      <c r="N43" s="12" t="s">
        <v>76</v>
      </c>
      <c r="O43" s="11" t="s">
        <v>275</v>
      </c>
    </row>
    <row r="44" spans="1:15" ht="15" customHeight="1">
      <c r="A44" s="11">
        <v>43</v>
      </c>
      <c r="B44" s="11" t="s">
        <v>8</v>
      </c>
      <c r="C44" s="11" t="s">
        <v>69</v>
      </c>
      <c r="D44" s="11" t="s">
        <v>276</v>
      </c>
      <c r="E44" s="11" t="s">
        <v>277</v>
      </c>
      <c r="F44" s="11">
        <v>2011</v>
      </c>
      <c r="G44" s="11" t="s">
        <v>278</v>
      </c>
      <c r="H44" s="11" t="s">
        <v>279</v>
      </c>
      <c r="I44" s="11" t="s">
        <v>280</v>
      </c>
      <c r="J44" s="11" t="s">
        <v>75</v>
      </c>
      <c r="K44" s="12" t="s">
        <v>76</v>
      </c>
      <c r="L44" s="11" t="s">
        <v>77</v>
      </c>
      <c r="M44" s="12" t="s">
        <v>76</v>
      </c>
      <c r="N44" s="12" t="s">
        <v>76</v>
      </c>
      <c r="O44" s="11" t="s">
        <v>281</v>
      </c>
    </row>
    <row r="45" spans="1:15" ht="15" customHeight="1">
      <c r="A45" s="11">
        <v>44</v>
      </c>
      <c r="B45" s="11" t="s">
        <v>8</v>
      </c>
      <c r="C45" s="11" t="s">
        <v>69</v>
      </c>
      <c r="D45" s="11" t="s">
        <v>282</v>
      </c>
      <c r="E45" s="11" t="s">
        <v>283</v>
      </c>
      <c r="F45" s="11">
        <v>2025</v>
      </c>
      <c r="G45" s="11"/>
      <c r="H45" s="11"/>
      <c r="I45" s="11" t="s">
        <v>284</v>
      </c>
      <c r="J45" s="11" t="s">
        <v>75</v>
      </c>
      <c r="K45" s="12" t="s">
        <v>76</v>
      </c>
      <c r="L45" s="11" t="s">
        <v>77</v>
      </c>
      <c r="M45" s="12" t="s">
        <v>76</v>
      </c>
      <c r="N45" s="12" t="s">
        <v>76</v>
      </c>
      <c r="O45" s="11" t="s">
        <v>285</v>
      </c>
    </row>
    <row r="46" spans="1:15" ht="15" customHeight="1">
      <c r="A46" s="11">
        <v>45</v>
      </c>
      <c r="B46" s="11" t="s">
        <v>8</v>
      </c>
      <c r="C46" s="11" t="s">
        <v>69</v>
      </c>
      <c r="D46" s="11" t="s">
        <v>286</v>
      </c>
      <c r="E46" s="11" t="s">
        <v>287</v>
      </c>
      <c r="F46" s="11">
        <v>2020</v>
      </c>
      <c r="G46" s="11" t="s">
        <v>288</v>
      </c>
      <c r="H46" s="11" t="s">
        <v>289</v>
      </c>
      <c r="I46" s="11" t="s">
        <v>290</v>
      </c>
      <c r="J46" s="11" t="s">
        <v>75</v>
      </c>
      <c r="K46" s="12" t="s">
        <v>76</v>
      </c>
      <c r="L46" s="11" t="s">
        <v>77</v>
      </c>
      <c r="M46" s="12" t="s">
        <v>76</v>
      </c>
      <c r="N46" s="12" t="s">
        <v>76</v>
      </c>
      <c r="O46" s="11" t="s">
        <v>153</v>
      </c>
    </row>
    <row r="47" spans="1:15" ht="15" customHeight="1">
      <c r="A47" s="11">
        <v>46</v>
      </c>
      <c r="B47" s="11" t="s">
        <v>8</v>
      </c>
      <c r="C47" s="11" t="s">
        <v>69</v>
      </c>
      <c r="D47" s="11" t="s">
        <v>291</v>
      </c>
      <c r="E47" s="11" t="s">
        <v>292</v>
      </c>
      <c r="F47" s="11">
        <v>2023</v>
      </c>
      <c r="G47" s="11"/>
      <c r="H47" s="11" t="s">
        <v>293</v>
      </c>
      <c r="I47" s="11" t="s">
        <v>294</v>
      </c>
      <c r="J47" s="11" t="s">
        <v>75</v>
      </c>
      <c r="K47" s="12" t="s">
        <v>76</v>
      </c>
      <c r="L47" s="11" t="s">
        <v>77</v>
      </c>
      <c r="M47" s="12" t="s">
        <v>76</v>
      </c>
      <c r="N47" s="12" t="s">
        <v>76</v>
      </c>
      <c r="O47" s="11" t="s">
        <v>295</v>
      </c>
    </row>
    <row r="48" spans="1:15" ht="15" customHeight="1">
      <c r="A48" s="11">
        <v>47</v>
      </c>
      <c r="B48" s="11" t="s">
        <v>8</v>
      </c>
      <c r="C48" s="11" t="s">
        <v>69</v>
      </c>
      <c r="D48" s="11" t="s">
        <v>296</v>
      </c>
      <c r="E48" s="11" t="s">
        <v>297</v>
      </c>
      <c r="F48" s="11">
        <v>2025</v>
      </c>
      <c r="G48" s="11"/>
      <c r="H48" s="11" t="s">
        <v>298</v>
      </c>
      <c r="I48" s="11" t="s">
        <v>299</v>
      </c>
      <c r="J48" s="11" t="s">
        <v>75</v>
      </c>
      <c r="K48" s="12" t="s">
        <v>76</v>
      </c>
      <c r="L48" s="11" t="s">
        <v>77</v>
      </c>
      <c r="M48" s="12" t="s">
        <v>76</v>
      </c>
      <c r="N48" s="12" t="s">
        <v>76</v>
      </c>
      <c r="O48" s="11" t="s">
        <v>147</v>
      </c>
    </row>
    <row r="49" spans="1:15" ht="15" customHeight="1">
      <c r="A49" s="11">
        <v>48</v>
      </c>
      <c r="B49" s="11" t="s">
        <v>8</v>
      </c>
      <c r="C49" s="11" t="s">
        <v>69</v>
      </c>
      <c r="D49" s="11" t="s">
        <v>300</v>
      </c>
      <c r="E49" s="11" t="s">
        <v>301</v>
      </c>
      <c r="F49" s="11">
        <v>2013</v>
      </c>
      <c r="G49" s="11" t="s">
        <v>302</v>
      </c>
      <c r="H49" s="11"/>
      <c r="I49" s="11" t="s">
        <v>303</v>
      </c>
      <c r="J49" s="11" t="s">
        <v>75</v>
      </c>
      <c r="K49" s="12" t="s">
        <v>76</v>
      </c>
      <c r="L49" s="11" t="s">
        <v>77</v>
      </c>
      <c r="M49" s="12" t="s">
        <v>76</v>
      </c>
      <c r="N49" s="12" t="s">
        <v>76</v>
      </c>
      <c r="O49" s="11" t="s">
        <v>237</v>
      </c>
    </row>
    <row r="50" spans="1:15" ht="15" customHeight="1">
      <c r="A50" s="11">
        <v>49</v>
      </c>
      <c r="B50" s="11" t="s">
        <v>8</v>
      </c>
      <c r="C50" s="11" t="s">
        <v>69</v>
      </c>
      <c r="D50" s="11" t="s">
        <v>304</v>
      </c>
      <c r="E50" s="11" t="s">
        <v>305</v>
      </c>
      <c r="F50" s="11">
        <v>2026</v>
      </c>
      <c r="G50" s="11"/>
      <c r="H50" s="11"/>
      <c r="I50" s="11" t="s">
        <v>306</v>
      </c>
      <c r="J50" s="11" t="s">
        <v>75</v>
      </c>
      <c r="K50" s="12" t="s">
        <v>76</v>
      </c>
      <c r="L50" s="11" t="s">
        <v>77</v>
      </c>
      <c r="M50" s="12" t="s">
        <v>76</v>
      </c>
      <c r="N50" s="12" t="s">
        <v>76</v>
      </c>
      <c r="O50" s="11" t="s">
        <v>97</v>
      </c>
    </row>
    <row r="51" spans="1:15" ht="15" customHeight="1">
      <c r="A51" s="11">
        <v>50</v>
      </c>
      <c r="B51" s="11" t="s">
        <v>8</v>
      </c>
      <c r="C51" s="11" t="s">
        <v>69</v>
      </c>
      <c r="D51" s="11" t="s">
        <v>307</v>
      </c>
      <c r="E51" s="11" t="s">
        <v>308</v>
      </c>
      <c r="F51" s="11"/>
      <c r="G51" s="11"/>
      <c r="H51" s="11" t="s">
        <v>309</v>
      </c>
      <c r="I51" s="11"/>
      <c r="J51" s="11" t="s">
        <v>75</v>
      </c>
      <c r="K51" s="13" t="s">
        <v>91</v>
      </c>
      <c r="L51" s="11" t="s">
        <v>77</v>
      </c>
      <c r="M51" s="13" t="s">
        <v>91</v>
      </c>
      <c r="N51" s="13" t="s">
        <v>91</v>
      </c>
      <c r="O51" s="11" t="s">
        <v>310</v>
      </c>
    </row>
    <row r="52" spans="1:15" ht="15" customHeight="1">
      <c r="A52" s="11">
        <v>51</v>
      </c>
      <c r="B52" s="11" t="s">
        <v>8</v>
      </c>
      <c r="C52" s="11" t="s">
        <v>69</v>
      </c>
      <c r="D52" s="11" t="s">
        <v>311</v>
      </c>
      <c r="E52" s="11"/>
      <c r="F52" s="11"/>
      <c r="G52" s="11"/>
      <c r="H52" s="11"/>
      <c r="I52" s="11" t="s">
        <v>312</v>
      </c>
      <c r="J52" s="11" t="s">
        <v>75</v>
      </c>
      <c r="K52" s="12" t="s">
        <v>76</v>
      </c>
      <c r="L52" s="11" t="s">
        <v>77</v>
      </c>
      <c r="M52" s="12" t="s">
        <v>76</v>
      </c>
      <c r="N52" s="12" t="s">
        <v>76</v>
      </c>
      <c r="O52" s="11" t="s">
        <v>313</v>
      </c>
    </row>
    <row r="53" spans="1:15" ht="15" customHeight="1">
      <c r="A53" s="11">
        <v>52</v>
      </c>
      <c r="B53" s="11" t="s">
        <v>8</v>
      </c>
      <c r="C53" s="11" t="s">
        <v>69</v>
      </c>
      <c r="D53" s="11" t="s">
        <v>314</v>
      </c>
      <c r="E53" s="11" t="s">
        <v>315</v>
      </c>
      <c r="F53" s="11">
        <v>2026</v>
      </c>
      <c r="G53" s="11" t="s">
        <v>316</v>
      </c>
      <c r="H53" s="11" t="s">
        <v>317</v>
      </c>
      <c r="I53" s="11" t="s">
        <v>318</v>
      </c>
      <c r="J53" s="11" t="s">
        <v>75</v>
      </c>
      <c r="K53" s="12" t="s">
        <v>76</v>
      </c>
      <c r="L53" s="11" t="s">
        <v>77</v>
      </c>
      <c r="M53" s="12" t="s">
        <v>76</v>
      </c>
      <c r="N53" s="12" t="s">
        <v>76</v>
      </c>
      <c r="O53" s="11" t="s">
        <v>87</v>
      </c>
    </row>
    <row r="54" spans="1:15" ht="15" customHeight="1">
      <c r="A54" s="11">
        <v>53</v>
      </c>
      <c r="B54" s="11" t="s">
        <v>8</v>
      </c>
      <c r="C54" s="11" t="s">
        <v>69</v>
      </c>
      <c r="D54" s="11" t="s">
        <v>319</v>
      </c>
      <c r="E54" s="11" t="s">
        <v>320</v>
      </c>
      <c r="F54" s="11">
        <v>2018</v>
      </c>
      <c r="G54" s="11"/>
      <c r="H54" s="11"/>
      <c r="I54" s="11" t="s">
        <v>321</v>
      </c>
      <c r="J54" s="11" t="s">
        <v>75</v>
      </c>
      <c r="K54" s="12" t="s">
        <v>76</v>
      </c>
      <c r="L54" s="11" t="s">
        <v>77</v>
      </c>
      <c r="M54" s="12" t="s">
        <v>76</v>
      </c>
      <c r="N54" s="12" t="s">
        <v>76</v>
      </c>
      <c r="O54" s="11" t="s">
        <v>97</v>
      </c>
    </row>
    <row r="55" spans="1:15" ht="15" customHeight="1">
      <c r="A55" s="11">
        <v>54</v>
      </c>
      <c r="B55" s="11" t="s">
        <v>8</v>
      </c>
      <c r="C55" s="11" t="s">
        <v>69</v>
      </c>
      <c r="D55" s="11" t="s">
        <v>322</v>
      </c>
      <c r="E55" s="11" t="s">
        <v>323</v>
      </c>
      <c r="F55" s="11">
        <v>2024</v>
      </c>
      <c r="G55" s="11"/>
      <c r="H55" s="11"/>
      <c r="I55" s="11" t="s">
        <v>324</v>
      </c>
      <c r="J55" s="11" t="s">
        <v>75</v>
      </c>
      <c r="K55" s="12" t="s">
        <v>76</v>
      </c>
      <c r="L55" s="11" t="s">
        <v>77</v>
      </c>
      <c r="M55" s="12" t="s">
        <v>76</v>
      </c>
      <c r="N55" s="12" t="s">
        <v>76</v>
      </c>
      <c r="O55" s="11" t="s">
        <v>153</v>
      </c>
    </row>
    <row r="56" spans="1:15" ht="15" customHeight="1">
      <c r="A56" s="11">
        <v>55</v>
      </c>
      <c r="B56" s="11" t="s">
        <v>8</v>
      </c>
      <c r="C56" s="11" t="s">
        <v>69</v>
      </c>
      <c r="D56" s="11" t="s">
        <v>325</v>
      </c>
      <c r="E56" s="11" t="s">
        <v>326</v>
      </c>
      <c r="F56" s="11">
        <v>2019</v>
      </c>
      <c r="G56" s="11"/>
      <c r="H56" s="11" t="s">
        <v>327</v>
      </c>
      <c r="I56" s="11" t="s">
        <v>328</v>
      </c>
      <c r="J56" s="11" t="s">
        <v>75</v>
      </c>
      <c r="K56" s="12" t="s">
        <v>76</v>
      </c>
      <c r="L56" s="11" t="s">
        <v>77</v>
      </c>
      <c r="M56" s="12" t="s">
        <v>76</v>
      </c>
      <c r="N56" s="12" t="s">
        <v>76</v>
      </c>
      <c r="O56" s="11" t="s">
        <v>329</v>
      </c>
    </row>
    <row r="57" spans="1:15" ht="15" customHeight="1">
      <c r="A57" s="11">
        <v>56</v>
      </c>
      <c r="B57" s="11" t="s">
        <v>8</v>
      </c>
      <c r="C57" s="11" t="s">
        <v>69</v>
      </c>
      <c r="D57" s="11" t="s">
        <v>330</v>
      </c>
      <c r="E57" s="11" t="s">
        <v>331</v>
      </c>
      <c r="F57" s="11">
        <v>2022</v>
      </c>
      <c r="G57" s="11" t="s">
        <v>332</v>
      </c>
      <c r="H57" s="11" t="s">
        <v>333</v>
      </c>
      <c r="I57" s="11" t="s">
        <v>334</v>
      </c>
      <c r="J57" s="11" t="s">
        <v>75</v>
      </c>
      <c r="K57" s="12" t="s">
        <v>76</v>
      </c>
      <c r="L57" s="11" t="s">
        <v>77</v>
      </c>
      <c r="M57" s="12" t="s">
        <v>76</v>
      </c>
      <c r="N57" s="12" t="s">
        <v>76</v>
      </c>
      <c r="O57" s="11" t="s">
        <v>153</v>
      </c>
    </row>
    <row r="58" spans="1:15" ht="15" customHeight="1">
      <c r="A58" s="11">
        <v>57</v>
      </c>
      <c r="B58" s="11" t="s">
        <v>8</v>
      </c>
      <c r="C58" s="11" t="s">
        <v>69</v>
      </c>
      <c r="D58" s="11" t="s">
        <v>335</v>
      </c>
      <c r="E58" s="11" t="s">
        <v>336</v>
      </c>
      <c r="F58" s="11">
        <v>2025</v>
      </c>
      <c r="G58" s="11"/>
      <c r="H58" s="11"/>
      <c r="I58" s="11" t="s">
        <v>337</v>
      </c>
      <c r="J58" s="11" t="s">
        <v>75</v>
      </c>
      <c r="K58" s="12" t="s">
        <v>76</v>
      </c>
      <c r="L58" s="11" t="s">
        <v>77</v>
      </c>
      <c r="M58" s="12" t="s">
        <v>76</v>
      </c>
      <c r="N58" s="12" t="s">
        <v>76</v>
      </c>
      <c r="O58" s="11" t="s">
        <v>338</v>
      </c>
    </row>
    <row r="59" spans="1:15" ht="15" customHeight="1">
      <c r="A59" s="11">
        <v>58</v>
      </c>
      <c r="B59" s="11" t="s">
        <v>8</v>
      </c>
      <c r="C59" s="11" t="s">
        <v>69</v>
      </c>
      <c r="D59" s="11" t="s">
        <v>339</v>
      </c>
      <c r="E59" s="11" t="s">
        <v>340</v>
      </c>
      <c r="F59" s="11">
        <v>2025</v>
      </c>
      <c r="G59" s="11" t="s">
        <v>341</v>
      </c>
      <c r="H59" s="14" t="s">
        <v>342</v>
      </c>
      <c r="I59" s="11" t="s">
        <v>343</v>
      </c>
      <c r="J59" s="11" t="s">
        <v>75</v>
      </c>
      <c r="K59" s="12" t="s">
        <v>76</v>
      </c>
      <c r="L59" s="11" t="s">
        <v>77</v>
      </c>
      <c r="M59" s="12" t="s">
        <v>76</v>
      </c>
      <c r="N59" s="12" t="s">
        <v>76</v>
      </c>
      <c r="O59" s="11" t="s">
        <v>125</v>
      </c>
    </row>
    <row r="60" spans="1:15" ht="15" customHeight="1">
      <c r="A60" s="11">
        <v>59</v>
      </c>
      <c r="B60" s="11" t="s">
        <v>8</v>
      </c>
      <c r="C60" s="11" t="s">
        <v>69</v>
      </c>
      <c r="D60" s="11" t="s">
        <v>344</v>
      </c>
      <c r="E60" s="11" t="s">
        <v>345</v>
      </c>
      <c r="F60" s="11">
        <v>2025</v>
      </c>
      <c r="G60" s="11" t="s">
        <v>346</v>
      </c>
      <c r="H60" s="11" t="s">
        <v>347</v>
      </c>
      <c r="I60" s="11" t="s">
        <v>348</v>
      </c>
      <c r="J60" s="11" t="s">
        <v>75</v>
      </c>
      <c r="K60" s="12" t="s">
        <v>76</v>
      </c>
      <c r="L60" s="11" t="s">
        <v>77</v>
      </c>
      <c r="M60" s="12" t="s">
        <v>76</v>
      </c>
      <c r="N60" s="12" t="s">
        <v>76</v>
      </c>
      <c r="O60" s="11" t="s">
        <v>174</v>
      </c>
    </row>
    <row r="61" spans="1:15" ht="15" customHeight="1">
      <c r="A61" s="11">
        <v>60</v>
      </c>
      <c r="B61" s="11" t="s">
        <v>8</v>
      </c>
      <c r="C61" s="11" t="s">
        <v>69</v>
      </c>
      <c r="D61" s="11" t="s">
        <v>349</v>
      </c>
      <c r="E61" s="11" t="s">
        <v>350</v>
      </c>
      <c r="F61" s="11">
        <v>2025</v>
      </c>
      <c r="G61" s="11"/>
      <c r="H61" s="11" t="s">
        <v>351</v>
      </c>
      <c r="I61" s="11" t="s">
        <v>352</v>
      </c>
      <c r="J61" s="11" t="s">
        <v>75</v>
      </c>
      <c r="K61" s="12" t="s">
        <v>76</v>
      </c>
      <c r="L61" s="11" t="s">
        <v>77</v>
      </c>
      <c r="M61" s="12" t="s">
        <v>76</v>
      </c>
      <c r="N61" s="12" t="s">
        <v>76</v>
      </c>
      <c r="O61" s="11" t="s">
        <v>174</v>
      </c>
    </row>
    <row r="62" spans="1:15" ht="15" customHeight="1">
      <c r="A62" s="11">
        <v>61</v>
      </c>
      <c r="B62" s="11" t="s">
        <v>8</v>
      </c>
      <c r="C62" s="11" t="s">
        <v>69</v>
      </c>
      <c r="D62" s="11" t="s">
        <v>353</v>
      </c>
      <c r="E62" s="11" t="s">
        <v>354</v>
      </c>
      <c r="F62" s="11">
        <v>2025</v>
      </c>
      <c r="G62" s="11" t="s">
        <v>355</v>
      </c>
      <c r="H62" s="11" t="s">
        <v>356</v>
      </c>
      <c r="I62" s="11" t="s">
        <v>357</v>
      </c>
      <c r="J62" s="11" t="s">
        <v>75</v>
      </c>
      <c r="K62" s="12" t="s">
        <v>76</v>
      </c>
      <c r="L62" s="11" t="s">
        <v>77</v>
      </c>
      <c r="M62" s="12" t="s">
        <v>76</v>
      </c>
      <c r="N62" s="12" t="s">
        <v>76</v>
      </c>
      <c r="O62" s="11" t="s">
        <v>358</v>
      </c>
    </row>
    <row r="63" spans="1:15" ht="15" customHeight="1">
      <c r="A63" s="11">
        <v>62</v>
      </c>
      <c r="B63" s="11" t="s">
        <v>8</v>
      </c>
      <c r="C63" s="11" t="s">
        <v>69</v>
      </c>
      <c r="D63" s="11" t="s">
        <v>359</v>
      </c>
      <c r="E63" s="11" t="s">
        <v>360</v>
      </c>
      <c r="F63" s="11">
        <v>2025</v>
      </c>
      <c r="G63" s="11" t="s">
        <v>361</v>
      </c>
      <c r="H63" s="11" t="s">
        <v>362</v>
      </c>
      <c r="I63" s="11" t="s">
        <v>363</v>
      </c>
      <c r="J63" s="11" t="s">
        <v>75</v>
      </c>
      <c r="K63" s="12" t="s">
        <v>76</v>
      </c>
      <c r="L63" s="11" t="s">
        <v>77</v>
      </c>
      <c r="M63" s="12" t="s">
        <v>76</v>
      </c>
      <c r="N63" s="12" t="s">
        <v>76</v>
      </c>
      <c r="O63" s="11" t="s">
        <v>87</v>
      </c>
    </row>
    <row r="64" spans="1:15" ht="15" customHeight="1">
      <c r="A64" s="11">
        <v>63</v>
      </c>
      <c r="B64" s="11" t="s">
        <v>8</v>
      </c>
      <c r="C64" s="11" t="s">
        <v>69</v>
      </c>
      <c r="D64" s="11" t="s">
        <v>364</v>
      </c>
      <c r="E64" s="11" t="s">
        <v>365</v>
      </c>
      <c r="F64" s="11">
        <v>2023</v>
      </c>
      <c r="G64" s="11"/>
      <c r="H64" s="11" t="s">
        <v>366</v>
      </c>
      <c r="I64" s="11" t="s">
        <v>367</v>
      </c>
      <c r="J64" s="11" t="s">
        <v>75</v>
      </c>
      <c r="K64" s="12" t="s">
        <v>76</v>
      </c>
      <c r="L64" s="11" t="s">
        <v>77</v>
      </c>
      <c r="M64" s="12" t="s">
        <v>76</v>
      </c>
      <c r="N64" s="12" t="s">
        <v>76</v>
      </c>
      <c r="O64" s="11" t="s">
        <v>368</v>
      </c>
    </row>
    <row r="65" spans="1:15" ht="15" customHeight="1">
      <c r="A65" s="11">
        <v>64</v>
      </c>
      <c r="B65" s="11" t="s">
        <v>8</v>
      </c>
      <c r="C65" s="11" t="s">
        <v>69</v>
      </c>
      <c r="D65" s="11" t="s">
        <v>369</v>
      </c>
      <c r="E65" s="11" t="s">
        <v>370</v>
      </c>
      <c r="F65" s="11">
        <v>2025</v>
      </c>
      <c r="G65" s="11" t="s">
        <v>346</v>
      </c>
      <c r="H65" s="11" t="s">
        <v>371</v>
      </c>
      <c r="I65" s="11" t="s">
        <v>372</v>
      </c>
      <c r="J65" s="11" t="s">
        <v>75</v>
      </c>
      <c r="K65" s="12" t="s">
        <v>76</v>
      </c>
      <c r="L65" s="11" t="s">
        <v>77</v>
      </c>
      <c r="M65" s="12" t="s">
        <v>76</v>
      </c>
      <c r="N65" s="12" t="s">
        <v>76</v>
      </c>
      <c r="O65" s="11" t="s">
        <v>87</v>
      </c>
    </row>
    <row r="66" spans="1:15" ht="15" customHeight="1">
      <c r="A66" s="11">
        <v>65</v>
      </c>
      <c r="B66" s="11" t="s">
        <v>8</v>
      </c>
      <c r="C66" s="11" t="s">
        <v>69</v>
      </c>
      <c r="D66" s="11" t="s">
        <v>373</v>
      </c>
      <c r="E66" s="11" t="s">
        <v>374</v>
      </c>
      <c r="F66" s="11">
        <v>2025</v>
      </c>
      <c r="G66" s="11" t="s">
        <v>375</v>
      </c>
      <c r="H66" s="11" t="s">
        <v>376</v>
      </c>
      <c r="I66" s="11" t="s">
        <v>377</v>
      </c>
      <c r="J66" s="11" t="s">
        <v>75</v>
      </c>
      <c r="K66" s="13" t="s">
        <v>91</v>
      </c>
      <c r="L66" s="11" t="s">
        <v>77</v>
      </c>
      <c r="M66" s="13" t="s">
        <v>91</v>
      </c>
      <c r="N66" s="13" t="s">
        <v>91</v>
      </c>
      <c r="O66" s="11" t="s">
        <v>92</v>
      </c>
    </row>
    <row r="67" spans="1:15" ht="15" customHeight="1">
      <c r="A67" s="11">
        <v>66</v>
      </c>
      <c r="B67" s="11" t="s">
        <v>8</v>
      </c>
      <c r="C67" s="11" t="s">
        <v>69</v>
      </c>
      <c r="D67" s="11" t="s">
        <v>378</v>
      </c>
      <c r="E67" s="11" t="s">
        <v>379</v>
      </c>
      <c r="F67" s="11">
        <v>2025</v>
      </c>
      <c r="G67" s="11" t="s">
        <v>361</v>
      </c>
      <c r="H67" s="11" t="s">
        <v>380</v>
      </c>
      <c r="I67" s="11" t="s">
        <v>381</v>
      </c>
      <c r="J67" s="11" t="s">
        <v>75</v>
      </c>
      <c r="K67" s="12" t="s">
        <v>76</v>
      </c>
      <c r="L67" s="11" t="s">
        <v>77</v>
      </c>
      <c r="M67" s="12" t="s">
        <v>76</v>
      </c>
      <c r="N67" s="12" t="s">
        <v>76</v>
      </c>
      <c r="O67" s="11" t="s">
        <v>382</v>
      </c>
    </row>
    <row r="68" spans="1:15" ht="15" customHeight="1">
      <c r="A68" s="11">
        <v>67</v>
      </c>
      <c r="B68" s="11" t="s">
        <v>8</v>
      </c>
      <c r="C68" s="11" t="s">
        <v>69</v>
      </c>
      <c r="D68" s="11" t="s">
        <v>383</v>
      </c>
      <c r="E68" s="11" t="s">
        <v>384</v>
      </c>
      <c r="F68" s="11">
        <v>2025</v>
      </c>
      <c r="G68" s="11"/>
      <c r="H68" s="11" t="s">
        <v>385</v>
      </c>
      <c r="I68" s="11" t="s">
        <v>386</v>
      </c>
      <c r="J68" s="11" t="s">
        <v>75</v>
      </c>
      <c r="K68" s="13" t="s">
        <v>91</v>
      </c>
      <c r="L68" s="11" t="s">
        <v>77</v>
      </c>
      <c r="M68" s="13" t="s">
        <v>91</v>
      </c>
      <c r="N68" s="13" t="s">
        <v>91</v>
      </c>
      <c r="O68" s="11" t="s">
        <v>92</v>
      </c>
    </row>
    <row r="69" spans="1:15" ht="15" customHeight="1">
      <c r="A69" s="11">
        <v>68</v>
      </c>
      <c r="B69" s="11" t="s">
        <v>8</v>
      </c>
      <c r="C69" s="11" t="s">
        <v>69</v>
      </c>
      <c r="D69" s="11" t="s">
        <v>387</v>
      </c>
      <c r="E69" s="11" t="s">
        <v>208</v>
      </c>
      <c r="F69" s="11">
        <v>2025</v>
      </c>
      <c r="G69" s="11" t="s">
        <v>209</v>
      </c>
      <c r="H69" s="11" t="s">
        <v>388</v>
      </c>
      <c r="I69" s="11" t="s">
        <v>389</v>
      </c>
      <c r="J69" s="11" t="s">
        <v>75</v>
      </c>
      <c r="K69" s="12" t="s">
        <v>76</v>
      </c>
      <c r="L69" s="11" t="s">
        <v>77</v>
      </c>
      <c r="M69" s="12" t="s">
        <v>76</v>
      </c>
      <c r="N69" s="12" t="s">
        <v>76</v>
      </c>
      <c r="O69" s="11" t="s">
        <v>115</v>
      </c>
    </row>
    <row r="70" spans="1:15" ht="15" customHeight="1">
      <c r="A70" s="11">
        <v>69</v>
      </c>
      <c r="B70" s="11" t="s">
        <v>8</v>
      </c>
      <c r="C70" s="11" t="s">
        <v>69</v>
      </c>
      <c r="D70" s="11" t="s">
        <v>390</v>
      </c>
      <c r="E70" s="11"/>
      <c r="F70" s="11">
        <v>2025</v>
      </c>
      <c r="G70" s="11"/>
      <c r="H70" s="11" t="s">
        <v>391</v>
      </c>
      <c r="I70" s="11" t="s">
        <v>392</v>
      </c>
      <c r="J70" s="11" t="s">
        <v>75</v>
      </c>
      <c r="K70" s="12" t="s">
        <v>76</v>
      </c>
      <c r="L70" s="11" t="s">
        <v>77</v>
      </c>
      <c r="M70" s="12" t="s">
        <v>76</v>
      </c>
      <c r="N70" s="12" t="s">
        <v>76</v>
      </c>
      <c r="O70" s="11" t="s">
        <v>393</v>
      </c>
    </row>
    <row r="71" spans="1:15" ht="15" customHeight="1">
      <c r="A71" s="11">
        <v>70</v>
      </c>
      <c r="B71" s="11" t="s">
        <v>8</v>
      </c>
      <c r="C71" s="11" t="s">
        <v>69</v>
      </c>
      <c r="D71" s="11" t="s">
        <v>394</v>
      </c>
      <c r="E71" s="11" t="s">
        <v>395</v>
      </c>
      <c r="F71" s="11">
        <v>2024</v>
      </c>
      <c r="G71" s="11"/>
      <c r="H71" s="11"/>
      <c r="I71" s="11" t="s">
        <v>396</v>
      </c>
      <c r="J71" s="11" t="s">
        <v>75</v>
      </c>
      <c r="K71" s="12" t="s">
        <v>76</v>
      </c>
      <c r="L71" s="11" t="s">
        <v>77</v>
      </c>
      <c r="M71" s="12" t="s">
        <v>76</v>
      </c>
      <c r="N71" s="12" t="s">
        <v>76</v>
      </c>
      <c r="O71" s="11" t="s">
        <v>115</v>
      </c>
    </row>
    <row r="72" spans="1:15" ht="15" customHeight="1">
      <c r="A72" s="11">
        <v>71</v>
      </c>
      <c r="B72" s="11" t="s">
        <v>8</v>
      </c>
      <c r="C72" s="11" t="s">
        <v>69</v>
      </c>
      <c r="D72" s="11" t="s">
        <v>397</v>
      </c>
      <c r="E72" s="11" t="s">
        <v>398</v>
      </c>
      <c r="F72" s="11">
        <v>2021</v>
      </c>
      <c r="G72" s="11" t="s">
        <v>316</v>
      </c>
      <c r="H72" s="11" t="s">
        <v>399</v>
      </c>
      <c r="I72" s="11" t="s">
        <v>400</v>
      </c>
      <c r="J72" s="11" t="s">
        <v>75</v>
      </c>
      <c r="K72" s="13" t="s">
        <v>91</v>
      </c>
      <c r="L72" s="11" t="s">
        <v>77</v>
      </c>
      <c r="M72" s="13" t="s">
        <v>91</v>
      </c>
      <c r="N72" s="13" t="s">
        <v>91</v>
      </c>
      <c r="O72" s="11" t="s">
        <v>310</v>
      </c>
    </row>
    <row r="73" spans="1:15" ht="15" customHeight="1">
      <c r="A73" s="11">
        <v>72</v>
      </c>
      <c r="B73" s="11" t="s">
        <v>8</v>
      </c>
      <c r="C73" s="11" t="s">
        <v>69</v>
      </c>
      <c r="D73" s="11" t="s">
        <v>401</v>
      </c>
      <c r="E73" s="11" t="s">
        <v>402</v>
      </c>
      <c r="F73" s="11">
        <v>2024</v>
      </c>
      <c r="G73" s="11"/>
      <c r="H73" s="11" t="s">
        <v>403</v>
      </c>
      <c r="I73" s="11" t="s">
        <v>404</v>
      </c>
      <c r="J73" s="11" t="s">
        <v>75</v>
      </c>
      <c r="K73" s="12" t="s">
        <v>76</v>
      </c>
      <c r="L73" s="11" t="s">
        <v>77</v>
      </c>
      <c r="M73" s="12" t="s">
        <v>76</v>
      </c>
      <c r="N73" s="12" t="s">
        <v>76</v>
      </c>
      <c r="O73" s="11" t="s">
        <v>405</v>
      </c>
    </row>
    <row r="74" spans="1:15" ht="15" customHeight="1">
      <c r="A74" s="11">
        <v>73</v>
      </c>
      <c r="B74" s="11" t="s">
        <v>8</v>
      </c>
      <c r="C74" s="11" t="s">
        <v>69</v>
      </c>
      <c r="D74" s="11" t="s">
        <v>406</v>
      </c>
      <c r="E74" s="11" t="s">
        <v>407</v>
      </c>
      <c r="F74" s="11">
        <v>2016</v>
      </c>
      <c r="G74" s="11" t="s">
        <v>408</v>
      </c>
      <c r="H74" s="11" t="s">
        <v>409</v>
      </c>
      <c r="I74" s="11" t="s">
        <v>410</v>
      </c>
      <c r="J74" s="11" t="s">
        <v>75</v>
      </c>
      <c r="K74" s="12" t="s">
        <v>76</v>
      </c>
      <c r="L74" s="11" t="s">
        <v>77</v>
      </c>
      <c r="M74" s="12" t="s">
        <v>76</v>
      </c>
      <c r="N74" s="12" t="s">
        <v>76</v>
      </c>
      <c r="O74" s="11" t="s">
        <v>237</v>
      </c>
    </row>
    <row r="75" spans="1:15" ht="15" customHeight="1">
      <c r="A75" s="11">
        <v>74</v>
      </c>
      <c r="B75" s="11" t="s">
        <v>8</v>
      </c>
      <c r="C75" s="11" t="s">
        <v>69</v>
      </c>
      <c r="D75" s="11" t="s">
        <v>411</v>
      </c>
      <c r="E75" s="11"/>
      <c r="F75" s="11"/>
      <c r="G75" s="11"/>
      <c r="H75" s="11"/>
      <c r="I75" s="11" t="s">
        <v>412</v>
      </c>
      <c r="J75" s="11" t="s">
        <v>75</v>
      </c>
      <c r="K75" s="12" t="s">
        <v>76</v>
      </c>
      <c r="L75" s="11" t="s">
        <v>77</v>
      </c>
      <c r="M75" s="12" t="s">
        <v>76</v>
      </c>
      <c r="N75" s="12" t="s">
        <v>76</v>
      </c>
      <c r="O75" s="11" t="s">
        <v>120</v>
      </c>
    </row>
    <row r="76" spans="1:15" ht="15" customHeight="1">
      <c r="A76" s="11">
        <v>75</v>
      </c>
      <c r="B76" s="11" t="s">
        <v>8</v>
      </c>
      <c r="C76" s="11" t="s">
        <v>69</v>
      </c>
      <c r="D76" s="11" t="s">
        <v>413</v>
      </c>
      <c r="E76" s="11" t="s">
        <v>414</v>
      </c>
      <c r="F76" s="11"/>
      <c r="G76" s="11"/>
      <c r="H76" s="11"/>
      <c r="I76" s="11" t="s">
        <v>415</v>
      </c>
      <c r="J76" s="11" t="s">
        <v>75</v>
      </c>
      <c r="K76" s="12" t="s">
        <v>76</v>
      </c>
      <c r="L76" s="11" t="s">
        <v>77</v>
      </c>
      <c r="M76" s="12" t="s">
        <v>76</v>
      </c>
      <c r="N76" s="12" t="s">
        <v>76</v>
      </c>
      <c r="O76" s="11" t="s">
        <v>405</v>
      </c>
    </row>
    <row r="77" spans="1:15" ht="15" customHeight="1">
      <c r="A77" s="11">
        <v>76</v>
      </c>
      <c r="B77" s="11" t="s">
        <v>8</v>
      </c>
      <c r="C77" s="11" t="s">
        <v>69</v>
      </c>
      <c r="D77" s="11" t="s">
        <v>416</v>
      </c>
      <c r="E77" s="11"/>
      <c r="F77" s="11">
        <v>2014</v>
      </c>
      <c r="G77" s="11"/>
      <c r="H77" s="11" t="s">
        <v>417</v>
      </c>
      <c r="I77" s="11" t="s">
        <v>418</v>
      </c>
      <c r="J77" s="11" t="s">
        <v>75</v>
      </c>
      <c r="K77" s="12" t="s">
        <v>76</v>
      </c>
      <c r="L77" s="11" t="s">
        <v>77</v>
      </c>
      <c r="M77" s="12" t="s">
        <v>76</v>
      </c>
      <c r="N77" s="12" t="s">
        <v>76</v>
      </c>
      <c r="O77" s="11" t="s">
        <v>419</v>
      </c>
    </row>
    <row r="78" spans="1:15" ht="15" customHeight="1">
      <c r="A78" s="11">
        <v>77</v>
      </c>
      <c r="B78" s="11" t="s">
        <v>8</v>
      </c>
      <c r="C78" s="11" t="s">
        <v>69</v>
      </c>
      <c r="D78" s="11" t="s">
        <v>420</v>
      </c>
      <c r="E78" s="11" t="s">
        <v>421</v>
      </c>
      <c r="F78" s="11">
        <v>2022</v>
      </c>
      <c r="G78" s="11"/>
      <c r="H78" s="11" t="s">
        <v>422</v>
      </c>
      <c r="I78" s="11" t="s">
        <v>423</v>
      </c>
      <c r="J78" s="11" t="s">
        <v>75</v>
      </c>
      <c r="K78" s="12" t="s">
        <v>76</v>
      </c>
      <c r="L78" s="11" t="s">
        <v>77</v>
      </c>
      <c r="M78" s="12" t="s">
        <v>76</v>
      </c>
      <c r="N78" s="12" t="s">
        <v>76</v>
      </c>
      <c r="O78" s="11" t="s">
        <v>424</v>
      </c>
    </row>
    <row r="79" spans="1:15" ht="15" customHeight="1">
      <c r="A79" s="11">
        <v>78</v>
      </c>
      <c r="B79" s="11" t="s">
        <v>8</v>
      </c>
      <c r="C79" s="11" t="s">
        <v>69</v>
      </c>
      <c r="D79" s="11" t="s">
        <v>425</v>
      </c>
      <c r="E79" s="11" t="s">
        <v>426</v>
      </c>
      <c r="F79" s="11">
        <v>2025</v>
      </c>
      <c r="G79" s="11" t="s">
        <v>214</v>
      </c>
      <c r="H79" s="11" t="s">
        <v>427</v>
      </c>
      <c r="I79" s="11" t="s">
        <v>428</v>
      </c>
      <c r="J79" s="11" t="s">
        <v>75</v>
      </c>
      <c r="K79" s="13" t="s">
        <v>91</v>
      </c>
      <c r="L79" s="11" t="s">
        <v>77</v>
      </c>
      <c r="M79" s="13" t="s">
        <v>91</v>
      </c>
      <c r="N79" s="13" t="s">
        <v>91</v>
      </c>
      <c r="O79" s="11" t="s">
        <v>92</v>
      </c>
    </row>
    <row r="80" spans="1:15" ht="15" customHeight="1">
      <c r="A80" s="11">
        <v>79</v>
      </c>
      <c r="B80" s="11" t="s">
        <v>8</v>
      </c>
      <c r="C80" s="11" t="s">
        <v>69</v>
      </c>
      <c r="D80" s="11" t="s">
        <v>429</v>
      </c>
      <c r="E80" s="11" t="s">
        <v>430</v>
      </c>
      <c r="F80" s="11">
        <v>2025</v>
      </c>
      <c r="G80" s="11"/>
      <c r="H80" s="11" t="s">
        <v>431</v>
      </c>
      <c r="I80" s="11" t="s">
        <v>432</v>
      </c>
      <c r="J80" s="11" t="s">
        <v>75</v>
      </c>
      <c r="K80" s="12" t="s">
        <v>76</v>
      </c>
      <c r="L80" s="11" t="s">
        <v>77</v>
      </c>
      <c r="M80" s="12" t="s">
        <v>76</v>
      </c>
      <c r="N80" s="12" t="s">
        <v>76</v>
      </c>
      <c r="O80" s="11" t="s">
        <v>147</v>
      </c>
    </row>
    <row r="81" spans="1:15" ht="15" customHeight="1">
      <c r="A81" s="11">
        <v>80</v>
      </c>
      <c r="B81" s="11" t="s">
        <v>8</v>
      </c>
      <c r="C81" s="11" t="s">
        <v>69</v>
      </c>
      <c r="D81" s="11" t="s">
        <v>433</v>
      </c>
      <c r="E81" s="11" t="s">
        <v>434</v>
      </c>
      <c r="F81" s="11">
        <v>2025</v>
      </c>
      <c r="G81" s="11"/>
      <c r="H81" s="11"/>
      <c r="I81" s="11" t="s">
        <v>435</v>
      </c>
      <c r="J81" s="11" t="s">
        <v>75</v>
      </c>
      <c r="K81" s="12" t="s">
        <v>76</v>
      </c>
      <c r="L81" s="11" t="s">
        <v>77</v>
      </c>
      <c r="M81" s="12" t="s">
        <v>76</v>
      </c>
      <c r="N81" s="12" t="s">
        <v>76</v>
      </c>
      <c r="O81" s="11" t="s">
        <v>313</v>
      </c>
    </row>
    <row r="82" spans="1:15" ht="15" customHeight="1">
      <c r="A82" s="11">
        <v>81</v>
      </c>
      <c r="B82" s="11" t="s">
        <v>8</v>
      </c>
      <c r="C82" s="11" t="s">
        <v>69</v>
      </c>
      <c r="D82" s="11" t="s">
        <v>436</v>
      </c>
      <c r="E82" s="11"/>
      <c r="F82" s="11">
        <v>2025</v>
      </c>
      <c r="G82" s="11"/>
      <c r="H82" s="11" t="s">
        <v>437</v>
      </c>
      <c r="I82" s="11" t="s">
        <v>438</v>
      </c>
      <c r="J82" s="11" t="s">
        <v>75</v>
      </c>
      <c r="K82" s="12" t="s">
        <v>76</v>
      </c>
      <c r="L82" s="11" t="s">
        <v>77</v>
      </c>
      <c r="M82" s="12" t="s">
        <v>76</v>
      </c>
      <c r="N82" s="12" t="s">
        <v>76</v>
      </c>
      <c r="O82" s="11" t="s">
        <v>193</v>
      </c>
    </row>
    <row r="83" spans="1:15" ht="15" customHeight="1">
      <c r="A83" s="11">
        <v>82</v>
      </c>
      <c r="B83" s="11" t="s">
        <v>8</v>
      </c>
      <c r="C83" s="11" t="s">
        <v>69</v>
      </c>
      <c r="D83" s="11" t="s">
        <v>439</v>
      </c>
      <c r="E83" s="11" t="s">
        <v>440</v>
      </c>
      <c r="F83" s="11">
        <v>2019</v>
      </c>
      <c r="G83" s="11"/>
      <c r="H83" s="11" t="s">
        <v>441</v>
      </c>
      <c r="I83" s="11" t="s">
        <v>442</v>
      </c>
      <c r="J83" s="11" t="s">
        <v>75</v>
      </c>
      <c r="K83" s="12" t="s">
        <v>76</v>
      </c>
      <c r="L83" s="11" t="s">
        <v>77</v>
      </c>
      <c r="M83" s="12" t="s">
        <v>76</v>
      </c>
      <c r="N83" s="12" t="s">
        <v>76</v>
      </c>
      <c r="O83" s="11" t="s">
        <v>153</v>
      </c>
    </row>
    <row r="84" spans="1:15" ht="15" customHeight="1">
      <c r="A84" s="11">
        <v>83</v>
      </c>
      <c r="B84" s="11" t="s">
        <v>8</v>
      </c>
      <c r="C84" s="11" t="s">
        <v>69</v>
      </c>
      <c r="D84" s="11" t="s">
        <v>443</v>
      </c>
      <c r="E84" s="11" t="s">
        <v>444</v>
      </c>
      <c r="F84" s="11"/>
      <c r="G84" s="11"/>
      <c r="H84" s="11"/>
      <c r="I84" s="11" t="s">
        <v>445</v>
      </c>
      <c r="J84" s="11" t="s">
        <v>75</v>
      </c>
      <c r="K84" s="12" t="s">
        <v>76</v>
      </c>
      <c r="L84" s="11" t="s">
        <v>77</v>
      </c>
      <c r="M84" s="12" t="s">
        <v>76</v>
      </c>
      <c r="N84" s="12" t="s">
        <v>76</v>
      </c>
      <c r="O84" s="11" t="s">
        <v>405</v>
      </c>
    </row>
  </sheetData>
  <hyperlinks>
    <hyperlink ref="H59" r:id="rId1" xr:uid="{00000000-0004-0000-0200-000000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30"/>
  <sheetViews>
    <sheetView zoomScaleNormal="100" workbookViewId="0">
      <selection activeCell="A3" sqref="A3"/>
    </sheetView>
  </sheetViews>
  <sheetFormatPr defaultColWidth="8.5703125" defaultRowHeight="14.45"/>
  <cols>
    <col min="6" max="6" width="120.28515625" customWidth="1"/>
  </cols>
  <sheetData>
    <row r="1" spans="1:6" ht="23.25" customHeight="1">
      <c r="A1" s="10" t="s">
        <v>10</v>
      </c>
      <c r="B1" s="10"/>
      <c r="C1" s="10"/>
      <c r="D1" s="10"/>
      <c r="E1" s="10"/>
      <c r="F1" s="10"/>
    </row>
    <row r="2" spans="1:6" ht="15" customHeight="1">
      <c r="A2" s="11"/>
      <c r="B2" s="11"/>
      <c r="C2" s="11"/>
      <c r="D2" s="11"/>
      <c r="E2" s="11"/>
      <c r="F2" s="11"/>
    </row>
    <row r="3" spans="1:6" ht="15" customHeight="1">
      <c r="A3" s="11" t="s">
        <v>446</v>
      </c>
      <c r="B3" s="11" t="s">
        <v>57</v>
      </c>
      <c r="C3" s="11" t="s">
        <v>447</v>
      </c>
      <c r="D3" s="11" t="s">
        <v>448</v>
      </c>
      <c r="E3" s="11" t="s">
        <v>449</v>
      </c>
      <c r="F3" s="11" t="s">
        <v>450</v>
      </c>
    </row>
    <row r="4" spans="1:6" ht="15" customHeight="1">
      <c r="A4" s="11">
        <v>1</v>
      </c>
      <c r="B4" s="11" t="s">
        <v>451</v>
      </c>
      <c r="C4" s="11" t="s">
        <v>452</v>
      </c>
      <c r="D4" s="12" t="s">
        <v>76</v>
      </c>
      <c r="E4" s="11"/>
      <c r="F4" s="11" t="s">
        <v>453</v>
      </c>
    </row>
    <row r="5" spans="1:6" ht="15" customHeight="1">
      <c r="A5" s="11">
        <v>2</v>
      </c>
      <c r="B5" s="11" t="s">
        <v>454</v>
      </c>
      <c r="C5" s="11" t="s">
        <v>452</v>
      </c>
      <c r="D5" s="12" t="s">
        <v>76</v>
      </c>
      <c r="E5" s="11"/>
      <c r="F5" s="11" t="s">
        <v>455</v>
      </c>
    </row>
    <row r="6" spans="1:6" ht="15" customHeight="1">
      <c r="A6" s="11">
        <v>3</v>
      </c>
      <c r="B6" s="11" t="s">
        <v>456</v>
      </c>
      <c r="C6" s="11" t="s">
        <v>452</v>
      </c>
      <c r="D6" s="12" t="s">
        <v>76</v>
      </c>
      <c r="E6" s="11"/>
      <c r="F6" s="11" t="s">
        <v>457</v>
      </c>
    </row>
    <row r="7" spans="1:6" ht="15" customHeight="1">
      <c r="A7" s="11">
        <v>4</v>
      </c>
      <c r="B7" s="11" t="s">
        <v>458</v>
      </c>
      <c r="C7" s="11" t="s">
        <v>452</v>
      </c>
      <c r="D7" s="12" t="s">
        <v>76</v>
      </c>
      <c r="E7" s="11"/>
      <c r="F7" s="11" t="s">
        <v>459</v>
      </c>
    </row>
    <row r="8" spans="1:6" ht="15" customHeight="1">
      <c r="A8" s="11">
        <v>5</v>
      </c>
      <c r="B8" s="11" t="s">
        <v>460</v>
      </c>
      <c r="C8" s="11" t="s">
        <v>452</v>
      </c>
      <c r="D8" s="12" t="s">
        <v>76</v>
      </c>
      <c r="E8" s="11"/>
      <c r="F8" s="11" t="s">
        <v>461</v>
      </c>
    </row>
    <row r="9" spans="1:6" ht="15" customHeight="1">
      <c r="A9" s="11">
        <v>6</v>
      </c>
      <c r="B9" s="11" t="s">
        <v>462</v>
      </c>
      <c r="C9" s="11" t="s">
        <v>452</v>
      </c>
      <c r="D9" s="12" t="s">
        <v>76</v>
      </c>
      <c r="E9" s="11"/>
      <c r="F9" s="11" t="s">
        <v>463</v>
      </c>
    </row>
    <row r="10" spans="1:6" ht="15" customHeight="1">
      <c r="A10" s="11">
        <v>7</v>
      </c>
      <c r="B10" s="11" t="s">
        <v>464</v>
      </c>
      <c r="C10" s="11" t="s">
        <v>452</v>
      </c>
      <c r="D10" s="12" t="s">
        <v>76</v>
      </c>
      <c r="E10" s="11"/>
      <c r="F10" s="11" t="s">
        <v>465</v>
      </c>
    </row>
    <row r="11" spans="1:6" ht="15" customHeight="1">
      <c r="A11" s="11">
        <v>8</v>
      </c>
      <c r="B11" s="11" t="s">
        <v>466</v>
      </c>
      <c r="C11" s="11" t="s">
        <v>452</v>
      </c>
      <c r="D11" s="12" t="s">
        <v>76</v>
      </c>
      <c r="E11" s="11"/>
      <c r="F11" s="11" t="s">
        <v>467</v>
      </c>
    </row>
    <row r="12" spans="1:6" ht="15" customHeight="1">
      <c r="A12" s="11">
        <v>9</v>
      </c>
      <c r="B12" s="11" t="s">
        <v>468</v>
      </c>
      <c r="C12" s="11" t="s">
        <v>452</v>
      </c>
      <c r="D12" s="12" t="s">
        <v>76</v>
      </c>
      <c r="E12" s="11"/>
      <c r="F12" s="11" t="s">
        <v>469</v>
      </c>
    </row>
    <row r="13" spans="1:6" ht="15" customHeight="1">
      <c r="A13" s="11">
        <v>10</v>
      </c>
      <c r="B13" s="11" t="s">
        <v>470</v>
      </c>
      <c r="C13" s="11" t="s">
        <v>452</v>
      </c>
      <c r="D13" s="12" t="s">
        <v>76</v>
      </c>
      <c r="E13" s="11"/>
      <c r="F13" s="11" t="s">
        <v>471</v>
      </c>
    </row>
    <row r="14" spans="1:6" ht="15" customHeight="1">
      <c r="A14" s="11">
        <v>11</v>
      </c>
      <c r="B14" s="11" t="s">
        <v>472</v>
      </c>
      <c r="C14" s="11" t="s">
        <v>452</v>
      </c>
      <c r="D14" s="12" t="s">
        <v>76</v>
      </c>
      <c r="E14" s="11"/>
      <c r="F14" s="11" t="s">
        <v>473</v>
      </c>
    </row>
    <row r="15" spans="1:6" ht="15" customHeight="1">
      <c r="A15" s="11">
        <v>12</v>
      </c>
      <c r="B15" s="11" t="s">
        <v>474</v>
      </c>
      <c r="C15" s="11" t="s">
        <v>452</v>
      </c>
      <c r="D15" s="12" t="s">
        <v>76</v>
      </c>
      <c r="E15" s="11"/>
      <c r="F15" s="11" t="s">
        <v>475</v>
      </c>
    </row>
    <row r="16" spans="1:6" ht="15" customHeight="1">
      <c r="A16" s="11">
        <v>13</v>
      </c>
      <c r="B16" s="11" t="s">
        <v>476</v>
      </c>
      <c r="C16" s="11" t="s">
        <v>452</v>
      </c>
      <c r="D16" s="12" t="s">
        <v>76</v>
      </c>
      <c r="E16" s="11"/>
      <c r="F16" s="11" t="s">
        <v>477</v>
      </c>
    </row>
    <row r="17" spans="1:6" ht="15" customHeight="1">
      <c r="A17" s="11">
        <v>14</v>
      </c>
      <c r="B17" s="11" t="s">
        <v>478</v>
      </c>
      <c r="C17" s="11" t="s">
        <v>452</v>
      </c>
      <c r="D17" s="15" t="s">
        <v>91</v>
      </c>
      <c r="E17" s="11" t="s">
        <v>479</v>
      </c>
      <c r="F17" s="11" t="s">
        <v>480</v>
      </c>
    </row>
    <row r="18" spans="1:6" ht="15" customHeight="1">
      <c r="A18" s="11">
        <v>15</v>
      </c>
      <c r="B18" s="11" t="s">
        <v>481</v>
      </c>
      <c r="C18" s="11" t="s">
        <v>452</v>
      </c>
      <c r="D18" s="15" t="s">
        <v>91</v>
      </c>
      <c r="E18" s="11" t="s">
        <v>482</v>
      </c>
      <c r="F18" s="11" t="s">
        <v>480</v>
      </c>
    </row>
    <row r="19" spans="1:6" ht="15" customHeight="1">
      <c r="A19" s="11">
        <v>16</v>
      </c>
      <c r="B19" s="11" t="s">
        <v>483</v>
      </c>
      <c r="C19" s="11" t="s">
        <v>452</v>
      </c>
      <c r="D19" s="15" t="s">
        <v>91</v>
      </c>
      <c r="E19" s="11" t="s">
        <v>484</v>
      </c>
      <c r="F19" s="11" t="s">
        <v>480</v>
      </c>
    </row>
    <row r="20" spans="1:6" ht="15" customHeight="1">
      <c r="A20" s="11">
        <v>17</v>
      </c>
      <c r="B20" s="11" t="s">
        <v>485</v>
      </c>
      <c r="C20" s="11" t="s">
        <v>452</v>
      </c>
      <c r="D20" s="15" t="s">
        <v>91</v>
      </c>
      <c r="E20" s="11" t="s">
        <v>486</v>
      </c>
      <c r="F20" s="11" t="s">
        <v>480</v>
      </c>
    </row>
    <row r="21" spans="1:6" ht="15" customHeight="1">
      <c r="A21" s="11">
        <v>18</v>
      </c>
      <c r="B21" s="11" t="s">
        <v>487</v>
      </c>
      <c r="C21" s="11" t="s">
        <v>452</v>
      </c>
      <c r="D21" s="15" t="s">
        <v>91</v>
      </c>
      <c r="E21" s="11" t="s">
        <v>488</v>
      </c>
      <c r="F21" s="11" t="s">
        <v>480</v>
      </c>
    </row>
    <row r="22" spans="1:6" ht="15" customHeight="1">
      <c r="A22" s="11">
        <v>19</v>
      </c>
      <c r="B22" s="11" t="s">
        <v>489</v>
      </c>
      <c r="C22" s="11" t="s">
        <v>452</v>
      </c>
      <c r="D22" s="15" t="s">
        <v>91</v>
      </c>
      <c r="E22" s="11" t="s">
        <v>486</v>
      </c>
      <c r="F22" s="11" t="s">
        <v>480</v>
      </c>
    </row>
    <row r="23" spans="1:6" ht="15" customHeight="1">
      <c r="A23" s="11">
        <v>20</v>
      </c>
      <c r="B23" s="11" t="s">
        <v>490</v>
      </c>
      <c r="C23" s="11" t="s">
        <v>452</v>
      </c>
      <c r="D23" s="15" t="s">
        <v>91</v>
      </c>
      <c r="E23" s="11" t="s">
        <v>486</v>
      </c>
      <c r="F23" s="11" t="s">
        <v>480</v>
      </c>
    </row>
    <row r="24" spans="1:6" ht="15" customHeight="1">
      <c r="A24" s="11">
        <v>21</v>
      </c>
      <c r="B24" s="11" t="s">
        <v>491</v>
      </c>
      <c r="C24" s="11" t="s">
        <v>452</v>
      </c>
      <c r="D24" s="15" t="s">
        <v>91</v>
      </c>
      <c r="E24" s="11" t="s">
        <v>486</v>
      </c>
      <c r="F24" s="11" t="s">
        <v>480</v>
      </c>
    </row>
    <row r="25" spans="1:6" ht="15" customHeight="1">
      <c r="A25" s="11">
        <v>22</v>
      </c>
      <c r="B25" s="11" t="s">
        <v>492</v>
      </c>
      <c r="C25" s="11" t="s">
        <v>452</v>
      </c>
      <c r="D25" s="15" t="s">
        <v>91</v>
      </c>
      <c r="E25" s="11" t="s">
        <v>488</v>
      </c>
      <c r="F25" s="11" t="s">
        <v>480</v>
      </c>
    </row>
    <row r="26" spans="1:6" ht="15" customHeight="1">
      <c r="A26" s="11">
        <v>23</v>
      </c>
      <c r="B26" s="11" t="s">
        <v>493</v>
      </c>
      <c r="C26" s="11" t="s">
        <v>452</v>
      </c>
      <c r="D26" s="15" t="s">
        <v>91</v>
      </c>
      <c r="E26" s="11" t="s">
        <v>494</v>
      </c>
      <c r="F26" s="11" t="s">
        <v>480</v>
      </c>
    </row>
    <row r="27" spans="1:6" ht="15" customHeight="1">
      <c r="A27" s="11">
        <v>24</v>
      </c>
      <c r="B27" s="11" t="s">
        <v>495</v>
      </c>
      <c r="C27" s="11" t="s">
        <v>452</v>
      </c>
      <c r="D27" s="15" t="s">
        <v>91</v>
      </c>
      <c r="E27" s="11" t="s">
        <v>494</v>
      </c>
      <c r="F27" s="11" t="s">
        <v>480</v>
      </c>
    </row>
    <row r="28" spans="1:6" ht="15" customHeight="1">
      <c r="A28" s="11">
        <v>25</v>
      </c>
      <c r="B28" s="11" t="s">
        <v>496</v>
      </c>
      <c r="C28" s="11" t="s">
        <v>452</v>
      </c>
      <c r="D28" s="15" t="s">
        <v>91</v>
      </c>
      <c r="E28" s="11" t="s">
        <v>479</v>
      </c>
      <c r="F28" s="11" t="s">
        <v>480</v>
      </c>
    </row>
    <row r="29" spans="1:6" ht="15" customHeight="1">
      <c r="A29" s="11">
        <v>26</v>
      </c>
      <c r="B29" s="11" t="s">
        <v>497</v>
      </c>
      <c r="C29" s="11" t="s">
        <v>452</v>
      </c>
      <c r="D29" s="15" t="s">
        <v>91</v>
      </c>
      <c r="E29" s="11" t="s">
        <v>494</v>
      </c>
      <c r="F29" s="11" t="s">
        <v>480</v>
      </c>
    </row>
    <row r="30" spans="1:6" ht="15" customHeight="1">
      <c r="A30" s="11">
        <v>27</v>
      </c>
      <c r="B30" s="11" t="s">
        <v>498</v>
      </c>
      <c r="C30" s="11" t="s">
        <v>452</v>
      </c>
      <c r="D30" s="15" t="s">
        <v>91</v>
      </c>
      <c r="E30" s="11" t="s">
        <v>499</v>
      </c>
      <c r="F30" s="11" t="s">
        <v>480</v>
      </c>
    </row>
    <row r="31" spans="1:6" ht="15" customHeight="1">
      <c r="A31" s="11">
        <v>28</v>
      </c>
      <c r="B31" s="11" t="s">
        <v>500</v>
      </c>
      <c r="C31" s="11" t="s">
        <v>452</v>
      </c>
      <c r="D31" s="15" t="s">
        <v>91</v>
      </c>
      <c r="E31" s="11" t="s">
        <v>501</v>
      </c>
      <c r="F31" s="11" t="s">
        <v>480</v>
      </c>
    </row>
    <row r="32" spans="1:6" ht="15" customHeight="1">
      <c r="A32" s="11">
        <v>29</v>
      </c>
      <c r="B32" s="11" t="s">
        <v>502</v>
      </c>
      <c r="C32" s="11" t="s">
        <v>452</v>
      </c>
      <c r="D32" s="15" t="s">
        <v>91</v>
      </c>
      <c r="E32" s="11" t="s">
        <v>486</v>
      </c>
      <c r="F32" s="11" t="s">
        <v>480</v>
      </c>
    </row>
    <row r="33" spans="1:6" ht="15" customHeight="1">
      <c r="A33" s="11">
        <v>30</v>
      </c>
      <c r="B33" s="11" t="s">
        <v>503</v>
      </c>
      <c r="C33" s="11" t="s">
        <v>452</v>
      </c>
      <c r="D33" s="15" t="s">
        <v>91</v>
      </c>
      <c r="E33" s="11" t="s">
        <v>504</v>
      </c>
      <c r="F33" s="11" t="s">
        <v>480</v>
      </c>
    </row>
    <row r="34" spans="1:6" ht="15" customHeight="1">
      <c r="A34" s="11">
        <v>31</v>
      </c>
      <c r="B34" s="11" t="s">
        <v>505</v>
      </c>
      <c r="C34" s="11" t="s">
        <v>452</v>
      </c>
      <c r="D34" s="15" t="s">
        <v>91</v>
      </c>
      <c r="E34" s="11" t="s">
        <v>494</v>
      </c>
      <c r="F34" s="11" t="s">
        <v>480</v>
      </c>
    </row>
    <row r="35" spans="1:6" ht="15" customHeight="1">
      <c r="A35" s="11">
        <v>32</v>
      </c>
      <c r="B35" s="11" t="s">
        <v>506</v>
      </c>
      <c r="C35" s="11" t="s">
        <v>452</v>
      </c>
      <c r="D35" s="15" t="s">
        <v>91</v>
      </c>
      <c r="E35" s="11" t="s">
        <v>504</v>
      </c>
      <c r="F35" s="11" t="s">
        <v>480</v>
      </c>
    </row>
    <row r="36" spans="1:6" ht="15" customHeight="1">
      <c r="A36" s="11">
        <v>33</v>
      </c>
      <c r="B36" s="11" t="s">
        <v>507</v>
      </c>
      <c r="C36" s="11" t="s">
        <v>452</v>
      </c>
      <c r="D36" s="15" t="s">
        <v>91</v>
      </c>
      <c r="E36" s="11" t="s">
        <v>494</v>
      </c>
      <c r="F36" s="11" t="s">
        <v>480</v>
      </c>
    </row>
    <row r="37" spans="1:6" ht="15" customHeight="1">
      <c r="A37" s="11">
        <v>34</v>
      </c>
      <c r="B37" s="11" t="s">
        <v>508</v>
      </c>
      <c r="C37" s="11" t="s">
        <v>452</v>
      </c>
      <c r="D37" s="15" t="s">
        <v>91</v>
      </c>
      <c r="E37" s="11" t="s">
        <v>486</v>
      </c>
      <c r="F37" s="11" t="s">
        <v>480</v>
      </c>
    </row>
    <row r="38" spans="1:6" ht="15" customHeight="1">
      <c r="A38" s="11">
        <v>35</v>
      </c>
      <c r="B38" s="11" t="s">
        <v>509</v>
      </c>
      <c r="C38" s="11" t="s">
        <v>452</v>
      </c>
      <c r="D38" s="15" t="s">
        <v>91</v>
      </c>
      <c r="E38" s="11" t="s">
        <v>494</v>
      </c>
      <c r="F38" s="11" t="s">
        <v>480</v>
      </c>
    </row>
    <row r="39" spans="1:6" ht="15" customHeight="1">
      <c r="A39" s="11">
        <v>36</v>
      </c>
      <c r="B39" s="11" t="s">
        <v>510</v>
      </c>
      <c r="C39" s="11" t="s">
        <v>452</v>
      </c>
      <c r="D39" s="15" t="s">
        <v>91</v>
      </c>
      <c r="E39" s="11" t="s">
        <v>494</v>
      </c>
      <c r="F39" s="11" t="s">
        <v>480</v>
      </c>
    </row>
    <row r="40" spans="1:6" ht="15" customHeight="1">
      <c r="A40" s="11">
        <v>37</v>
      </c>
      <c r="B40" s="11" t="s">
        <v>511</v>
      </c>
      <c r="C40" s="11" t="s">
        <v>452</v>
      </c>
      <c r="D40" s="15" t="s">
        <v>91</v>
      </c>
      <c r="E40" s="11" t="s">
        <v>494</v>
      </c>
      <c r="F40" s="11" t="s">
        <v>480</v>
      </c>
    </row>
    <row r="41" spans="1:6" ht="15" customHeight="1">
      <c r="A41" s="11">
        <v>38</v>
      </c>
      <c r="B41" s="11" t="s">
        <v>512</v>
      </c>
      <c r="C41" s="11" t="s">
        <v>452</v>
      </c>
      <c r="D41" s="15" t="s">
        <v>91</v>
      </c>
      <c r="E41" s="11" t="s">
        <v>494</v>
      </c>
      <c r="F41" s="11" t="s">
        <v>480</v>
      </c>
    </row>
    <row r="42" spans="1:6" ht="15" customHeight="1">
      <c r="A42" s="11">
        <v>39</v>
      </c>
      <c r="B42" s="11" t="s">
        <v>513</v>
      </c>
      <c r="C42" s="11" t="s">
        <v>452</v>
      </c>
      <c r="D42" s="15" t="s">
        <v>91</v>
      </c>
      <c r="E42" s="11" t="s">
        <v>494</v>
      </c>
      <c r="F42" s="11" t="s">
        <v>480</v>
      </c>
    </row>
    <row r="43" spans="1:6" ht="15" customHeight="1">
      <c r="A43" s="11">
        <v>40</v>
      </c>
      <c r="B43" s="11" t="s">
        <v>514</v>
      </c>
      <c r="C43" s="11" t="s">
        <v>452</v>
      </c>
      <c r="D43" s="15" t="s">
        <v>91</v>
      </c>
      <c r="E43" s="11" t="s">
        <v>494</v>
      </c>
      <c r="F43" s="11" t="s">
        <v>480</v>
      </c>
    </row>
    <row r="44" spans="1:6" ht="15" customHeight="1">
      <c r="A44" s="11">
        <v>41</v>
      </c>
      <c r="B44" s="11" t="s">
        <v>515</v>
      </c>
      <c r="C44" s="11" t="s">
        <v>452</v>
      </c>
      <c r="D44" s="15" t="s">
        <v>91</v>
      </c>
      <c r="E44" s="11" t="s">
        <v>494</v>
      </c>
      <c r="F44" s="11" t="s">
        <v>480</v>
      </c>
    </row>
    <row r="45" spans="1:6" ht="15" customHeight="1">
      <c r="A45" s="11">
        <v>42</v>
      </c>
      <c r="B45" s="11" t="s">
        <v>516</v>
      </c>
      <c r="C45" s="11" t="s">
        <v>452</v>
      </c>
      <c r="D45" s="15" t="s">
        <v>91</v>
      </c>
      <c r="E45" s="11" t="s">
        <v>494</v>
      </c>
      <c r="F45" s="11" t="s">
        <v>480</v>
      </c>
    </row>
    <row r="46" spans="1:6" ht="15" customHeight="1">
      <c r="A46" s="11">
        <v>43</v>
      </c>
      <c r="B46" s="11" t="s">
        <v>517</v>
      </c>
      <c r="C46" s="11" t="s">
        <v>452</v>
      </c>
      <c r="D46" s="15" t="s">
        <v>91</v>
      </c>
      <c r="E46" s="11" t="s">
        <v>494</v>
      </c>
      <c r="F46" s="11" t="s">
        <v>480</v>
      </c>
    </row>
    <row r="47" spans="1:6" ht="15" customHeight="1">
      <c r="A47" s="11">
        <v>44</v>
      </c>
      <c r="B47" s="11" t="s">
        <v>518</v>
      </c>
      <c r="C47" s="11" t="s">
        <v>452</v>
      </c>
      <c r="D47" s="15" t="s">
        <v>91</v>
      </c>
      <c r="E47" s="11" t="s">
        <v>494</v>
      </c>
      <c r="F47" s="11" t="s">
        <v>480</v>
      </c>
    </row>
    <row r="48" spans="1:6" ht="15" customHeight="1">
      <c r="A48" s="11">
        <v>45</v>
      </c>
      <c r="B48" s="11" t="s">
        <v>519</v>
      </c>
      <c r="C48" s="11" t="s">
        <v>452</v>
      </c>
      <c r="D48" s="15" t="s">
        <v>91</v>
      </c>
      <c r="E48" s="11" t="s">
        <v>504</v>
      </c>
      <c r="F48" s="11" t="s">
        <v>480</v>
      </c>
    </row>
    <row r="49" spans="1:6" ht="15" customHeight="1">
      <c r="A49" s="11">
        <v>46</v>
      </c>
      <c r="B49" s="11" t="s">
        <v>520</v>
      </c>
      <c r="C49" s="11" t="s">
        <v>452</v>
      </c>
      <c r="D49" s="15" t="s">
        <v>91</v>
      </c>
      <c r="E49" s="11" t="s">
        <v>494</v>
      </c>
      <c r="F49" s="11" t="s">
        <v>480</v>
      </c>
    </row>
    <row r="50" spans="1:6" ht="15" customHeight="1">
      <c r="A50" s="11">
        <v>47</v>
      </c>
      <c r="B50" s="11" t="s">
        <v>521</v>
      </c>
      <c r="C50" s="11" t="s">
        <v>452</v>
      </c>
      <c r="D50" s="15" t="s">
        <v>91</v>
      </c>
      <c r="E50" s="11" t="s">
        <v>486</v>
      </c>
      <c r="F50" s="11" t="s">
        <v>480</v>
      </c>
    </row>
    <row r="51" spans="1:6" ht="15" customHeight="1">
      <c r="A51" s="11">
        <v>48</v>
      </c>
      <c r="B51" s="11" t="s">
        <v>522</v>
      </c>
      <c r="C51" s="11" t="s">
        <v>452</v>
      </c>
      <c r="D51" s="15" t="s">
        <v>91</v>
      </c>
      <c r="E51" s="11" t="s">
        <v>504</v>
      </c>
      <c r="F51" s="11" t="s">
        <v>480</v>
      </c>
    </row>
    <row r="52" spans="1:6" ht="15" customHeight="1">
      <c r="A52" s="11">
        <v>49</v>
      </c>
      <c r="B52" s="11" t="s">
        <v>523</v>
      </c>
      <c r="C52" s="11" t="s">
        <v>452</v>
      </c>
      <c r="D52" s="15" t="s">
        <v>91</v>
      </c>
      <c r="E52" s="11" t="s">
        <v>482</v>
      </c>
      <c r="F52" s="11" t="s">
        <v>480</v>
      </c>
    </row>
    <row r="53" spans="1:6" ht="15" customHeight="1">
      <c r="A53" s="11">
        <v>50</v>
      </c>
      <c r="B53" s="11" t="s">
        <v>524</v>
      </c>
      <c r="C53" s="11" t="s">
        <v>452</v>
      </c>
      <c r="D53" s="15" t="s">
        <v>91</v>
      </c>
      <c r="E53" s="11" t="s">
        <v>486</v>
      </c>
      <c r="F53" s="11" t="s">
        <v>480</v>
      </c>
    </row>
    <row r="54" spans="1:6" ht="15" customHeight="1">
      <c r="A54" s="11">
        <v>51</v>
      </c>
      <c r="B54" s="11" t="s">
        <v>525</v>
      </c>
      <c r="C54" s="11" t="s">
        <v>452</v>
      </c>
      <c r="D54" s="15" t="s">
        <v>91</v>
      </c>
      <c r="E54" s="11" t="s">
        <v>504</v>
      </c>
      <c r="F54" s="11" t="s">
        <v>480</v>
      </c>
    </row>
    <row r="55" spans="1:6" ht="15" customHeight="1">
      <c r="A55" s="11">
        <v>52</v>
      </c>
      <c r="B55" s="11" t="s">
        <v>526</v>
      </c>
      <c r="C55" s="11" t="s">
        <v>452</v>
      </c>
      <c r="D55" s="15" t="s">
        <v>91</v>
      </c>
      <c r="E55" s="11" t="s">
        <v>486</v>
      </c>
      <c r="F55" s="11" t="s">
        <v>480</v>
      </c>
    </row>
    <row r="56" spans="1:6" ht="15" customHeight="1">
      <c r="A56" s="11">
        <v>53</v>
      </c>
      <c r="B56" s="11" t="s">
        <v>527</v>
      </c>
      <c r="C56" s="11" t="s">
        <v>452</v>
      </c>
      <c r="D56" s="15" t="s">
        <v>91</v>
      </c>
      <c r="E56" s="11" t="s">
        <v>494</v>
      </c>
      <c r="F56" s="11" t="s">
        <v>480</v>
      </c>
    </row>
    <row r="57" spans="1:6" ht="15" customHeight="1">
      <c r="A57" s="11">
        <v>54</v>
      </c>
      <c r="B57" s="11" t="s">
        <v>528</v>
      </c>
      <c r="C57" s="11" t="s">
        <v>452</v>
      </c>
      <c r="D57" s="15" t="s">
        <v>91</v>
      </c>
      <c r="E57" s="11" t="s">
        <v>486</v>
      </c>
      <c r="F57" s="11" t="s">
        <v>480</v>
      </c>
    </row>
    <row r="58" spans="1:6" ht="15" customHeight="1">
      <c r="A58" s="11">
        <v>55</v>
      </c>
      <c r="B58" s="11" t="s">
        <v>529</v>
      </c>
      <c r="C58" s="11" t="s">
        <v>452</v>
      </c>
      <c r="D58" s="15" t="s">
        <v>91</v>
      </c>
      <c r="E58" s="11" t="s">
        <v>494</v>
      </c>
      <c r="F58" s="11" t="s">
        <v>480</v>
      </c>
    </row>
    <row r="59" spans="1:6" ht="15" customHeight="1">
      <c r="A59" s="11">
        <v>56</v>
      </c>
      <c r="B59" s="11" t="s">
        <v>530</v>
      </c>
      <c r="C59" s="11" t="s">
        <v>452</v>
      </c>
      <c r="D59" s="15" t="s">
        <v>91</v>
      </c>
      <c r="E59" s="11" t="s">
        <v>494</v>
      </c>
      <c r="F59" s="11" t="s">
        <v>480</v>
      </c>
    </row>
    <row r="60" spans="1:6" ht="15" customHeight="1">
      <c r="A60" s="11">
        <v>57</v>
      </c>
      <c r="B60" s="11" t="s">
        <v>531</v>
      </c>
      <c r="C60" s="11" t="s">
        <v>452</v>
      </c>
      <c r="D60" s="15" t="s">
        <v>91</v>
      </c>
      <c r="E60" s="11" t="s">
        <v>504</v>
      </c>
      <c r="F60" s="11" t="s">
        <v>480</v>
      </c>
    </row>
    <row r="61" spans="1:6" ht="15" customHeight="1">
      <c r="A61" s="11">
        <v>58</v>
      </c>
      <c r="B61" s="11" t="s">
        <v>532</v>
      </c>
      <c r="C61" s="11" t="s">
        <v>452</v>
      </c>
      <c r="D61" s="15" t="s">
        <v>91</v>
      </c>
      <c r="E61" s="11" t="s">
        <v>504</v>
      </c>
      <c r="F61" s="11" t="s">
        <v>480</v>
      </c>
    </row>
    <row r="62" spans="1:6" ht="15" customHeight="1">
      <c r="A62" s="11">
        <v>59</v>
      </c>
      <c r="B62" s="11" t="s">
        <v>533</v>
      </c>
      <c r="C62" s="11" t="s">
        <v>452</v>
      </c>
      <c r="D62" s="15" t="s">
        <v>91</v>
      </c>
      <c r="E62" s="11" t="s">
        <v>486</v>
      </c>
      <c r="F62" s="11" t="s">
        <v>480</v>
      </c>
    </row>
    <row r="63" spans="1:6" ht="15" customHeight="1">
      <c r="A63" s="11">
        <v>60</v>
      </c>
      <c r="B63" s="11" t="s">
        <v>534</v>
      </c>
      <c r="C63" s="11" t="s">
        <v>452</v>
      </c>
      <c r="D63" s="15" t="s">
        <v>91</v>
      </c>
      <c r="E63" s="11" t="s">
        <v>494</v>
      </c>
      <c r="F63" s="11" t="s">
        <v>480</v>
      </c>
    </row>
    <row r="64" spans="1:6" ht="15" customHeight="1">
      <c r="A64" s="11">
        <v>61</v>
      </c>
      <c r="B64" s="11" t="s">
        <v>535</v>
      </c>
      <c r="C64" s="11" t="s">
        <v>452</v>
      </c>
      <c r="D64" s="15" t="s">
        <v>91</v>
      </c>
      <c r="E64" s="11" t="s">
        <v>486</v>
      </c>
      <c r="F64" s="11" t="s">
        <v>480</v>
      </c>
    </row>
    <row r="65" spans="1:6" ht="15" customHeight="1">
      <c r="A65" s="11">
        <v>62</v>
      </c>
      <c r="B65" s="11" t="s">
        <v>536</v>
      </c>
      <c r="C65" s="11" t="s">
        <v>452</v>
      </c>
      <c r="D65" s="15" t="s">
        <v>91</v>
      </c>
      <c r="E65" s="11" t="s">
        <v>486</v>
      </c>
      <c r="F65" s="11" t="s">
        <v>480</v>
      </c>
    </row>
    <row r="66" spans="1:6" ht="15" customHeight="1">
      <c r="A66" s="11">
        <v>63</v>
      </c>
      <c r="B66" s="11" t="s">
        <v>537</v>
      </c>
      <c r="C66" s="11" t="s">
        <v>452</v>
      </c>
      <c r="D66" s="15" t="s">
        <v>91</v>
      </c>
      <c r="E66" s="11" t="s">
        <v>504</v>
      </c>
      <c r="F66" s="11" t="s">
        <v>480</v>
      </c>
    </row>
    <row r="67" spans="1:6" ht="15" customHeight="1">
      <c r="A67" s="11">
        <v>64</v>
      </c>
      <c r="B67" s="11" t="s">
        <v>538</v>
      </c>
      <c r="C67" s="11" t="s">
        <v>452</v>
      </c>
      <c r="D67" s="15" t="s">
        <v>91</v>
      </c>
      <c r="E67" s="11" t="s">
        <v>494</v>
      </c>
      <c r="F67" s="11" t="s">
        <v>480</v>
      </c>
    </row>
    <row r="68" spans="1:6" ht="15" customHeight="1">
      <c r="A68" s="11">
        <v>65</v>
      </c>
      <c r="B68" s="11" t="s">
        <v>539</v>
      </c>
      <c r="C68" s="11" t="s">
        <v>452</v>
      </c>
      <c r="D68" s="15" t="s">
        <v>91</v>
      </c>
      <c r="E68" s="11" t="s">
        <v>486</v>
      </c>
      <c r="F68" s="11" t="s">
        <v>480</v>
      </c>
    </row>
    <row r="69" spans="1:6" ht="15" customHeight="1">
      <c r="A69" s="11">
        <v>66</v>
      </c>
      <c r="B69" s="11" t="s">
        <v>540</v>
      </c>
      <c r="C69" s="11" t="s">
        <v>452</v>
      </c>
      <c r="D69" s="15" t="s">
        <v>91</v>
      </c>
      <c r="E69" s="11" t="s">
        <v>504</v>
      </c>
      <c r="F69" s="11" t="s">
        <v>480</v>
      </c>
    </row>
    <row r="70" spans="1:6" ht="15" customHeight="1">
      <c r="A70" s="11">
        <v>67</v>
      </c>
      <c r="B70" s="11" t="s">
        <v>541</v>
      </c>
      <c r="C70" s="11" t="s">
        <v>452</v>
      </c>
      <c r="D70" s="15" t="s">
        <v>91</v>
      </c>
      <c r="E70" s="11" t="s">
        <v>504</v>
      </c>
      <c r="F70" s="11" t="s">
        <v>480</v>
      </c>
    </row>
    <row r="71" spans="1:6" ht="15" customHeight="1">
      <c r="A71" s="11">
        <v>68</v>
      </c>
      <c r="B71" s="11" t="s">
        <v>542</v>
      </c>
      <c r="C71" s="11" t="s">
        <v>452</v>
      </c>
      <c r="D71" s="15" t="s">
        <v>91</v>
      </c>
      <c r="E71" s="11" t="s">
        <v>494</v>
      </c>
      <c r="F71" s="11" t="s">
        <v>480</v>
      </c>
    </row>
    <row r="72" spans="1:6" ht="15" customHeight="1">
      <c r="A72" s="11">
        <v>69</v>
      </c>
      <c r="B72" s="11" t="s">
        <v>543</v>
      </c>
      <c r="C72" s="11" t="s">
        <v>452</v>
      </c>
      <c r="D72" s="15" t="s">
        <v>91</v>
      </c>
      <c r="E72" s="11" t="s">
        <v>494</v>
      </c>
      <c r="F72" s="11" t="s">
        <v>480</v>
      </c>
    </row>
    <row r="73" spans="1:6" ht="15" customHeight="1">
      <c r="A73" s="11">
        <v>70</v>
      </c>
      <c r="B73" s="11" t="s">
        <v>544</v>
      </c>
      <c r="C73" s="11" t="s">
        <v>452</v>
      </c>
      <c r="D73" s="15" t="s">
        <v>91</v>
      </c>
      <c r="E73" s="11" t="s">
        <v>494</v>
      </c>
      <c r="F73" s="11" t="s">
        <v>480</v>
      </c>
    </row>
    <row r="74" spans="1:6" ht="15" customHeight="1">
      <c r="A74" s="11">
        <v>71</v>
      </c>
      <c r="B74" s="11" t="s">
        <v>545</v>
      </c>
      <c r="C74" s="11" t="s">
        <v>452</v>
      </c>
      <c r="D74" s="15" t="s">
        <v>91</v>
      </c>
      <c r="E74" s="11" t="s">
        <v>486</v>
      </c>
      <c r="F74" s="11" t="s">
        <v>480</v>
      </c>
    </row>
    <row r="75" spans="1:6" ht="15" customHeight="1">
      <c r="A75" s="11">
        <v>72</v>
      </c>
      <c r="B75" s="11" t="s">
        <v>546</v>
      </c>
      <c r="C75" s="11" t="s">
        <v>452</v>
      </c>
      <c r="D75" s="15" t="s">
        <v>91</v>
      </c>
      <c r="E75" s="11" t="s">
        <v>504</v>
      </c>
      <c r="F75" s="11" t="s">
        <v>480</v>
      </c>
    </row>
    <row r="76" spans="1:6" ht="15" customHeight="1">
      <c r="A76" s="11">
        <v>73</v>
      </c>
      <c r="B76" s="11" t="s">
        <v>547</v>
      </c>
      <c r="C76" s="11" t="s">
        <v>452</v>
      </c>
      <c r="D76" s="15" t="s">
        <v>91</v>
      </c>
      <c r="E76" s="11" t="s">
        <v>494</v>
      </c>
      <c r="F76" s="11" t="s">
        <v>480</v>
      </c>
    </row>
    <row r="77" spans="1:6" ht="15" customHeight="1">
      <c r="A77" s="11">
        <v>74</v>
      </c>
      <c r="B77" s="11" t="s">
        <v>548</v>
      </c>
      <c r="C77" s="11" t="s">
        <v>452</v>
      </c>
      <c r="D77" s="15" t="s">
        <v>91</v>
      </c>
      <c r="E77" s="11" t="s">
        <v>494</v>
      </c>
      <c r="F77" s="11" t="s">
        <v>480</v>
      </c>
    </row>
    <row r="78" spans="1:6" ht="15" customHeight="1">
      <c r="A78" s="11">
        <v>75</v>
      </c>
      <c r="B78" s="11" t="s">
        <v>549</v>
      </c>
      <c r="C78" s="11" t="s">
        <v>452</v>
      </c>
      <c r="D78" s="15" t="s">
        <v>91</v>
      </c>
      <c r="E78" s="11" t="s">
        <v>486</v>
      </c>
      <c r="F78" s="11" t="s">
        <v>480</v>
      </c>
    </row>
    <row r="79" spans="1:6" ht="15" customHeight="1">
      <c r="A79" s="11">
        <v>76</v>
      </c>
      <c r="B79" s="11" t="s">
        <v>550</v>
      </c>
      <c r="C79" s="11" t="s">
        <v>452</v>
      </c>
      <c r="D79" s="15" t="s">
        <v>91</v>
      </c>
      <c r="E79" s="11" t="s">
        <v>494</v>
      </c>
      <c r="F79" s="11" t="s">
        <v>480</v>
      </c>
    </row>
    <row r="80" spans="1:6" ht="15" customHeight="1">
      <c r="A80" s="11">
        <v>77</v>
      </c>
      <c r="B80" s="11" t="s">
        <v>551</v>
      </c>
      <c r="C80" s="11" t="s">
        <v>452</v>
      </c>
      <c r="D80" s="15" t="s">
        <v>91</v>
      </c>
      <c r="E80" s="11" t="s">
        <v>486</v>
      </c>
      <c r="F80" s="11" t="s">
        <v>480</v>
      </c>
    </row>
    <row r="81" spans="1:6" ht="15" customHeight="1">
      <c r="A81" s="11">
        <v>78</v>
      </c>
      <c r="B81" s="11" t="s">
        <v>552</v>
      </c>
      <c r="C81" s="11" t="s">
        <v>452</v>
      </c>
      <c r="D81" s="15" t="s">
        <v>91</v>
      </c>
      <c r="E81" s="11" t="s">
        <v>494</v>
      </c>
      <c r="F81" s="11" t="s">
        <v>480</v>
      </c>
    </row>
    <row r="82" spans="1:6" ht="15" customHeight="1">
      <c r="A82" s="11">
        <v>79</v>
      </c>
      <c r="B82" s="11" t="s">
        <v>553</v>
      </c>
      <c r="C82" s="11" t="s">
        <v>452</v>
      </c>
      <c r="D82" s="15" t="s">
        <v>91</v>
      </c>
      <c r="E82" s="11" t="s">
        <v>494</v>
      </c>
      <c r="F82" s="11" t="s">
        <v>480</v>
      </c>
    </row>
    <row r="83" spans="1:6" ht="15" customHeight="1">
      <c r="A83" s="11">
        <v>80</v>
      </c>
      <c r="B83" s="11" t="s">
        <v>554</v>
      </c>
      <c r="C83" s="11" t="s">
        <v>452</v>
      </c>
      <c r="D83" s="15" t="s">
        <v>91</v>
      </c>
      <c r="E83" s="11" t="s">
        <v>494</v>
      </c>
      <c r="F83" s="11" t="s">
        <v>480</v>
      </c>
    </row>
    <row r="84" spans="1:6" ht="15" customHeight="1">
      <c r="A84" s="11">
        <v>81</v>
      </c>
      <c r="B84" s="11" t="s">
        <v>555</v>
      </c>
      <c r="C84" s="11" t="s">
        <v>452</v>
      </c>
      <c r="D84" s="15" t="s">
        <v>91</v>
      </c>
      <c r="E84" s="11" t="s">
        <v>494</v>
      </c>
      <c r="F84" s="11" t="s">
        <v>480</v>
      </c>
    </row>
    <row r="85" spans="1:6" ht="15" customHeight="1">
      <c r="A85" s="11">
        <v>82</v>
      </c>
      <c r="B85" s="11" t="s">
        <v>556</v>
      </c>
      <c r="C85" s="11" t="s">
        <v>452</v>
      </c>
      <c r="D85" s="15" t="s">
        <v>91</v>
      </c>
      <c r="E85" s="11" t="s">
        <v>494</v>
      </c>
      <c r="F85" s="11" t="s">
        <v>480</v>
      </c>
    </row>
    <row r="86" spans="1:6" ht="15" customHeight="1">
      <c r="A86" s="11">
        <v>83</v>
      </c>
      <c r="B86" s="11" t="s">
        <v>557</v>
      </c>
      <c r="C86" s="11" t="s">
        <v>452</v>
      </c>
      <c r="D86" s="15" t="s">
        <v>91</v>
      </c>
      <c r="E86" s="11" t="s">
        <v>486</v>
      </c>
      <c r="F86" s="11" t="s">
        <v>480</v>
      </c>
    </row>
    <row r="87" spans="1:6" ht="15" customHeight="1">
      <c r="A87" s="11">
        <v>84</v>
      </c>
      <c r="B87" s="11" t="s">
        <v>558</v>
      </c>
      <c r="C87" s="11" t="s">
        <v>452</v>
      </c>
      <c r="D87" s="15" t="s">
        <v>91</v>
      </c>
      <c r="E87" s="11" t="s">
        <v>486</v>
      </c>
      <c r="F87" s="11" t="s">
        <v>480</v>
      </c>
    </row>
    <row r="88" spans="1:6" ht="15" customHeight="1">
      <c r="A88" s="11">
        <v>85</v>
      </c>
      <c r="B88" s="11" t="s">
        <v>559</v>
      </c>
      <c r="C88" s="11" t="s">
        <v>452</v>
      </c>
      <c r="D88" s="15" t="s">
        <v>91</v>
      </c>
      <c r="E88" s="11" t="s">
        <v>494</v>
      </c>
      <c r="F88" s="11" t="s">
        <v>480</v>
      </c>
    </row>
    <row r="89" spans="1:6" ht="15" customHeight="1">
      <c r="A89" s="11">
        <v>86</v>
      </c>
      <c r="B89" s="11" t="s">
        <v>560</v>
      </c>
      <c r="C89" s="11" t="s">
        <v>452</v>
      </c>
      <c r="D89" s="15" t="s">
        <v>91</v>
      </c>
      <c r="E89" s="11" t="s">
        <v>494</v>
      </c>
      <c r="F89" s="11" t="s">
        <v>480</v>
      </c>
    </row>
    <row r="90" spans="1:6" ht="15" customHeight="1">
      <c r="A90" s="11">
        <v>87</v>
      </c>
      <c r="B90" s="11" t="s">
        <v>561</v>
      </c>
      <c r="C90" s="11" t="s">
        <v>452</v>
      </c>
      <c r="D90" s="15" t="s">
        <v>91</v>
      </c>
      <c r="E90" s="11" t="s">
        <v>504</v>
      </c>
      <c r="F90" s="11" t="s">
        <v>480</v>
      </c>
    </row>
    <row r="91" spans="1:6" ht="15" customHeight="1">
      <c r="A91" s="11">
        <v>88</v>
      </c>
      <c r="B91" s="11" t="s">
        <v>562</v>
      </c>
      <c r="C91" s="11" t="s">
        <v>452</v>
      </c>
      <c r="D91" s="15" t="s">
        <v>91</v>
      </c>
      <c r="E91" s="11" t="s">
        <v>494</v>
      </c>
      <c r="F91" s="11" t="s">
        <v>480</v>
      </c>
    </row>
    <row r="92" spans="1:6" ht="15" customHeight="1">
      <c r="A92" s="11">
        <v>89</v>
      </c>
      <c r="B92" s="11" t="s">
        <v>563</v>
      </c>
      <c r="C92" s="11" t="s">
        <v>452</v>
      </c>
      <c r="D92" s="15" t="s">
        <v>91</v>
      </c>
      <c r="E92" s="11" t="s">
        <v>494</v>
      </c>
      <c r="F92" s="11" t="s">
        <v>480</v>
      </c>
    </row>
    <row r="93" spans="1:6" ht="15" customHeight="1">
      <c r="A93" s="11">
        <v>90</v>
      </c>
      <c r="B93" s="11" t="s">
        <v>564</v>
      </c>
      <c r="C93" s="11" t="s">
        <v>452</v>
      </c>
      <c r="D93" s="15" t="s">
        <v>91</v>
      </c>
      <c r="E93" s="11" t="s">
        <v>494</v>
      </c>
      <c r="F93" s="11" t="s">
        <v>480</v>
      </c>
    </row>
    <row r="94" spans="1:6" ht="15" customHeight="1">
      <c r="A94" s="11">
        <v>91</v>
      </c>
      <c r="B94" s="11" t="s">
        <v>565</v>
      </c>
      <c r="C94" s="11" t="s">
        <v>452</v>
      </c>
      <c r="D94" s="15" t="s">
        <v>91</v>
      </c>
      <c r="E94" s="11" t="s">
        <v>504</v>
      </c>
      <c r="F94" s="11" t="s">
        <v>480</v>
      </c>
    </row>
    <row r="95" spans="1:6" ht="15" customHeight="1">
      <c r="A95" s="11">
        <v>92</v>
      </c>
      <c r="B95" s="11" t="s">
        <v>566</v>
      </c>
      <c r="C95" s="11" t="s">
        <v>452</v>
      </c>
      <c r="D95" s="15" t="s">
        <v>91</v>
      </c>
      <c r="E95" s="11" t="s">
        <v>499</v>
      </c>
      <c r="F95" s="11" t="s">
        <v>480</v>
      </c>
    </row>
    <row r="96" spans="1:6" ht="15" customHeight="1">
      <c r="A96" s="11">
        <v>93</v>
      </c>
      <c r="B96" s="11" t="s">
        <v>567</v>
      </c>
      <c r="C96" s="11" t="s">
        <v>452</v>
      </c>
      <c r="D96" s="15" t="s">
        <v>91</v>
      </c>
      <c r="E96" s="11" t="s">
        <v>568</v>
      </c>
      <c r="F96" s="11" t="s">
        <v>480</v>
      </c>
    </row>
    <row r="97" spans="1:6" ht="15" customHeight="1">
      <c r="A97" s="11">
        <v>94</v>
      </c>
      <c r="B97" s="11" t="s">
        <v>569</v>
      </c>
      <c r="C97" s="11" t="s">
        <v>452</v>
      </c>
      <c r="D97" s="15" t="s">
        <v>91</v>
      </c>
      <c r="E97" s="11" t="s">
        <v>570</v>
      </c>
      <c r="F97" s="11" t="s">
        <v>480</v>
      </c>
    </row>
    <row r="98" spans="1:6" ht="15" customHeight="1">
      <c r="A98" s="11">
        <v>95</v>
      </c>
      <c r="B98" s="11" t="s">
        <v>571</v>
      </c>
      <c r="C98" s="11" t="s">
        <v>452</v>
      </c>
      <c r="D98" s="15" t="s">
        <v>91</v>
      </c>
      <c r="E98" s="11" t="s">
        <v>572</v>
      </c>
      <c r="F98" s="11" t="s">
        <v>480</v>
      </c>
    </row>
    <row r="99" spans="1:6" ht="15" customHeight="1">
      <c r="A99" s="11">
        <v>96</v>
      </c>
      <c r="B99" s="11" t="s">
        <v>573</v>
      </c>
      <c r="C99" s="11" t="s">
        <v>452</v>
      </c>
      <c r="D99" s="15" t="s">
        <v>91</v>
      </c>
      <c r="E99" s="11" t="s">
        <v>479</v>
      </c>
      <c r="F99" s="11" t="s">
        <v>480</v>
      </c>
    </row>
    <row r="100" spans="1:6" ht="15" customHeight="1">
      <c r="A100" s="11">
        <v>97</v>
      </c>
      <c r="B100" s="11" t="s">
        <v>574</v>
      </c>
      <c r="C100" s="11" t="s">
        <v>452</v>
      </c>
      <c r="D100" s="15" t="s">
        <v>91</v>
      </c>
      <c r="E100" s="11" t="s">
        <v>575</v>
      </c>
      <c r="F100" s="11" t="s">
        <v>480</v>
      </c>
    </row>
    <row r="101" spans="1:6" ht="15" customHeight="1">
      <c r="A101" s="11">
        <v>98</v>
      </c>
      <c r="B101" s="11" t="s">
        <v>576</v>
      </c>
      <c r="C101" s="11" t="s">
        <v>452</v>
      </c>
      <c r="D101" s="15" t="s">
        <v>91</v>
      </c>
      <c r="E101" s="11" t="s">
        <v>504</v>
      </c>
      <c r="F101" s="11" t="s">
        <v>480</v>
      </c>
    </row>
    <row r="102" spans="1:6" ht="15" customHeight="1">
      <c r="A102" s="11">
        <v>99</v>
      </c>
      <c r="B102" s="11" t="s">
        <v>577</v>
      </c>
      <c r="C102" s="11" t="s">
        <v>452</v>
      </c>
      <c r="D102" s="15" t="s">
        <v>91</v>
      </c>
      <c r="E102" s="11" t="s">
        <v>578</v>
      </c>
      <c r="F102" s="11" t="s">
        <v>480</v>
      </c>
    </row>
    <row r="103" spans="1:6" ht="15" customHeight="1">
      <c r="A103" s="11">
        <v>100</v>
      </c>
      <c r="B103" s="11" t="s">
        <v>579</v>
      </c>
      <c r="C103" s="11" t="s">
        <v>452</v>
      </c>
      <c r="D103" s="15" t="s">
        <v>91</v>
      </c>
      <c r="E103" s="11" t="s">
        <v>494</v>
      </c>
      <c r="F103" s="11" t="s">
        <v>480</v>
      </c>
    </row>
    <row r="104" spans="1:6" ht="15" customHeight="1">
      <c r="A104" s="11">
        <v>101</v>
      </c>
      <c r="B104" s="11" t="s">
        <v>580</v>
      </c>
      <c r="C104" s="11" t="s">
        <v>452</v>
      </c>
      <c r="D104" s="15" t="s">
        <v>91</v>
      </c>
      <c r="E104" s="11" t="s">
        <v>494</v>
      </c>
      <c r="F104" s="11" t="s">
        <v>480</v>
      </c>
    </row>
    <row r="105" spans="1:6" ht="15" customHeight="1">
      <c r="A105" s="11">
        <v>102</v>
      </c>
      <c r="B105" s="11" t="s">
        <v>581</v>
      </c>
      <c r="C105" s="11" t="s">
        <v>452</v>
      </c>
      <c r="D105" s="15" t="s">
        <v>91</v>
      </c>
      <c r="E105" s="11" t="s">
        <v>494</v>
      </c>
      <c r="F105" s="11" t="s">
        <v>480</v>
      </c>
    </row>
    <row r="106" spans="1:6" ht="15" customHeight="1">
      <c r="A106" s="11">
        <v>103</v>
      </c>
      <c r="B106" s="11" t="s">
        <v>582</v>
      </c>
      <c r="C106" s="11" t="s">
        <v>452</v>
      </c>
      <c r="D106" s="15" t="s">
        <v>91</v>
      </c>
      <c r="E106" s="11" t="s">
        <v>583</v>
      </c>
      <c r="F106" s="11" t="s">
        <v>480</v>
      </c>
    </row>
    <row r="107" spans="1:6" ht="15" customHeight="1">
      <c r="A107" s="11">
        <v>104</v>
      </c>
      <c r="B107" s="11" t="s">
        <v>584</v>
      </c>
      <c r="C107" s="11" t="s">
        <v>452</v>
      </c>
      <c r="D107" s="15" t="s">
        <v>91</v>
      </c>
      <c r="E107" s="11" t="s">
        <v>494</v>
      </c>
      <c r="F107" s="11" t="s">
        <v>480</v>
      </c>
    </row>
    <row r="108" spans="1:6" ht="15" customHeight="1">
      <c r="A108" s="11">
        <v>105</v>
      </c>
      <c r="B108" s="11" t="s">
        <v>585</v>
      </c>
      <c r="C108" s="11" t="s">
        <v>452</v>
      </c>
      <c r="D108" s="15" t="s">
        <v>91</v>
      </c>
      <c r="E108" s="11" t="s">
        <v>586</v>
      </c>
      <c r="F108" s="11" t="s">
        <v>480</v>
      </c>
    </row>
    <row r="109" spans="1:6" ht="15" customHeight="1">
      <c r="A109" s="11">
        <v>106</v>
      </c>
      <c r="B109" s="11" t="s">
        <v>587</v>
      </c>
      <c r="C109" s="11" t="s">
        <v>452</v>
      </c>
      <c r="D109" s="15" t="s">
        <v>91</v>
      </c>
      <c r="E109" s="11" t="s">
        <v>504</v>
      </c>
      <c r="F109" s="11" t="s">
        <v>480</v>
      </c>
    </row>
    <row r="110" spans="1:6" ht="15" customHeight="1">
      <c r="A110" s="11">
        <v>107</v>
      </c>
      <c r="B110" s="11" t="s">
        <v>588</v>
      </c>
      <c r="C110" s="11" t="s">
        <v>452</v>
      </c>
      <c r="D110" s="15" t="s">
        <v>91</v>
      </c>
      <c r="E110" s="11" t="s">
        <v>494</v>
      </c>
      <c r="F110" s="11" t="s">
        <v>480</v>
      </c>
    </row>
    <row r="111" spans="1:6" ht="15" customHeight="1">
      <c r="A111" s="11">
        <v>108</v>
      </c>
      <c r="B111" s="11" t="s">
        <v>589</v>
      </c>
      <c r="C111" s="11" t="s">
        <v>452</v>
      </c>
      <c r="D111" s="15" t="s">
        <v>91</v>
      </c>
      <c r="E111" s="11" t="s">
        <v>494</v>
      </c>
      <c r="F111" s="11" t="s">
        <v>480</v>
      </c>
    </row>
    <row r="112" spans="1:6" ht="15" customHeight="1">
      <c r="A112" s="11">
        <v>109</v>
      </c>
      <c r="B112" s="11" t="s">
        <v>590</v>
      </c>
      <c r="C112" s="11" t="s">
        <v>452</v>
      </c>
      <c r="D112" s="15" t="s">
        <v>91</v>
      </c>
      <c r="E112" s="11" t="s">
        <v>568</v>
      </c>
      <c r="F112" s="11" t="s">
        <v>480</v>
      </c>
    </row>
    <row r="113" spans="1:6" ht="15" customHeight="1">
      <c r="A113" s="11">
        <v>110</v>
      </c>
      <c r="B113" s="11" t="s">
        <v>591</v>
      </c>
      <c r="C113" s="11" t="s">
        <v>452</v>
      </c>
      <c r="D113" s="15" t="s">
        <v>91</v>
      </c>
      <c r="E113" s="11" t="s">
        <v>486</v>
      </c>
      <c r="F113" s="11" t="s">
        <v>480</v>
      </c>
    </row>
    <row r="114" spans="1:6" ht="15" customHeight="1">
      <c r="A114" s="11">
        <v>111</v>
      </c>
      <c r="B114" s="11" t="s">
        <v>592</v>
      </c>
      <c r="C114" s="11" t="s">
        <v>452</v>
      </c>
      <c r="D114" s="15" t="s">
        <v>91</v>
      </c>
      <c r="E114" s="11" t="s">
        <v>593</v>
      </c>
      <c r="F114" s="11" t="s">
        <v>480</v>
      </c>
    </row>
    <row r="115" spans="1:6" ht="15" customHeight="1">
      <c r="A115" s="11">
        <v>112</v>
      </c>
      <c r="B115" s="11" t="s">
        <v>594</v>
      </c>
      <c r="C115" s="11" t="s">
        <v>452</v>
      </c>
      <c r="D115" s="15" t="s">
        <v>91</v>
      </c>
      <c r="E115" s="11" t="s">
        <v>504</v>
      </c>
      <c r="F115" s="11" t="s">
        <v>480</v>
      </c>
    </row>
    <row r="116" spans="1:6" ht="15" customHeight="1">
      <c r="A116" s="11">
        <v>113</v>
      </c>
      <c r="B116" s="11" t="s">
        <v>595</v>
      </c>
      <c r="C116" s="11" t="s">
        <v>452</v>
      </c>
      <c r="D116" s="15" t="s">
        <v>91</v>
      </c>
      <c r="E116" s="11" t="s">
        <v>494</v>
      </c>
      <c r="F116" s="11" t="s">
        <v>480</v>
      </c>
    </row>
    <row r="117" spans="1:6" ht="15" customHeight="1">
      <c r="A117" s="11">
        <v>114</v>
      </c>
      <c r="B117" s="11" t="s">
        <v>596</v>
      </c>
      <c r="C117" s="11" t="s">
        <v>452</v>
      </c>
      <c r="D117" s="15" t="s">
        <v>91</v>
      </c>
      <c r="E117" s="11" t="s">
        <v>494</v>
      </c>
      <c r="F117" s="11" t="s">
        <v>480</v>
      </c>
    </row>
    <row r="118" spans="1:6" ht="15" customHeight="1">
      <c r="A118" s="11">
        <v>115</v>
      </c>
      <c r="B118" s="11" t="s">
        <v>597</v>
      </c>
      <c r="C118" s="11" t="s">
        <v>452</v>
      </c>
      <c r="D118" s="15" t="s">
        <v>91</v>
      </c>
      <c r="E118" s="11" t="s">
        <v>494</v>
      </c>
      <c r="F118" s="11" t="s">
        <v>480</v>
      </c>
    </row>
    <row r="119" spans="1:6" ht="15" customHeight="1">
      <c r="A119" s="11">
        <v>116</v>
      </c>
      <c r="B119" s="11" t="s">
        <v>598</v>
      </c>
      <c r="C119" s="11" t="s">
        <v>452</v>
      </c>
      <c r="D119" s="15" t="s">
        <v>91</v>
      </c>
      <c r="E119" s="11" t="s">
        <v>593</v>
      </c>
      <c r="F119" s="11" t="s">
        <v>480</v>
      </c>
    </row>
    <row r="120" spans="1:6" ht="15" customHeight="1">
      <c r="A120" s="11">
        <v>117</v>
      </c>
      <c r="B120" s="11" t="s">
        <v>599</v>
      </c>
      <c r="C120" s="11" t="s">
        <v>452</v>
      </c>
      <c r="D120" s="15" t="s">
        <v>91</v>
      </c>
      <c r="E120" s="11" t="s">
        <v>494</v>
      </c>
      <c r="F120" s="11" t="s">
        <v>480</v>
      </c>
    </row>
    <row r="121" spans="1:6" ht="15" customHeight="1">
      <c r="A121" s="11">
        <v>118</v>
      </c>
      <c r="B121" s="11" t="s">
        <v>600</v>
      </c>
      <c r="C121" s="11" t="s">
        <v>452</v>
      </c>
      <c r="D121" s="15" t="s">
        <v>91</v>
      </c>
      <c r="E121" s="11" t="s">
        <v>499</v>
      </c>
      <c r="F121" s="11" t="s">
        <v>480</v>
      </c>
    </row>
    <row r="122" spans="1:6" ht="15" customHeight="1">
      <c r="A122" s="11">
        <v>119</v>
      </c>
      <c r="B122" s="11" t="s">
        <v>601</v>
      </c>
      <c r="C122" s="11" t="s">
        <v>452</v>
      </c>
      <c r="D122" s="15" t="s">
        <v>91</v>
      </c>
      <c r="E122" s="11" t="s">
        <v>504</v>
      </c>
      <c r="F122" s="11" t="s">
        <v>480</v>
      </c>
    </row>
    <row r="123" spans="1:6" ht="15" customHeight="1">
      <c r="A123" s="11">
        <v>120</v>
      </c>
      <c r="B123" s="11" t="s">
        <v>602</v>
      </c>
      <c r="C123" s="11" t="s">
        <v>452</v>
      </c>
      <c r="D123" s="15" t="s">
        <v>91</v>
      </c>
      <c r="E123" s="11" t="s">
        <v>504</v>
      </c>
      <c r="F123" s="11" t="s">
        <v>480</v>
      </c>
    </row>
    <row r="124" spans="1:6" ht="15" customHeight="1">
      <c r="A124" s="11">
        <v>121</v>
      </c>
      <c r="B124" s="11" t="s">
        <v>603</v>
      </c>
      <c r="C124" s="11" t="s">
        <v>452</v>
      </c>
      <c r="D124" s="15" t="s">
        <v>91</v>
      </c>
      <c r="E124" s="11" t="s">
        <v>494</v>
      </c>
      <c r="F124" s="11" t="s">
        <v>480</v>
      </c>
    </row>
    <row r="125" spans="1:6" ht="15" customHeight="1">
      <c r="A125" s="11">
        <v>122</v>
      </c>
      <c r="B125" s="11" t="s">
        <v>604</v>
      </c>
      <c r="C125" s="11" t="s">
        <v>452</v>
      </c>
      <c r="D125" s="15" t="s">
        <v>91</v>
      </c>
      <c r="E125" s="11" t="s">
        <v>494</v>
      </c>
      <c r="F125" s="11" t="s">
        <v>480</v>
      </c>
    </row>
    <row r="126" spans="1:6" ht="15" customHeight="1">
      <c r="A126" s="11">
        <v>123</v>
      </c>
      <c r="B126" s="11" t="s">
        <v>605</v>
      </c>
      <c r="C126" s="11" t="s">
        <v>452</v>
      </c>
      <c r="D126" s="15" t="s">
        <v>91</v>
      </c>
      <c r="E126" s="11" t="s">
        <v>486</v>
      </c>
      <c r="F126" s="11" t="s">
        <v>480</v>
      </c>
    </row>
    <row r="127" spans="1:6" ht="15" customHeight="1">
      <c r="A127" s="11">
        <v>124</v>
      </c>
      <c r="B127" s="11" t="s">
        <v>606</v>
      </c>
      <c r="C127" s="11" t="s">
        <v>452</v>
      </c>
      <c r="D127" s="15" t="s">
        <v>91</v>
      </c>
      <c r="E127" s="11" t="s">
        <v>504</v>
      </c>
      <c r="F127" s="11" t="s">
        <v>480</v>
      </c>
    </row>
    <row r="128" spans="1:6" ht="15" customHeight="1">
      <c r="A128" s="11">
        <v>125</v>
      </c>
      <c r="B128" s="11" t="s">
        <v>607</v>
      </c>
      <c r="C128" s="11" t="s">
        <v>452</v>
      </c>
      <c r="D128" s="15" t="s">
        <v>91</v>
      </c>
      <c r="E128" s="11" t="s">
        <v>494</v>
      </c>
      <c r="F128" s="11" t="s">
        <v>480</v>
      </c>
    </row>
    <row r="129" spans="1:6" ht="15" customHeight="1">
      <c r="A129" s="11">
        <v>126</v>
      </c>
      <c r="B129" s="11" t="s">
        <v>608</v>
      </c>
      <c r="C129" s="11" t="s">
        <v>452</v>
      </c>
      <c r="D129" s="15" t="s">
        <v>91</v>
      </c>
      <c r="E129" s="11" t="s">
        <v>504</v>
      </c>
      <c r="F129" s="11" t="s">
        <v>480</v>
      </c>
    </row>
    <row r="130" spans="1:6" ht="15" customHeight="1">
      <c r="D130" s="16"/>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I281"/>
  <sheetViews>
    <sheetView tabSelected="1" topLeftCell="C1" zoomScaleNormal="100" workbookViewId="0">
      <selection activeCell="F61" sqref="F61"/>
    </sheetView>
  </sheetViews>
  <sheetFormatPr defaultColWidth="8.7109375" defaultRowHeight="14.45"/>
  <cols>
    <col min="1" max="1" width="5" customWidth="1"/>
    <col min="2" max="2" width="20" customWidth="1"/>
    <col min="3" max="3" width="112" customWidth="1"/>
    <col min="4" max="4" width="21.28515625" customWidth="1"/>
    <col min="5" max="5" width="23.7109375" customWidth="1"/>
    <col min="6" max="6" width="74.42578125" customWidth="1"/>
    <col min="7" max="7" width="56.28515625" customWidth="1"/>
    <col min="8" max="8" width="15" customWidth="1"/>
    <col min="9" max="9" width="43" customWidth="1"/>
  </cols>
  <sheetData>
    <row r="1" spans="1:9" ht="15.75" customHeight="1">
      <c r="A1" s="46" t="s">
        <v>609</v>
      </c>
      <c r="B1" s="46"/>
      <c r="C1" s="46"/>
      <c r="D1" s="46"/>
      <c r="E1" s="46"/>
      <c r="F1" s="46"/>
      <c r="G1" s="46"/>
      <c r="H1" s="46"/>
      <c r="I1" s="46"/>
    </row>
    <row r="2" spans="1:9" ht="23.25" customHeight="1">
      <c r="A2" s="10" t="s">
        <v>446</v>
      </c>
      <c r="B2" s="10" t="s">
        <v>55</v>
      </c>
      <c r="C2" s="10" t="s">
        <v>57</v>
      </c>
      <c r="D2" s="10" t="s">
        <v>58</v>
      </c>
      <c r="E2" s="10" t="s">
        <v>59</v>
      </c>
      <c r="F2" s="10" t="s">
        <v>60</v>
      </c>
      <c r="G2" s="10" t="s">
        <v>61</v>
      </c>
      <c r="H2" s="10" t="s">
        <v>610</v>
      </c>
      <c r="I2" s="10" t="s">
        <v>611</v>
      </c>
    </row>
    <row r="3" spans="1:9" ht="15" hidden="1" customHeight="1">
      <c r="A3" s="4">
        <v>1</v>
      </c>
      <c r="B3" s="4" t="s">
        <v>8</v>
      </c>
      <c r="C3" s="4" t="s">
        <v>70</v>
      </c>
      <c r="D3" s="4" t="s">
        <v>71</v>
      </c>
      <c r="E3" s="4" t="s">
        <v>612</v>
      </c>
      <c r="F3" s="4" t="s">
        <v>72</v>
      </c>
      <c r="G3" s="4" t="s">
        <v>73</v>
      </c>
      <c r="H3" s="4" t="s">
        <v>76</v>
      </c>
      <c r="I3" s="4" t="s">
        <v>613</v>
      </c>
    </row>
    <row r="4" spans="1:9" ht="15" hidden="1" customHeight="1">
      <c r="A4" s="4">
        <v>2</v>
      </c>
      <c r="B4" s="4" t="s">
        <v>8</v>
      </c>
      <c r="C4" s="4" t="s">
        <v>79</v>
      </c>
      <c r="D4" s="4" t="s">
        <v>80</v>
      </c>
      <c r="E4" s="4" t="s">
        <v>614</v>
      </c>
      <c r="F4" s="17" t="s">
        <v>615</v>
      </c>
      <c r="G4" s="4" t="s">
        <v>79</v>
      </c>
      <c r="H4" s="4" t="s">
        <v>76</v>
      </c>
      <c r="I4" s="4" t="s">
        <v>613</v>
      </c>
    </row>
    <row r="5" spans="1:9" ht="15" hidden="1" customHeight="1">
      <c r="A5" s="4">
        <v>3</v>
      </c>
      <c r="B5" s="4" t="s">
        <v>8</v>
      </c>
      <c r="C5" s="4" t="s">
        <v>83</v>
      </c>
      <c r="D5" s="4" t="s">
        <v>84</v>
      </c>
      <c r="E5" s="4"/>
      <c r="F5" s="4" t="s">
        <v>616</v>
      </c>
      <c r="G5" s="14" t="s">
        <v>85</v>
      </c>
      <c r="H5" s="4" t="s">
        <v>76</v>
      </c>
      <c r="I5" s="4" t="s">
        <v>613</v>
      </c>
    </row>
    <row r="6" spans="1:9" ht="15" hidden="1" customHeight="1">
      <c r="A6" s="4">
        <v>4</v>
      </c>
      <c r="B6" s="4" t="s">
        <v>8</v>
      </c>
      <c r="C6" s="4" t="s">
        <v>93</v>
      </c>
      <c r="D6" s="4" t="s">
        <v>94</v>
      </c>
      <c r="E6" s="4" t="s">
        <v>617</v>
      </c>
      <c r="F6" s="4" t="s">
        <v>618</v>
      </c>
      <c r="G6" s="14" t="s">
        <v>95</v>
      </c>
      <c r="H6" s="4" t="s">
        <v>76</v>
      </c>
      <c r="I6" s="4" t="s">
        <v>613</v>
      </c>
    </row>
    <row r="7" spans="1:9" ht="15" hidden="1" customHeight="1">
      <c r="A7" s="4">
        <v>5</v>
      </c>
      <c r="B7" s="4" t="s">
        <v>8</v>
      </c>
      <c r="C7" s="4" t="s">
        <v>98</v>
      </c>
      <c r="D7" s="4" t="s">
        <v>99</v>
      </c>
      <c r="E7" s="4" t="s">
        <v>619</v>
      </c>
      <c r="F7" s="4" t="s">
        <v>620</v>
      </c>
      <c r="G7" s="14" t="s">
        <v>100</v>
      </c>
      <c r="H7" s="4" t="s">
        <v>76</v>
      </c>
      <c r="I7" s="4" t="s">
        <v>613</v>
      </c>
    </row>
    <row r="8" spans="1:9" ht="15" hidden="1" customHeight="1">
      <c r="A8" s="4">
        <v>6</v>
      </c>
      <c r="B8" s="4" t="s">
        <v>8</v>
      </c>
      <c r="C8" s="4" t="s">
        <v>103</v>
      </c>
      <c r="D8" s="4" t="s">
        <v>104</v>
      </c>
      <c r="E8" s="4" t="s">
        <v>614</v>
      </c>
      <c r="F8" s="4" t="s">
        <v>105</v>
      </c>
      <c r="G8" s="4"/>
      <c r="H8" s="4" t="s">
        <v>76</v>
      </c>
      <c r="I8" s="4" t="s">
        <v>613</v>
      </c>
    </row>
    <row r="9" spans="1:9" ht="15" hidden="1" customHeight="1">
      <c r="A9" s="4">
        <v>7</v>
      </c>
      <c r="B9" s="4" t="s">
        <v>8</v>
      </c>
      <c r="C9" s="4" t="s">
        <v>111</v>
      </c>
      <c r="D9" s="4" t="s">
        <v>112</v>
      </c>
      <c r="E9" s="4" t="s">
        <v>621</v>
      </c>
      <c r="F9" s="4" t="s">
        <v>622</v>
      </c>
      <c r="G9" s="14" t="s">
        <v>113</v>
      </c>
      <c r="H9" s="4" t="s">
        <v>76</v>
      </c>
      <c r="I9" s="4" t="s">
        <v>613</v>
      </c>
    </row>
    <row r="10" spans="1:9" ht="15" customHeight="1">
      <c r="A10" s="4">
        <v>8</v>
      </c>
      <c r="B10" s="4" t="s">
        <v>8</v>
      </c>
      <c r="C10" s="4" t="s">
        <v>116</v>
      </c>
      <c r="D10" s="4"/>
      <c r="E10" s="4" t="s">
        <v>619</v>
      </c>
      <c r="F10" s="4" t="s">
        <v>117</v>
      </c>
      <c r="G10" s="4" t="s">
        <v>118</v>
      </c>
      <c r="H10" s="4" t="s">
        <v>76</v>
      </c>
      <c r="I10" s="4" t="s">
        <v>613</v>
      </c>
    </row>
    <row r="11" spans="1:9" ht="15" hidden="1" customHeight="1">
      <c r="A11" s="4">
        <v>9</v>
      </c>
      <c r="B11" s="4" t="s">
        <v>8</v>
      </c>
      <c r="C11" s="4" t="s">
        <v>121</v>
      </c>
      <c r="D11" s="4" t="s">
        <v>122</v>
      </c>
      <c r="E11" s="4" t="s">
        <v>619</v>
      </c>
      <c r="F11" s="4" t="s">
        <v>623</v>
      </c>
      <c r="G11" s="14" t="s">
        <v>123</v>
      </c>
      <c r="H11" s="4" t="s">
        <v>76</v>
      </c>
      <c r="I11" s="4" t="s">
        <v>613</v>
      </c>
    </row>
    <row r="12" spans="1:9" ht="15" hidden="1" customHeight="1">
      <c r="A12" s="4">
        <v>10</v>
      </c>
      <c r="B12" s="4" t="s">
        <v>8</v>
      </c>
      <c r="C12" s="4" t="s">
        <v>131</v>
      </c>
      <c r="D12" s="4" t="s">
        <v>132</v>
      </c>
      <c r="E12" s="4" t="s">
        <v>614</v>
      </c>
      <c r="F12" s="4" t="s">
        <v>133</v>
      </c>
      <c r="G12" s="4" t="s">
        <v>134</v>
      </c>
      <c r="H12" s="4" t="s">
        <v>76</v>
      </c>
      <c r="I12" s="4" t="s">
        <v>613</v>
      </c>
    </row>
    <row r="13" spans="1:9" ht="15" hidden="1" customHeight="1">
      <c r="A13" s="4">
        <v>11</v>
      </c>
      <c r="B13" s="4" t="s">
        <v>8</v>
      </c>
      <c r="C13" s="4" t="s">
        <v>137</v>
      </c>
      <c r="D13" s="4" t="s">
        <v>138</v>
      </c>
      <c r="E13" s="4" t="s">
        <v>624</v>
      </c>
      <c r="F13" s="4" t="s">
        <v>625</v>
      </c>
      <c r="G13" s="14" t="s">
        <v>139</v>
      </c>
      <c r="H13" s="4" t="s">
        <v>76</v>
      </c>
      <c r="I13" s="4" t="s">
        <v>613</v>
      </c>
    </row>
    <row r="14" spans="1:9" ht="15" hidden="1" customHeight="1">
      <c r="A14" s="4">
        <v>12</v>
      </c>
      <c r="B14" s="4" t="s">
        <v>8</v>
      </c>
      <c r="C14" s="4" t="s">
        <v>142</v>
      </c>
      <c r="D14" s="4" t="s">
        <v>143</v>
      </c>
      <c r="E14" s="4" t="s">
        <v>617</v>
      </c>
      <c r="F14" s="4" t="s">
        <v>144</v>
      </c>
      <c r="G14" s="4" t="s">
        <v>145</v>
      </c>
      <c r="H14" s="4" t="s">
        <v>76</v>
      </c>
      <c r="I14" s="4" t="s">
        <v>613</v>
      </c>
    </row>
    <row r="15" spans="1:9" ht="15" hidden="1" customHeight="1">
      <c r="A15" s="4">
        <v>13</v>
      </c>
      <c r="B15" s="4" t="s">
        <v>8</v>
      </c>
      <c r="C15" s="4" t="s">
        <v>148</v>
      </c>
      <c r="D15" s="4" t="s">
        <v>149</v>
      </c>
      <c r="E15" s="4" t="s">
        <v>617</v>
      </c>
      <c r="F15" s="4" t="s">
        <v>150</v>
      </c>
      <c r="G15" s="4" t="s">
        <v>151</v>
      </c>
      <c r="H15" s="4" t="s">
        <v>76</v>
      </c>
      <c r="I15" s="4" t="s">
        <v>613</v>
      </c>
    </row>
    <row r="16" spans="1:9" ht="15" customHeight="1">
      <c r="A16" s="4">
        <v>14</v>
      </c>
      <c r="B16" s="4" t="s">
        <v>8</v>
      </c>
      <c r="C16" s="4" t="s">
        <v>154</v>
      </c>
      <c r="D16" s="4"/>
      <c r="E16" s="4" t="s">
        <v>621</v>
      </c>
      <c r="F16" s="4" t="s">
        <v>155</v>
      </c>
      <c r="G16" s="4" t="s">
        <v>156</v>
      </c>
      <c r="H16" s="4" t="s">
        <v>76</v>
      </c>
      <c r="I16" s="4" t="s">
        <v>613</v>
      </c>
    </row>
    <row r="17" spans="1:9" ht="15" hidden="1" customHeight="1">
      <c r="A17" s="4">
        <v>15</v>
      </c>
      <c r="B17" s="4" t="s">
        <v>8</v>
      </c>
      <c r="C17" s="4" t="s">
        <v>158</v>
      </c>
      <c r="D17" s="4" t="s">
        <v>159</v>
      </c>
      <c r="E17" s="4" t="s">
        <v>626</v>
      </c>
      <c r="F17" s="4" t="s">
        <v>160</v>
      </c>
      <c r="G17" s="4" t="s">
        <v>161</v>
      </c>
      <c r="H17" s="4" t="s">
        <v>76</v>
      </c>
      <c r="I17" s="4" t="s">
        <v>613</v>
      </c>
    </row>
    <row r="18" spans="1:9" ht="15" hidden="1" customHeight="1">
      <c r="A18" s="4">
        <v>16</v>
      </c>
      <c r="B18" s="4" t="s">
        <v>8</v>
      </c>
      <c r="C18" s="4" t="s">
        <v>170</v>
      </c>
      <c r="D18" s="4" t="s">
        <v>171</v>
      </c>
      <c r="E18" s="4" t="s">
        <v>626</v>
      </c>
      <c r="F18" s="4" t="s">
        <v>160</v>
      </c>
      <c r="G18" s="4" t="s">
        <v>172</v>
      </c>
      <c r="H18" s="4" t="s">
        <v>76</v>
      </c>
      <c r="I18" s="4" t="s">
        <v>613</v>
      </c>
    </row>
    <row r="19" spans="1:9" ht="15" customHeight="1">
      <c r="A19" s="4">
        <v>17</v>
      </c>
      <c r="B19" s="4" t="s">
        <v>8</v>
      </c>
      <c r="C19" s="4" t="s">
        <v>175</v>
      </c>
      <c r="D19" s="4"/>
      <c r="E19" s="4" t="s">
        <v>614</v>
      </c>
      <c r="F19" s="4" t="s">
        <v>627</v>
      </c>
      <c r="G19" s="14" t="s">
        <v>176</v>
      </c>
      <c r="H19" s="4" t="s">
        <v>76</v>
      </c>
      <c r="I19" s="4" t="s">
        <v>613</v>
      </c>
    </row>
    <row r="20" spans="1:9" ht="15" hidden="1" customHeight="1">
      <c r="A20" s="4">
        <v>18</v>
      </c>
      <c r="B20" s="4" t="s">
        <v>8</v>
      </c>
      <c r="C20" s="4" t="s">
        <v>179</v>
      </c>
      <c r="D20" s="4" t="s">
        <v>180</v>
      </c>
      <c r="E20" s="4" t="s">
        <v>614</v>
      </c>
      <c r="F20" s="4" t="s">
        <v>181</v>
      </c>
      <c r="G20" s="4" t="s">
        <v>182</v>
      </c>
      <c r="H20" s="4" t="s">
        <v>76</v>
      </c>
      <c r="I20" s="4" t="s">
        <v>613</v>
      </c>
    </row>
    <row r="21" spans="1:9" ht="15" hidden="1" customHeight="1">
      <c r="A21" s="4">
        <v>19</v>
      </c>
      <c r="B21" s="4" t="s">
        <v>8</v>
      </c>
      <c r="C21" s="4" t="s">
        <v>185</v>
      </c>
      <c r="D21" s="4" t="s">
        <v>186</v>
      </c>
      <c r="E21" s="4" t="s">
        <v>626</v>
      </c>
      <c r="F21" s="4" t="s">
        <v>628</v>
      </c>
      <c r="G21" s="14" t="s">
        <v>187</v>
      </c>
      <c r="H21" s="4" t="s">
        <v>76</v>
      </c>
      <c r="I21" s="4" t="s">
        <v>613</v>
      </c>
    </row>
    <row r="22" spans="1:9" ht="15" customHeight="1">
      <c r="A22" s="4">
        <v>20</v>
      </c>
      <c r="B22" s="4" t="s">
        <v>8</v>
      </c>
      <c r="C22" s="4" t="s">
        <v>189</v>
      </c>
      <c r="D22" s="4"/>
      <c r="E22" s="4" t="s">
        <v>619</v>
      </c>
      <c r="F22" s="4" t="s">
        <v>190</v>
      </c>
      <c r="G22" s="4" t="s">
        <v>191</v>
      </c>
      <c r="H22" s="4" t="s">
        <v>76</v>
      </c>
      <c r="I22" s="4" t="s">
        <v>629</v>
      </c>
    </row>
    <row r="23" spans="1:9" ht="15" hidden="1" customHeight="1">
      <c r="A23" s="4">
        <v>21</v>
      </c>
      <c r="B23" s="4" t="s">
        <v>8</v>
      </c>
      <c r="C23" s="4" t="s">
        <v>202</v>
      </c>
      <c r="D23" s="4" t="s">
        <v>203</v>
      </c>
      <c r="E23" s="4" t="s">
        <v>626</v>
      </c>
      <c r="F23" s="4" t="s">
        <v>150</v>
      </c>
      <c r="G23" s="4" t="s">
        <v>204</v>
      </c>
      <c r="H23" s="4" t="s">
        <v>76</v>
      </c>
      <c r="I23" s="4" t="s">
        <v>613</v>
      </c>
    </row>
    <row r="24" spans="1:9" ht="15" hidden="1" customHeight="1">
      <c r="A24" s="4">
        <v>22</v>
      </c>
      <c r="B24" s="4" t="s">
        <v>8</v>
      </c>
      <c r="C24" s="4" t="s">
        <v>207</v>
      </c>
      <c r="D24" s="4" t="s">
        <v>208</v>
      </c>
      <c r="E24" s="4" t="s">
        <v>621</v>
      </c>
      <c r="F24" s="4" t="s">
        <v>209</v>
      </c>
      <c r="G24" s="4" t="s">
        <v>210</v>
      </c>
      <c r="H24" s="4" t="s">
        <v>76</v>
      </c>
      <c r="I24" s="4" t="s">
        <v>613</v>
      </c>
    </row>
    <row r="25" spans="1:9" ht="15" hidden="1" customHeight="1">
      <c r="A25" s="4">
        <v>23</v>
      </c>
      <c r="B25" s="4" t="s">
        <v>8</v>
      </c>
      <c r="C25" s="4" t="s">
        <v>217</v>
      </c>
      <c r="D25" s="4" t="s">
        <v>218</v>
      </c>
      <c r="E25" s="4" t="s">
        <v>621</v>
      </c>
      <c r="F25" s="4" t="s">
        <v>630</v>
      </c>
      <c r="G25" s="14" t="s">
        <v>219</v>
      </c>
      <c r="H25" s="4" t="s">
        <v>76</v>
      </c>
      <c r="I25" s="4" t="s">
        <v>613</v>
      </c>
    </row>
    <row r="26" spans="1:9" ht="15" hidden="1" customHeight="1">
      <c r="A26" s="4">
        <v>24</v>
      </c>
      <c r="B26" s="4" t="s">
        <v>8</v>
      </c>
      <c r="C26" s="4" t="s">
        <v>222</v>
      </c>
      <c r="D26" s="4" t="s">
        <v>223</v>
      </c>
      <c r="E26" s="4" t="s">
        <v>617</v>
      </c>
      <c r="F26" s="4" t="s">
        <v>150</v>
      </c>
      <c r="G26" s="4" t="s">
        <v>224</v>
      </c>
      <c r="H26" s="4" t="s">
        <v>76</v>
      </c>
      <c r="I26" s="4" t="s">
        <v>613</v>
      </c>
    </row>
    <row r="27" spans="1:9" ht="15" hidden="1" customHeight="1">
      <c r="A27" s="4">
        <v>25</v>
      </c>
      <c r="B27" s="4" t="s">
        <v>8</v>
      </c>
      <c r="C27" s="4" t="s">
        <v>227</v>
      </c>
      <c r="D27" s="4" t="s">
        <v>228</v>
      </c>
      <c r="E27" s="4" t="s">
        <v>621</v>
      </c>
      <c r="F27" s="4" t="s">
        <v>229</v>
      </c>
      <c r="G27" s="4" t="s">
        <v>230</v>
      </c>
      <c r="H27" s="4" t="s">
        <v>76</v>
      </c>
      <c r="I27" s="4" t="s">
        <v>613</v>
      </c>
    </row>
    <row r="28" spans="1:9" ht="15" hidden="1" customHeight="1">
      <c r="A28" s="4">
        <v>26</v>
      </c>
      <c r="B28" s="4" t="s">
        <v>8</v>
      </c>
      <c r="C28" s="4" t="s">
        <v>233</v>
      </c>
      <c r="D28" s="4" t="s">
        <v>234</v>
      </c>
      <c r="E28" s="4"/>
      <c r="F28" s="4" t="s">
        <v>631</v>
      </c>
      <c r="G28" s="14" t="s">
        <v>235</v>
      </c>
      <c r="H28" s="4" t="s">
        <v>76</v>
      </c>
      <c r="I28" s="4" t="s">
        <v>613</v>
      </c>
    </row>
    <row r="29" spans="1:9" ht="15" hidden="1" customHeight="1">
      <c r="A29" s="4">
        <v>27</v>
      </c>
      <c r="B29" s="4" t="s">
        <v>8</v>
      </c>
      <c r="C29" s="4" t="s">
        <v>238</v>
      </c>
      <c r="D29" s="4" t="s">
        <v>239</v>
      </c>
      <c r="E29" s="4" t="s">
        <v>614</v>
      </c>
      <c r="F29" s="4" t="s">
        <v>632</v>
      </c>
      <c r="G29" s="14" t="s">
        <v>240</v>
      </c>
      <c r="H29" s="4" t="s">
        <v>76</v>
      </c>
      <c r="I29" s="4" t="s">
        <v>613</v>
      </c>
    </row>
    <row r="30" spans="1:9" ht="15" hidden="1" customHeight="1">
      <c r="A30" s="4">
        <v>28</v>
      </c>
      <c r="B30" s="4" t="s">
        <v>8</v>
      </c>
      <c r="C30" s="4" t="s">
        <v>243</v>
      </c>
      <c r="D30" s="4" t="s">
        <v>244</v>
      </c>
      <c r="E30" s="4"/>
      <c r="F30" s="4"/>
      <c r="G30" s="4"/>
      <c r="H30" s="4" t="s">
        <v>76</v>
      </c>
      <c r="I30" s="4" t="s">
        <v>613</v>
      </c>
    </row>
    <row r="31" spans="1:9" ht="15" hidden="1" customHeight="1">
      <c r="A31" s="4">
        <v>29</v>
      </c>
      <c r="B31" s="4" t="s">
        <v>8</v>
      </c>
      <c r="C31" s="4" t="s">
        <v>246</v>
      </c>
      <c r="D31" s="4" t="s">
        <v>247</v>
      </c>
      <c r="E31" s="4" t="s">
        <v>621</v>
      </c>
      <c r="F31" s="4" t="s">
        <v>633</v>
      </c>
      <c r="G31" s="14" t="s">
        <v>248</v>
      </c>
      <c r="H31" s="4" t="s">
        <v>76</v>
      </c>
      <c r="I31" s="4" t="s">
        <v>613</v>
      </c>
    </row>
    <row r="32" spans="1:9" ht="15" hidden="1" customHeight="1">
      <c r="A32" s="4">
        <v>30</v>
      </c>
      <c r="B32" s="4" t="s">
        <v>8</v>
      </c>
      <c r="C32" s="4" t="s">
        <v>251</v>
      </c>
      <c r="D32" s="4" t="s">
        <v>252</v>
      </c>
      <c r="E32" s="4" t="s">
        <v>619</v>
      </c>
      <c r="F32" s="4"/>
      <c r="G32" s="4"/>
      <c r="H32" s="4" t="s">
        <v>76</v>
      </c>
      <c r="I32" s="4" t="s">
        <v>613</v>
      </c>
    </row>
    <row r="33" spans="1:9" ht="15" hidden="1" customHeight="1">
      <c r="A33" s="4">
        <v>31</v>
      </c>
      <c r="B33" s="4" t="s">
        <v>8</v>
      </c>
      <c r="C33" s="4" t="s">
        <v>254</v>
      </c>
      <c r="D33" s="4" t="s">
        <v>255</v>
      </c>
      <c r="E33" s="4" t="s">
        <v>621</v>
      </c>
      <c r="F33" s="4" t="s">
        <v>634</v>
      </c>
      <c r="G33" s="14" t="s">
        <v>256</v>
      </c>
      <c r="H33" s="4" t="s">
        <v>76</v>
      </c>
      <c r="I33" s="4" t="s">
        <v>613</v>
      </c>
    </row>
    <row r="34" spans="1:9" ht="15" hidden="1" customHeight="1">
      <c r="A34" s="4">
        <v>32</v>
      </c>
      <c r="B34" s="4" t="s">
        <v>8</v>
      </c>
      <c r="C34" s="4" t="s">
        <v>259</v>
      </c>
      <c r="D34" s="4" t="s">
        <v>260</v>
      </c>
      <c r="E34" s="4" t="s">
        <v>614</v>
      </c>
      <c r="F34" s="4" t="s">
        <v>261</v>
      </c>
      <c r="G34" s="4" t="s">
        <v>262</v>
      </c>
      <c r="H34" s="4" t="s">
        <v>76</v>
      </c>
      <c r="I34" s="4" t="s">
        <v>613</v>
      </c>
    </row>
    <row r="35" spans="1:9" ht="15" hidden="1" customHeight="1">
      <c r="A35" s="4">
        <v>33</v>
      </c>
      <c r="B35" s="4" t="s">
        <v>8</v>
      </c>
      <c r="C35" s="4" t="s">
        <v>264</v>
      </c>
      <c r="D35" s="4" t="s">
        <v>265</v>
      </c>
      <c r="E35" s="4"/>
      <c r="F35" s="4"/>
      <c r="G35" s="4"/>
      <c r="H35" s="4" t="s">
        <v>76</v>
      </c>
      <c r="I35" s="4" t="s">
        <v>613</v>
      </c>
    </row>
    <row r="36" spans="1:9" ht="15" hidden="1" customHeight="1">
      <c r="A36" s="4">
        <v>34</v>
      </c>
      <c r="B36" s="4" t="s">
        <v>8</v>
      </c>
      <c r="C36" s="4" t="s">
        <v>267</v>
      </c>
      <c r="D36" s="4" t="s">
        <v>268</v>
      </c>
      <c r="E36" s="4" t="s">
        <v>635</v>
      </c>
      <c r="F36" s="4" t="s">
        <v>269</v>
      </c>
      <c r="G36" s="4"/>
      <c r="H36" s="4" t="s">
        <v>76</v>
      </c>
      <c r="I36" s="4" t="s">
        <v>613</v>
      </c>
    </row>
    <row r="37" spans="1:9" ht="15" hidden="1" customHeight="1">
      <c r="A37" s="4">
        <v>35</v>
      </c>
      <c r="B37" s="4" t="s">
        <v>8</v>
      </c>
      <c r="C37" s="4" t="s">
        <v>271</v>
      </c>
      <c r="D37" s="4" t="s">
        <v>272</v>
      </c>
      <c r="E37" s="4" t="s">
        <v>621</v>
      </c>
      <c r="F37" s="4" t="s">
        <v>271</v>
      </c>
      <c r="G37" s="14" t="s">
        <v>273</v>
      </c>
      <c r="H37" s="4" t="s">
        <v>76</v>
      </c>
      <c r="I37" s="4" t="s">
        <v>613</v>
      </c>
    </row>
    <row r="38" spans="1:9" ht="15" hidden="1" customHeight="1">
      <c r="A38" s="4">
        <v>36</v>
      </c>
      <c r="B38" s="4" t="s">
        <v>8</v>
      </c>
      <c r="C38" s="4" t="s">
        <v>276</v>
      </c>
      <c r="D38" s="4" t="s">
        <v>277</v>
      </c>
      <c r="E38" s="4" t="s">
        <v>635</v>
      </c>
      <c r="F38" s="4" t="s">
        <v>278</v>
      </c>
      <c r="G38" s="4" t="s">
        <v>279</v>
      </c>
      <c r="H38" s="4" t="s">
        <v>76</v>
      </c>
      <c r="I38" s="4" t="s">
        <v>613</v>
      </c>
    </row>
    <row r="39" spans="1:9" ht="15" hidden="1" customHeight="1">
      <c r="A39" s="4">
        <v>37</v>
      </c>
      <c r="B39" s="4" t="s">
        <v>8</v>
      </c>
      <c r="C39" s="4" t="s">
        <v>282</v>
      </c>
      <c r="D39" s="4" t="s">
        <v>283</v>
      </c>
      <c r="E39" s="4" t="s">
        <v>621</v>
      </c>
      <c r="F39" s="4"/>
      <c r="G39" s="4"/>
      <c r="H39" s="4" t="s">
        <v>76</v>
      </c>
      <c r="I39" s="4" t="s">
        <v>613</v>
      </c>
    </row>
    <row r="40" spans="1:9" ht="15" hidden="1" customHeight="1">
      <c r="A40" s="4">
        <v>38</v>
      </c>
      <c r="B40" s="4" t="s">
        <v>8</v>
      </c>
      <c r="C40" s="4" t="s">
        <v>286</v>
      </c>
      <c r="D40" s="4" t="s">
        <v>287</v>
      </c>
      <c r="E40" s="4" t="s">
        <v>636</v>
      </c>
      <c r="F40" s="4" t="s">
        <v>288</v>
      </c>
      <c r="G40" s="4" t="s">
        <v>289</v>
      </c>
      <c r="H40" s="4" t="s">
        <v>76</v>
      </c>
      <c r="I40" s="4" t="s">
        <v>613</v>
      </c>
    </row>
    <row r="41" spans="1:9" ht="15" hidden="1" customHeight="1">
      <c r="A41" s="4">
        <v>39</v>
      </c>
      <c r="B41" s="4" t="s">
        <v>8</v>
      </c>
      <c r="C41" s="4" t="s">
        <v>291</v>
      </c>
      <c r="D41" s="4" t="s">
        <v>292</v>
      </c>
      <c r="E41" s="4" t="s">
        <v>617</v>
      </c>
      <c r="F41" s="4"/>
      <c r="G41" s="14" t="s">
        <v>293</v>
      </c>
      <c r="H41" s="4" t="s">
        <v>76</v>
      </c>
      <c r="I41" s="4" t="s">
        <v>613</v>
      </c>
    </row>
    <row r="42" spans="1:9" ht="15" hidden="1" customHeight="1">
      <c r="A42" s="4">
        <v>40</v>
      </c>
      <c r="B42" s="4" t="s">
        <v>8</v>
      </c>
      <c r="C42" s="4" t="s">
        <v>296</v>
      </c>
      <c r="D42" s="4" t="s">
        <v>297</v>
      </c>
      <c r="E42" s="4" t="s">
        <v>621</v>
      </c>
      <c r="F42" s="4" t="s">
        <v>296</v>
      </c>
      <c r="G42" s="14" t="s">
        <v>298</v>
      </c>
      <c r="H42" s="4" t="s">
        <v>76</v>
      </c>
      <c r="I42" s="4" t="s">
        <v>613</v>
      </c>
    </row>
    <row r="43" spans="1:9" ht="15" hidden="1" customHeight="1">
      <c r="A43" s="4">
        <v>41</v>
      </c>
      <c r="B43" s="4" t="s">
        <v>8</v>
      </c>
      <c r="C43" s="4" t="s">
        <v>300</v>
      </c>
      <c r="D43" s="4" t="s">
        <v>301</v>
      </c>
      <c r="E43" s="4" t="s">
        <v>637</v>
      </c>
      <c r="F43" s="4" t="s">
        <v>302</v>
      </c>
      <c r="G43" s="4"/>
      <c r="H43" s="4" t="s">
        <v>76</v>
      </c>
      <c r="I43" s="4" t="s">
        <v>613</v>
      </c>
    </row>
    <row r="44" spans="1:9" ht="15" hidden="1" customHeight="1">
      <c r="A44" s="4">
        <v>42</v>
      </c>
      <c r="B44" s="4" t="s">
        <v>8</v>
      </c>
      <c r="C44" s="4" t="s">
        <v>304</v>
      </c>
      <c r="D44" s="4" t="s">
        <v>305</v>
      </c>
      <c r="E44" s="4" t="s">
        <v>614</v>
      </c>
      <c r="F44" s="4"/>
      <c r="G44" s="4"/>
      <c r="H44" s="4" t="s">
        <v>76</v>
      </c>
      <c r="I44" s="4" t="s">
        <v>613</v>
      </c>
    </row>
    <row r="45" spans="1:9" ht="15" customHeight="1">
      <c r="A45" s="4">
        <v>43</v>
      </c>
      <c r="B45" s="4" t="s">
        <v>8</v>
      </c>
      <c r="C45" s="4" t="s">
        <v>311</v>
      </c>
      <c r="D45" s="4"/>
      <c r="E45" s="45">
        <v>2023</v>
      </c>
      <c r="F45" s="4" t="s">
        <v>638</v>
      </c>
      <c r="G45" s="44" t="s">
        <v>639</v>
      </c>
      <c r="H45" s="4" t="s">
        <v>76</v>
      </c>
      <c r="I45" s="4" t="s">
        <v>613</v>
      </c>
    </row>
    <row r="46" spans="1:9" ht="15" hidden="1" customHeight="1">
      <c r="A46" s="4">
        <v>44</v>
      </c>
      <c r="B46" s="4" t="s">
        <v>8</v>
      </c>
      <c r="C46" s="4" t="s">
        <v>314</v>
      </c>
      <c r="D46" s="4" t="s">
        <v>315</v>
      </c>
      <c r="E46" s="4" t="s">
        <v>614</v>
      </c>
      <c r="F46" s="4" t="s">
        <v>316</v>
      </c>
      <c r="G46" s="4" t="s">
        <v>317</v>
      </c>
      <c r="H46" s="4" t="s">
        <v>76</v>
      </c>
      <c r="I46" s="4" t="s">
        <v>613</v>
      </c>
    </row>
    <row r="47" spans="1:9" ht="15" hidden="1" customHeight="1">
      <c r="A47" s="4">
        <v>45</v>
      </c>
      <c r="B47" s="4" t="s">
        <v>8</v>
      </c>
      <c r="C47" s="4" t="s">
        <v>319</v>
      </c>
      <c r="D47" s="4" t="s">
        <v>320</v>
      </c>
      <c r="E47" s="4" t="s">
        <v>612</v>
      </c>
      <c r="F47" s="4"/>
      <c r="G47" s="4"/>
      <c r="H47" s="4" t="s">
        <v>76</v>
      </c>
      <c r="I47" s="4" t="s">
        <v>613</v>
      </c>
    </row>
    <row r="48" spans="1:9" ht="15" hidden="1" customHeight="1">
      <c r="A48" s="4">
        <v>46</v>
      </c>
      <c r="B48" s="4" t="s">
        <v>8</v>
      </c>
      <c r="C48" s="4" t="s">
        <v>322</v>
      </c>
      <c r="D48" s="4" t="s">
        <v>323</v>
      </c>
      <c r="E48" s="4" t="s">
        <v>619</v>
      </c>
      <c r="F48" s="4"/>
      <c r="G48" s="4"/>
      <c r="H48" s="4" t="s">
        <v>76</v>
      </c>
      <c r="I48" s="4" t="s">
        <v>613</v>
      </c>
    </row>
    <row r="49" spans="1:9" ht="15" hidden="1" customHeight="1">
      <c r="A49" s="4">
        <v>47</v>
      </c>
      <c r="B49" s="4" t="s">
        <v>8</v>
      </c>
      <c r="C49" s="4" t="s">
        <v>325</v>
      </c>
      <c r="D49" s="4" t="s">
        <v>326</v>
      </c>
      <c r="E49" s="4" t="s">
        <v>624</v>
      </c>
      <c r="F49" s="4"/>
      <c r="G49" s="4" t="s">
        <v>327</v>
      </c>
      <c r="H49" s="4" t="s">
        <v>76</v>
      </c>
      <c r="I49" s="4" t="s">
        <v>613</v>
      </c>
    </row>
    <row r="50" spans="1:9" ht="15" hidden="1" customHeight="1">
      <c r="A50" s="4">
        <v>48</v>
      </c>
      <c r="B50" s="4" t="s">
        <v>8</v>
      </c>
      <c r="C50" s="4" t="s">
        <v>330</v>
      </c>
      <c r="D50" s="4" t="s">
        <v>331</v>
      </c>
      <c r="E50" s="4" t="s">
        <v>640</v>
      </c>
      <c r="F50" s="4" t="s">
        <v>332</v>
      </c>
      <c r="G50" s="4" t="s">
        <v>333</v>
      </c>
      <c r="H50" s="4" t="s">
        <v>76</v>
      </c>
      <c r="I50" s="4" t="s">
        <v>613</v>
      </c>
    </row>
    <row r="51" spans="1:9" ht="15" hidden="1" customHeight="1">
      <c r="A51" s="4">
        <v>49</v>
      </c>
      <c r="B51" s="4" t="s">
        <v>8</v>
      </c>
      <c r="C51" s="4" t="s">
        <v>335</v>
      </c>
      <c r="D51" s="4" t="s">
        <v>336</v>
      </c>
      <c r="E51" s="4" t="s">
        <v>621</v>
      </c>
      <c r="F51" s="4"/>
      <c r="G51" s="4"/>
      <c r="H51" s="4" t="s">
        <v>76</v>
      </c>
      <c r="I51" s="4" t="s">
        <v>613</v>
      </c>
    </row>
    <row r="52" spans="1:9" ht="15" hidden="1" customHeight="1">
      <c r="A52" s="4">
        <v>50</v>
      </c>
      <c r="B52" s="4" t="s">
        <v>8</v>
      </c>
      <c r="C52" s="4" t="s">
        <v>339</v>
      </c>
      <c r="D52" s="4" t="s">
        <v>340</v>
      </c>
      <c r="E52" s="4" t="s">
        <v>621</v>
      </c>
      <c r="F52" s="4" t="s">
        <v>341</v>
      </c>
      <c r="G52" s="4" t="s">
        <v>342</v>
      </c>
      <c r="H52" s="4" t="s">
        <v>76</v>
      </c>
      <c r="I52" s="4" t="s">
        <v>629</v>
      </c>
    </row>
    <row r="53" spans="1:9" ht="15" hidden="1" customHeight="1">
      <c r="A53" s="4">
        <v>51</v>
      </c>
      <c r="B53" s="4" t="s">
        <v>8</v>
      </c>
      <c r="C53" s="4" t="s">
        <v>344</v>
      </c>
      <c r="D53" s="4" t="s">
        <v>345</v>
      </c>
      <c r="E53" s="4" t="s">
        <v>621</v>
      </c>
      <c r="F53" s="4" t="s">
        <v>346</v>
      </c>
      <c r="G53" s="4" t="s">
        <v>347</v>
      </c>
      <c r="H53" s="4" t="s">
        <v>76</v>
      </c>
      <c r="I53" s="4" t="s">
        <v>613</v>
      </c>
    </row>
    <row r="54" spans="1:9" ht="15" hidden="1" customHeight="1">
      <c r="A54" s="4">
        <v>52</v>
      </c>
      <c r="B54" s="4" t="s">
        <v>8</v>
      </c>
      <c r="C54" s="4" t="s">
        <v>349</v>
      </c>
      <c r="D54" s="4" t="s">
        <v>350</v>
      </c>
      <c r="E54" s="4" t="s">
        <v>621</v>
      </c>
      <c r="F54" s="4" t="s">
        <v>641</v>
      </c>
      <c r="G54" s="14" t="s">
        <v>351</v>
      </c>
      <c r="H54" s="4" t="s">
        <v>76</v>
      </c>
      <c r="I54" s="4" t="s">
        <v>613</v>
      </c>
    </row>
    <row r="55" spans="1:9" ht="15" hidden="1" customHeight="1">
      <c r="A55" s="4">
        <v>53</v>
      </c>
      <c r="B55" s="4" t="s">
        <v>8</v>
      </c>
      <c r="C55" s="4" t="s">
        <v>353</v>
      </c>
      <c r="D55" s="4" t="s">
        <v>354</v>
      </c>
      <c r="E55" s="4" t="s">
        <v>621</v>
      </c>
      <c r="F55" s="4" t="s">
        <v>355</v>
      </c>
      <c r="G55" s="4" t="s">
        <v>356</v>
      </c>
      <c r="H55" s="4" t="s">
        <v>76</v>
      </c>
      <c r="I55" s="4" t="s">
        <v>613</v>
      </c>
    </row>
    <row r="56" spans="1:9" ht="15" hidden="1" customHeight="1">
      <c r="A56" s="4">
        <v>54</v>
      </c>
      <c r="B56" s="4" t="s">
        <v>8</v>
      </c>
      <c r="C56" s="4" t="s">
        <v>359</v>
      </c>
      <c r="D56" s="4" t="s">
        <v>360</v>
      </c>
      <c r="E56" s="4" t="s">
        <v>621</v>
      </c>
      <c r="F56" s="4" t="s">
        <v>361</v>
      </c>
      <c r="G56" s="4" t="s">
        <v>362</v>
      </c>
      <c r="H56" s="4" t="s">
        <v>76</v>
      </c>
      <c r="I56" s="4" t="s">
        <v>613</v>
      </c>
    </row>
    <row r="57" spans="1:9" ht="15" hidden="1" customHeight="1">
      <c r="A57" s="4">
        <v>55</v>
      </c>
      <c r="B57" s="4" t="s">
        <v>8</v>
      </c>
      <c r="C57" s="4" t="s">
        <v>364</v>
      </c>
      <c r="D57" s="4" t="s">
        <v>365</v>
      </c>
      <c r="E57" s="4" t="s">
        <v>617</v>
      </c>
      <c r="F57" s="4"/>
      <c r="G57" s="14" t="s">
        <v>366</v>
      </c>
      <c r="H57" s="4" t="s">
        <v>76</v>
      </c>
      <c r="I57" s="4" t="s">
        <v>613</v>
      </c>
    </row>
    <row r="58" spans="1:9" ht="15" hidden="1" customHeight="1">
      <c r="A58" s="4">
        <v>56</v>
      </c>
      <c r="B58" s="4" t="s">
        <v>8</v>
      </c>
      <c r="C58" s="4" t="s">
        <v>369</v>
      </c>
      <c r="D58" s="4" t="s">
        <v>370</v>
      </c>
      <c r="E58" s="4" t="s">
        <v>621</v>
      </c>
      <c r="F58" s="4" t="s">
        <v>346</v>
      </c>
      <c r="G58" s="4" t="s">
        <v>371</v>
      </c>
      <c r="H58" s="4" t="s">
        <v>76</v>
      </c>
      <c r="I58" s="4" t="s">
        <v>613</v>
      </c>
    </row>
    <row r="59" spans="1:9" ht="15" hidden="1" customHeight="1">
      <c r="A59" s="4">
        <v>57</v>
      </c>
      <c r="B59" s="4" t="s">
        <v>8</v>
      </c>
      <c r="C59" s="4" t="s">
        <v>378</v>
      </c>
      <c r="D59" s="4" t="s">
        <v>379</v>
      </c>
      <c r="E59" s="4" t="s">
        <v>621</v>
      </c>
      <c r="F59" s="4" t="s">
        <v>361</v>
      </c>
      <c r="G59" s="4" t="s">
        <v>380</v>
      </c>
      <c r="H59" s="4" t="s">
        <v>76</v>
      </c>
      <c r="I59" s="4" t="s">
        <v>613</v>
      </c>
    </row>
    <row r="60" spans="1:9" ht="15" hidden="1" customHeight="1">
      <c r="A60" s="4">
        <v>58</v>
      </c>
      <c r="B60" s="4" t="s">
        <v>8</v>
      </c>
      <c r="C60" s="4" t="s">
        <v>387</v>
      </c>
      <c r="D60" s="4" t="s">
        <v>208</v>
      </c>
      <c r="E60" s="4" t="s">
        <v>621</v>
      </c>
      <c r="F60" s="4" t="s">
        <v>209</v>
      </c>
      <c r="G60" s="4" t="s">
        <v>388</v>
      </c>
      <c r="H60" s="4" t="s">
        <v>76</v>
      </c>
      <c r="I60" s="4" t="s">
        <v>613</v>
      </c>
    </row>
    <row r="61" spans="1:9" ht="15" customHeight="1">
      <c r="A61" s="4">
        <v>59</v>
      </c>
      <c r="B61" s="4" t="s">
        <v>8</v>
      </c>
      <c r="C61" s="4" t="s">
        <v>390</v>
      </c>
      <c r="D61" s="4"/>
      <c r="E61" s="4" t="s">
        <v>621</v>
      </c>
      <c r="F61" s="4" t="s">
        <v>634</v>
      </c>
      <c r="G61" s="44" t="s">
        <v>391</v>
      </c>
      <c r="H61" s="4" t="s">
        <v>76</v>
      </c>
      <c r="I61" s="4" t="s">
        <v>613</v>
      </c>
    </row>
    <row r="62" spans="1:9" ht="15" hidden="1" customHeight="1">
      <c r="A62" s="4">
        <v>60</v>
      </c>
      <c r="B62" s="4" t="s">
        <v>8</v>
      </c>
      <c r="C62" s="4" t="s">
        <v>394</v>
      </c>
      <c r="D62" s="4" t="s">
        <v>395</v>
      </c>
      <c r="E62" s="4" t="s">
        <v>619</v>
      </c>
      <c r="F62" s="4"/>
      <c r="G62" s="4"/>
      <c r="H62" s="4" t="s">
        <v>76</v>
      </c>
      <c r="I62" s="4" t="s">
        <v>613</v>
      </c>
    </row>
    <row r="63" spans="1:9" ht="15" hidden="1" customHeight="1">
      <c r="A63" s="4">
        <v>61</v>
      </c>
      <c r="B63" s="4" t="s">
        <v>8</v>
      </c>
      <c r="C63" s="4" t="s">
        <v>401</v>
      </c>
      <c r="D63" s="4" t="s">
        <v>402</v>
      </c>
      <c r="E63" s="4" t="s">
        <v>619</v>
      </c>
      <c r="F63" s="4" t="s">
        <v>642</v>
      </c>
      <c r="G63" s="14" t="s">
        <v>403</v>
      </c>
      <c r="H63" s="4" t="s">
        <v>76</v>
      </c>
      <c r="I63" s="5" t="s">
        <v>643</v>
      </c>
    </row>
    <row r="64" spans="1:9" ht="15" hidden="1" customHeight="1">
      <c r="A64" s="4">
        <v>62</v>
      </c>
      <c r="B64" s="4" t="s">
        <v>8</v>
      </c>
      <c r="C64" s="4" t="s">
        <v>406</v>
      </c>
      <c r="D64" s="4" t="s">
        <v>407</v>
      </c>
      <c r="E64" s="4" t="s">
        <v>644</v>
      </c>
      <c r="F64" s="4" t="s">
        <v>408</v>
      </c>
      <c r="G64" s="4" t="s">
        <v>409</v>
      </c>
      <c r="H64" s="4" t="s">
        <v>76</v>
      </c>
      <c r="I64" s="4" t="s">
        <v>613</v>
      </c>
    </row>
    <row r="65" spans="1:9" ht="15" customHeight="1">
      <c r="A65" s="4">
        <v>63</v>
      </c>
      <c r="B65" s="4" t="s">
        <v>8</v>
      </c>
      <c r="C65" s="4" t="s">
        <v>411</v>
      </c>
      <c r="D65" s="4"/>
      <c r="E65" s="4" t="s">
        <v>621</v>
      </c>
      <c r="F65" s="4" t="s">
        <v>645</v>
      </c>
      <c r="G65" s="44" t="s">
        <v>646</v>
      </c>
      <c r="H65" s="4" t="s">
        <v>76</v>
      </c>
      <c r="I65" s="4" t="s">
        <v>613</v>
      </c>
    </row>
    <row r="66" spans="1:9" ht="15" hidden="1" customHeight="1">
      <c r="A66" s="4">
        <v>64</v>
      </c>
      <c r="B66" s="4" t="s">
        <v>8</v>
      </c>
      <c r="C66" s="4" t="s">
        <v>413</v>
      </c>
      <c r="D66" s="4" t="s">
        <v>414</v>
      </c>
      <c r="E66" s="4"/>
      <c r="F66" s="4"/>
      <c r="G66" s="4"/>
      <c r="H66" s="4" t="s">
        <v>76</v>
      </c>
      <c r="I66" s="4" t="s">
        <v>613</v>
      </c>
    </row>
    <row r="67" spans="1:9" ht="15" customHeight="1">
      <c r="A67" s="4">
        <v>65</v>
      </c>
      <c r="B67" s="4" t="s">
        <v>8</v>
      </c>
      <c r="C67" s="4" t="s">
        <v>416</v>
      </c>
      <c r="D67" s="4"/>
      <c r="E67" s="4" t="s">
        <v>647</v>
      </c>
      <c r="F67" s="4" t="s">
        <v>648</v>
      </c>
      <c r="G67" s="14" t="s">
        <v>417</v>
      </c>
      <c r="H67" s="4" t="s">
        <v>76</v>
      </c>
      <c r="I67" s="4" t="s">
        <v>613</v>
      </c>
    </row>
    <row r="68" spans="1:9" ht="15" hidden="1" customHeight="1">
      <c r="A68" s="4">
        <v>66</v>
      </c>
      <c r="B68" s="4" t="s">
        <v>8</v>
      </c>
      <c r="C68" s="4" t="s">
        <v>420</v>
      </c>
      <c r="D68" s="4" t="s">
        <v>421</v>
      </c>
      <c r="E68" s="4" t="s">
        <v>640</v>
      </c>
      <c r="F68" s="4" t="s">
        <v>649</v>
      </c>
      <c r="G68" s="14" t="s">
        <v>422</v>
      </c>
      <c r="H68" s="4" t="s">
        <v>76</v>
      </c>
      <c r="I68" s="4" t="s">
        <v>613</v>
      </c>
    </row>
    <row r="69" spans="1:9" ht="15" hidden="1" customHeight="1">
      <c r="A69" s="4">
        <v>67</v>
      </c>
      <c r="B69" s="4" t="s">
        <v>8</v>
      </c>
      <c r="C69" s="4" t="s">
        <v>429</v>
      </c>
      <c r="D69" s="4" t="s">
        <v>430</v>
      </c>
      <c r="E69" s="4" t="s">
        <v>621</v>
      </c>
      <c r="F69" s="4" t="s">
        <v>650</v>
      </c>
      <c r="G69" s="14" t="s">
        <v>431</v>
      </c>
      <c r="H69" s="4" t="s">
        <v>76</v>
      </c>
      <c r="I69" s="4" t="s">
        <v>613</v>
      </c>
    </row>
    <row r="70" spans="1:9" ht="15" hidden="1" customHeight="1">
      <c r="A70" s="4">
        <v>68</v>
      </c>
      <c r="B70" s="4" t="s">
        <v>8</v>
      </c>
      <c r="C70" s="4" t="s">
        <v>433</v>
      </c>
      <c r="D70" s="4" t="s">
        <v>434</v>
      </c>
      <c r="E70" s="4" t="s">
        <v>621</v>
      </c>
      <c r="F70" s="4"/>
      <c r="G70" s="4"/>
      <c r="H70" s="4" t="s">
        <v>76</v>
      </c>
      <c r="I70" s="4" t="s">
        <v>613</v>
      </c>
    </row>
    <row r="71" spans="1:9" ht="15" customHeight="1">
      <c r="A71" s="4">
        <v>69</v>
      </c>
      <c r="B71" s="4" t="s">
        <v>8</v>
      </c>
      <c r="C71" s="4" t="s">
        <v>436</v>
      </c>
      <c r="D71" s="4"/>
      <c r="E71" s="4" t="s">
        <v>621</v>
      </c>
      <c r="F71" s="4" t="s">
        <v>651</v>
      </c>
      <c r="G71" s="14" t="s">
        <v>437</v>
      </c>
      <c r="H71" s="4" t="s">
        <v>76</v>
      </c>
      <c r="I71" s="4" t="s">
        <v>629</v>
      </c>
    </row>
    <row r="72" spans="1:9" ht="15" hidden="1" customHeight="1">
      <c r="A72" s="4">
        <v>70</v>
      </c>
      <c r="B72" s="4" t="s">
        <v>8</v>
      </c>
      <c r="C72" s="4" t="s">
        <v>439</v>
      </c>
      <c r="D72" s="4" t="s">
        <v>440</v>
      </c>
      <c r="E72" s="4" t="s">
        <v>624</v>
      </c>
      <c r="F72" s="4" t="s">
        <v>652</v>
      </c>
      <c r="G72" s="14" t="s">
        <v>441</v>
      </c>
      <c r="H72" s="4" t="s">
        <v>76</v>
      </c>
      <c r="I72" s="4" t="s">
        <v>613</v>
      </c>
    </row>
    <row r="73" spans="1:9" ht="15" hidden="1" customHeight="1">
      <c r="A73" s="4">
        <v>71</v>
      </c>
      <c r="B73" s="4" t="s">
        <v>8</v>
      </c>
      <c r="C73" s="4" t="s">
        <v>443</v>
      </c>
      <c r="D73" s="4" t="s">
        <v>444</v>
      </c>
      <c r="E73" s="4"/>
      <c r="F73" s="4"/>
      <c r="G73" s="4"/>
      <c r="H73" s="4" t="s">
        <v>76</v>
      </c>
      <c r="I73" s="4" t="s">
        <v>613</v>
      </c>
    </row>
    <row r="74" spans="1:9" ht="15" customHeight="1">
      <c r="A74" s="4">
        <v>72</v>
      </c>
      <c r="B74" s="4" t="s">
        <v>10</v>
      </c>
      <c r="C74" s="4" t="s">
        <v>451</v>
      </c>
      <c r="D74" s="4"/>
      <c r="E74" s="45">
        <v>2026</v>
      </c>
      <c r="F74" s="4" t="s">
        <v>653</v>
      </c>
      <c r="G74" s="44" t="s">
        <v>654</v>
      </c>
      <c r="H74" s="4" t="s">
        <v>76</v>
      </c>
      <c r="I74" s="4" t="s">
        <v>629</v>
      </c>
    </row>
    <row r="75" spans="1:9" ht="15" customHeight="1">
      <c r="A75" s="4">
        <v>73</v>
      </c>
      <c r="B75" s="4" t="s">
        <v>10</v>
      </c>
      <c r="C75" s="4" t="s">
        <v>454</v>
      </c>
      <c r="D75" s="4"/>
      <c r="E75" s="45">
        <v>2026</v>
      </c>
      <c r="F75" s="4" t="s">
        <v>655</v>
      </c>
      <c r="G75" s="44" t="s">
        <v>656</v>
      </c>
      <c r="H75" s="4" t="s">
        <v>76</v>
      </c>
      <c r="I75" s="5" t="s">
        <v>657</v>
      </c>
    </row>
    <row r="76" spans="1:9" ht="15" customHeight="1">
      <c r="A76" s="4">
        <v>74</v>
      </c>
      <c r="B76" s="4" t="s">
        <v>10</v>
      </c>
      <c r="C76" s="4" t="s">
        <v>456</v>
      </c>
      <c r="D76" s="4"/>
      <c r="E76" s="45">
        <v>2026</v>
      </c>
      <c r="F76" s="4" t="s">
        <v>658</v>
      </c>
      <c r="G76" s="44" t="s">
        <v>659</v>
      </c>
      <c r="H76" s="4" t="s">
        <v>76</v>
      </c>
      <c r="I76" s="4" t="s">
        <v>629</v>
      </c>
    </row>
    <row r="77" spans="1:9" ht="15" customHeight="1">
      <c r="A77" s="4">
        <v>75</v>
      </c>
      <c r="B77" s="4" t="s">
        <v>10</v>
      </c>
      <c r="C77" s="4" t="s">
        <v>458</v>
      </c>
      <c r="D77" s="4"/>
      <c r="E77" s="45">
        <v>2026</v>
      </c>
      <c r="F77" s="4" t="s">
        <v>660</v>
      </c>
      <c r="G77" s="44" t="s">
        <v>661</v>
      </c>
      <c r="H77" s="4" t="s">
        <v>76</v>
      </c>
      <c r="I77" s="4" t="s">
        <v>629</v>
      </c>
    </row>
    <row r="78" spans="1:9" ht="15" customHeight="1">
      <c r="A78" s="4">
        <v>76</v>
      </c>
      <c r="B78" s="4" t="s">
        <v>10</v>
      </c>
      <c r="C78" s="4" t="s">
        <v>460</v>
      </c>
      <c r="D78" s="4"/>
      <c r="E78" s="45">
        <v>2026</v>
      </c>
      <c r="F78" s="4" t="s">
        <v>662</v>
      </c>
      <c r="G78" s="44" t="s">
        <v>663</v>
      </c>
      <c r="H78" s="4" t="s">
        <v>76</v>
      </c>
      <c r="I78" s="4" t="s">
        <v>629</v>
      </c>
    </row>
    <row r="79" spans="1:9" ht="15" customHeight="1">
      <c r="A79" s="4">
        <v>77</v>
      </c>
      <c r="B79" s="4" t="s">
        <v>10</v>
      </c>
      <c r="C79" s="4" t="s">
        <v>462</v>
      </c>
      <c r="D79" s="4"/>
      <c r="E79" s="45">
        <v>2026</v>
      </c>
      <c r="F79" s="4" t="s">
        <v>664</v>
      </c>
      <c r="G79" s="44" t="s">
        <v>665</v>
      </c>
      <c r="H79" s="4" t="s">
        <v>76</v>
      </c>
      <c r="I79" s="4" t="s">
        <v>629</v>
      </c>
    </row>
    <row r="80" spans="1:9" ht="15" customHeight="1">
      <c r="A80" s="4">
        <v>78</v>
      </c>
      <c r="B80" s="4" t="s">
        <v>10</v>
      </c>
      <c r="C80" s="4" t="s">
        <v>464</v>
      </c>
      <c r="D80" s="4"/>
      <c r="E80" s="45">
        <v>2025</v>
      </c>
      <c r="F80" s="4" t="s">
        <v>666</v>
      </c>
      <c r="G80" s="44" t="s">
        <v>667</v>
      </c>
      <c r="H80" s="4" t="s">
        <v>76</v>
      </c>
      <c r="I80" s="5" t="s">
        <v>668</v>
      </c>
    </row>
    <row r="81" spans="1:9" ht="15" customHeight="1">
      <c r="A81" s="4">
        <v>79</v>
      </c>
      <c r="B81" s="4" t="s">
        <v>10</v>
      </c>
      <c r="C81" s="4" t="s">
        <v>466</v>
      </c>
      <c r="D81" s="4"/>
      <c r="E81" s="45">
        <v>2024</v>
      </c>
      <c r="F81" s="4" t="s">
        <v>669</v>
      </c>
      <c r="G81" s="44" t="s">
        <v>670</v>
      </c>
      <c r="H81" s="4" t="s">
        <v>76</v>
      </c>
      <c r="I81" s="4" t="s">
        <v>629</v>
      </c>
    </row>
    <row r="82" spans="1:9" ht="15" customHeight="1">
      <c r="A82" s="4">
        <v>80</v>
      </c>
      <c r="B82" s="4" t="s">
        <v>10</v>
      </c>
      <c r="C82" s="4" t="s">
        <v>468</v>
      </c>
      <c r="D82" s="4"/>
      <c r="E82" s="45">
        <v>2024</v>
      </c>
      <c r="F82" s="4" t="s">
        <v>671</v>
      </c>
      <c r="G82" s="44" t="s">
        <v>672</v>
      </c>
      <c r="H82" s="4" t="s">
        <v>76</v>
      </c>
      <c r="I82" s="5" t="s">
        <v>673</v>
      </c>
    </row>
    <row r="83" spans="1:9" ht="15" customHeight="1">
      <c r="A83" s="4">
        <v>81</v>
      </c>
      <c r="B83" s="4" t="s">
        <v>10</v>
      </c>
      <c r="C83" s="4" t="s">
        <v>470</v>
      </c>
      <c r="D83" s="4"/>
      <c r="E83" s="45">
        <v>2025</v>
      </c>
      <c r="F83" s="4" t="s">
        <v>674</v>
      </c>
      <c r="G83" s="44" t="s">
        <v>675</v>
      </c>
      <c r="H83" s="4" t="s">
        <v>76</v>
      </c>
      <c r="I83" s="4" t="s">
        <v>629</v>
      </c>
    </row>
    <row r="84" spans="1:9" ht="15" customHeight="1">
      <c r="A84" s="4">
        <v>82</v>
      </c>
      <c r="B84" s="4" t="s">
        <v>10</v>
      </c>
      <c r="C84" s="4" t="s">
        <v>472</v>
      </c>
      <c r="D84" s="4"/>
      <c r="E84" s="45">
        <v>2025</v>
      </c>
      <c r="F84" s="4" t="s">
        <v>676</v>
      </c>
      <c r="G84" s="44" t="s">
        <v>677</v>
      </c>
      <c r="H84" s="4" t="s">
        <v>76</v>
      </c>
      <c r="I84" s="4" t="s">
        <v>629</v>
      </c>
    </row>
    <row r="85" spans="1:9" ht="15" customHeight="1">
      <c r="A85" s="4">
        <v>83</v>
      </c>
      <c r="B85" s="4" t="s">
        <v>10</v>
      </c>
      <c r="C85" s="4" t="s">
        <v>474</v>
      </c>
      <c r="D85" s="4"/>
      <c r="E85" s="45">
        <v>2014</v>
      </c>
      <c r="F85" s="4" t="s">
        <v>678</v>
      </c>
      <c r="G85" s="44" t="s">
        <v>679</v>
      </c>
      <c r="H85" s="4" t="s">
        <v>76</v>
      </c>
      <c r="I85" s="4" t="s">
        <v>629</v>
      </c>
    </row>
    <row r="86" spans="1:9" ht="15" customHeight="1">
      <c r="A86" s="4">
        <v>84</v>
      </c>
      <c r="B86" s="4" t="s">
        <v>10</v>
      </c>
      <c r="C86" s="4" t="s">
        <v>476</v>
      </c>
      <c r="D86" s="4"/>
      <c r="E86" s="45">
        <v>2023</v>
      </c>
      <c r="F86" s="4" t="s">
        <v>680</v>
      </c>
      <c r="G86" s="44" t="s">
        <v>681</v>
      </c>
      <c r="H86" s="4" t="s">
        <v>76</v>
      </c>
      <c r="I86" s="5" t="s">
        <v>682</v>
      </c>
    </row>
    <row r="87" spans="1:9" ht="15" customHeight="1">
      <c r="A87" s="4">
        <v>85</v>
      </c>
      <c r="B87" s="4" t="s">
        <v>11</v>
      </c>
      <c r="C87" s="4" t="s">
        <v>683</v>
      </c>
      <c r="D87" s="4"/>
      <c r="E87" s="4" t="s">
        <v>684</v>
      </c>
      <c r="F87" s="4" t="s">
        <v>685</v>
      </c>
      <c r="G87" s="4" t="s">
        <v>686</v>
      </c>
      <c r="H87" s="4" t="s">
        <v>687</v>
      </c>
      <c r="I87" s="4" t="s">
        <v>613</v>
      </c>
    </row>
    <row r="88" spans="1:9" ht="15" customHeight="1">
      <c r="A88" s="4">
        <v>86</v>
      </c>
      <c r="B88" s="4" t="s">
        <v>11</v>
      </c>
      <c r="C88" s="4" t="s">
        <v>688</v>
      </c>
      <c r="D88" s="4"/>
      <c r="E88" s="4" t="s">
        <v>689</v>
      </c>
      <c r="F88" s="4" t="s">
        <v>690</v>
      </c>
      <c r="G88" s="4" t="s">
        <v>691</v>
      </c>
      <c r="H88" s="4" t="s">
        <v>687</v>
      </c>
      <c r="I88" s="4" t="s">
        <v>613</v>
      </c>
    </row>
    <row r="89" spans="1:9" ht="15" customHeight="1">
      <c r="A89" s="4">
        <v>87</v>
      </c>
      <c r="B89" s="4" t="s">
        <v>11</v>
      </c>
      <c r="C89" s="4" t="s">
        <v>692</v>
      </c>
      <c r="D89" s="4"/>
      <c r="E89" s="4" t="s">
        <v>693</v>
      </c>
      <c r="F89" s="4" t="s">
        <v>642</v>
      </c>
      <c r="G89" s="4" t="s">
        <v>694</v>
      </c>
      <c r="H89" s="4" t="s">
        <v>687</v>
      </c>
      <c r="I89" s="4" t="s">
        <v>613</v>
      </c>
    </row>
    <row r="90" spans="1:9" ht="15" customHeight="1">
      <c r="A90" s="4">
        <v>88</v>
      </c>
      <c r="B90" s="4" t="s">
        <v>11</v>
      </c>
      <c r="C90" s="4" t="s">
        <v>695</v>
      </c>
      <c r="D90" s="4"/>
      <c r="E90" s="4" t="s">
        <v>693</v>
      </c>
      <c r="F90" s="4" t="s">
        <v>685</v>
      </c>
      <c r="G90" s="4" t="s">
        <v>696</v>
      </c>
      <c r="H90" s="4" t="s">
        <v>687</v>
      </c>
      <c r="I90" s="4" t="s">
        <v>613</v>
      </c>
    </row>
    <row r="91" spans="1:9" ht="15" customHeight="1">
      <c r="A91" s="4">
        <v>89</v>
      </c>
      <c r="B91" s="4" t="s">
        <v>11</v>
      </c>
      <c r="C91" s="4" t="s">
        <v>697</v>
      </c>
      <c r="D91" s="4"/>
      <c r="E91" s="4" t="s">
        <v>684</v>
      </c>
      <c r="F91" s="4" t="s">
        <v>698</v>
      </c>
      <c r="G91" s="4" t="s">
        <v>699</v>
      </c>
      <c r="H91" s="4" t="s">
        <v>687</v>
      </c>
      <c r="I91" s="4" t="s">
        <v>613</v>
      </c>
    </row>
    <row r="92" spans="1:9" ht="15" customHeight="1">
      <c r="A92" s="4">
        <v>90</v>
      </c>
      <c r="B92" s="4" t="s">
        <v>11</v>
      </c>
      <c r="C92" s="4" t="s">
        <v>700</v>
      </c>
      <c r="D92" s="4"/>
      <c r="E92" s="4" t="s">
        <v>684</v>
      </c>
      <c r="F92" s="4" t="s">
        <v>685</v>
      </c>
      <c r="G92" s="4" t="s">
        <v>701</v>
      </c>
      <c r="H92" s="4" t="s">
        <v>687</v>
      </c>
      <c r="I92" s="4" t="s">
        <v>613</v>
      </c>
    </row>
    <row r="93" spans="1:9" ht="15" customHeight="1">
      <c r="A93" s="4">
        <v>91</v>
      </c>
      <c r="B93" s="4" t="s">
        <v>11</v>
      </c>
      <c r="C93" s="4" t="s">
        <v>702</v>
      </c>
      <c r="D93" s="4"/>
      <c r="E93" s="4" t="s">
        <v>684</v>
      </c>
      <c r="F93" s="4" t="s">
        <v>703</v>
      </c>
      <c r="G93" s="4" t="s">
        <v>704</v>
      </c>
      <c r="H93" s="4" t="s">
        <v>687</v>
      </c>
      <c r="I93" s="4" t="s">
        <v>613</v>
      </c>
    </row>
    <row r="94" spans="1:9" ht="15" customHeight="1">
      <c r="A94" s="4">
        <v>92</v>
      </c>
      <c r="B94" s="4" t="s">
        <v>11</v>
      </c>
      <c r="C94" s="4" t="s">
        <v>705</v>
      </c>
      <c r="D94" s="4"/>
      <c r="E94" s="4" t="s">
        <v>684</v>
      </c>
      <c r="F94" s="4" t="s">
        <v>706</v>
      </c>
      <c r="G94" s="4" t="s">
        <v>707</v>
      </c>
      <c r="H94" s="4" t="s">
        <v>687</v>
      </c>
      <c r="I94" s="4" t="s">
        <v>613</v>
      </c>
    </row>
    <row r="95" spans="1:9" ht="15" customHeight="1">
      <c r="A95" s="4">
        <v>93</v>
      </c>
      <c r="B95" s="4" t="s">
        <v>11</v>
      </c>
      <c r="C95" s="4" t="s">
        <v>708</v>
      </c>
      <c r="D95" s="4"/>
      <c r="E95" s="4" t="s">
        <v>709</v>
      </c>
      <c r="F95" s="4" t="s">
        <v>710</v>
      </c>
      <c r="G95" s="4" t="s">
        <v>711</v>
      </c>
      <c r="H95" s="4" t="s">
        <v>687</v>
      </c>
      <c r="I95" s="4" t="s">
        <v>613</v>
      </c>
    </row>
    <row r="96" spans="1:9" ht="15" customHeight="1">
      <c r="A96" s="4">
        <v>94</v>
      </c>
      <c r="B96" s="4" t="s">
        <v>11</v>
      </c>
      <c r="C96" s="4" t="s">
        <v>712</v>
      </c>
      <c r="D96" s="4"/>
      <c r="E96" s="4" t="s">
        <v>693</v>
      </c>
      <c r="F96" s="4" t="s">
        <v>713</v>
      </c>
      <c r="G96" s="4" t="s">
        <v>714</v>
      </c>
      <c r="H96" s="4" t="s">
        <v>687</v>
      </c>
      <c r="I96" s="4" t="s">
        <v>613</v>
      </c>
    </row>
    <row r="97" spans="1:9" ht="15" customHeight="1">
      <c r="A97" s="4">
        <v>95</v>
      </c>
      <c r="B97" s="4" t="s">
        <v>13</v>
      </c>
      <c r="C97" s="4" t="s">
        <v>715</v>
      </c>
      <c r="D97" s="4"/>
      <c r="E97" s="4" t="s">
        <v>709</v>
      </c>
      <c r="F97" s="4" t="s">
        <v>716</v>
      </c>
      <c r="G97" s="4" t="s">
        <v>717</v>
      </c>
      <c r="H97" s="4" t="s">
        <v>76</v>
      </c>
      <c r="I97" s="4" t="s">
        <v>613</v>
      </c>
    </row>
    <row r="98" spans="1:9" ht="15" customHeight="1">
      <c r="A98" s="4">
        <v>96</v>
      </c>
      <c r="B98" s="4" t="s">
        <v>13</v>
      </c>
      <c r="C98" s="4" t="s">
        <v>718</v>
      </c>
      <c r="D98" s="4"/>
      <c r="E98" s="4" t="s">
        <v>719</v>
      </c>
      <c r="F98" s="4" t="s">
        <v>720</v>
      </c>
      <c r="G98" s="4" t="s">
        <v>721</v>
      </c>
      <c r="H98" s="4" t="s">
        <v>76</v>
      </c>
      <c r="I98" s="4" t="s">
        <v>613</v>
      </c>
    </row>
    <row r="99" spans="1:9" ht="15" customHeight="1">
      <c r="A99" s="4">
        <v>97</v>
      </c>
      <c r="B99" s="4" t="s">
        <v>13</v>
      </c>
      <c r="C99" s="4" t="s">
        <v>722</v>
      </c>
      <c r="D99" s="4"/>
      <c r="E99" s="4" t="s">
        <v>709</v>
      </c>
      <c r="F99" s="4" t="s">
        <v>720</v>
      </c>
      <c r="G99" s="4" t="s">
        <v>723</v>
      </c>
      <c r="H99" s="4" t="s">
        <v>76</v>
      </c>
      <c r="I99" s="4" t="s">
        <v>613</v>
      </c>
    </row>
    <row r="100" spans="1:9" ht="15" customHeight="1">
      <c r="A100" s="4">
        <v>98</v>
      </c>
      <c r="B100" s="4" t="s">
        <v>13</v>
      </c>
      <c r="C100" s="4" t="s">
        <v>724</v>
      </c>
      <c r="D100" s="4"/>
      <c r="E100" s="4" t="s">
        <v>684</v>
      </c>
      <c r="F100" s="4" t="s">
        <v>725</v>
      </c>
      <c r="G100" s="4" t="s">
        <v>726</v>
      </c>
      <c r="H100" s="4" t="s">
        <v>76</v>
      </c>
      <c r="I100" s="4" t="s">
        <v>629</v>
      </c>
    </row>
    <row r="101" spans="1:9" ht="15" customHeight="1">
      <c r="A101" s="4">
        <v>99</v>
      </c>
      <c r="B101" s="4" t="s">
        <v>13</v>
      </c>
      <c r="C101" s="4" t="s">
        <v>727</v>
      </c>
      <c r="D101" s="4"/>
      <c r="E101" s="4" t="s">
        <v>709</v>
      </c>
      <c r="F101" s="4" t="s">
        <v>728</v>
      </c>
      <c r="G101" s="4" t="s">
        <v>729</v>
      </c>
      <c r="H101" s="4" t="s">
        <v>76</v>
      </c>
      <c r="I101" s="4" t="s">
        <v>613</v>
      </c>
    </row>
    <row r="102" spans="1:9" ht="15" customHeight="1">
      <c r="A102" s="4">
        <v>100</v>
      </c>
      <c r="B102" s="4" t="s">
        <v>13</v>
      </c>
      <c r="C102" s="4" t="s">
        <v>730</v>
      </c>
      <c r="D102" s="4"/>
      <c r="E102" s="4" t="s">
        <v>693</v>
      </c>
      <c r="F102" s="4" t="s">
        <v>731</v>
      </c>
      <c r="G102" s="4" t="s">
        <v>732</v>
      </c>
      <c r="H102" s="4" t="s">
        <v>76</v>
      </c>
      <c r="I102" s="4" t="s">
        <v>613</v>
      </c>
    </row>
    <row r="103" spans="1:9" ht="15" customHeight="1">
      <c r="A103" s="4">
        <v>101</v>
      </c>
      <c r="B103" s="4" t="s">
        <v>13</v>
      </c>
      <c r="C103" s="4" t="s">
        <v>733</v>
      </c>
      <c r="D103" s="4"/>
      <c r="E103" s="4" t="s">
        <v>709</v>
      </c>
      <c r="F103" s="4" t="s">
        <v>734</v>
      </c>
      <c r="G103" s="4" t="s">
        <v>735</v>
      </c>
      <c r="H103" s="4" t="s">
        <v>76</v>
      </c>
      <c r="I103" s="4" t="s">
        <v>613</v>
      </c>
    </row>
    <row r="104" spans="1:9" ht="15" customHeight="1">
      <c r="A104" s="4">
        <v>102</v>
      </c>
      <c r="B104" s="4" t="s">
        <v>13</v>
      </c>
      <c r="C104" s="4" t="s">
        <v>736</v>
      </c>
      <c r="D104" s="4"/>
      <c r="E104" s="4" t="s">
        <v>684</v>
      </c>
      <c r="F104" s="4" t="s">
        <v>737</v>
      </c>
      <c r="G104" s="4" t="s">
        <v>738</v>
      </c>
      <c r="H104" s="4" t="s">
        <v>76</v>
      </c>
      <c r="I104" s="4" t="s">
        <v>613</v>
      </c>
    </row>
    <row r="105" spans="1:9" ht="15" customHeight="1">
      <c r="A105" s="4">
        <v>103</v>
      </c>
      <c r="B105" s="4" t="s">
        <v>13</v>
      </c>
      <c r="C105" s="4" t="s">
        <v>739</v>
      </c>
      <c r="D105" s="4"/>
      <c r="E105" s="4" t="s">
        <v>709</v>
      </c>
      <c r="F105" s="4" t="s">
        <v>720</v>
      </c>
      <c r="G105" s="4" t="s">
        <v>740</v>
      </c>
      <c r="H105" s="4" t="s">
        <v>76</v>
      </c>
      <c r="I105" s="4" t="s">
        <v>613</v>
      </c>
    </row>
    <row r="106" spans="1:9" ht="15" customHeight="1">
      <c r="A106" s="4">
        <v>104</v>
      </c>
      <c r="B106" s="4" t="s">
        <v>13</v>
      </c>
      <c r="C106" s="4" t="s">
        <v>456</v>
      </c>
      <c r="D106" s="4"/>
      <c r="E106" s="4" t="s">
        <v>684</v>
      </c>
      <c r="F106" s="4" t="s">
        <v>725</v>
      </c>
      <c r="G106" s="4" t="s">
        <v>741</v>
      </c>
      <c r="H106" s="4" t="s">
        <v>76</v>
      </c>
      <c r="I106" s="4" t="s">
        <v>629</v>
      </c>
    </row>
    <row r="107" spans="1:9" ht="15" customHeight="1">
      <c r="A107" s="4">
        <v>105</v>
      </c>
      <c r="B107" s="4" t="s">
        <v>13</v>
      </c>
      <c r="C107" s="4" t="s">
        <v>742</v>
      </c>
      <c r="D107" s="4"/>
      <c r="E107" s="4" t="s">
        <v>693</v>
      </c>
      <c r="F107" s="4" t="s">
        <v>743</v>
      </c>
      <c r="G107" s="4" t="s">
        <v>744</v>
      </c>
      <c r="H107" s="4" t="s">
        <v>76</v>
      </c>
      <c r="I107" s="4" t="s">
        <v>613</v>
      </c>
    </row>
    <row r="108" spans="1:9" ht="15" customHeight="1">
      <c r="A108" s="4">
        <v>106</v>
      </c>
      <c r="B108" s="4" t="s">
        <v>13</v>
      </c>
      <c r="C108" s="4" t="s">
        <v>745</v>
      </c>
      <c r="D108" s="4"/>
      <c r="E108" s="4" t="s">
        <v>693</v>
      </c>
      <c r="F108" s="4" t="s">
        <v>746</v>
      </c>
      <c r="G108" s="4" t="s">
        <v>747</v>
      </c>
      <c r="H108" s="4" t="s">
        <v>76</v>
      </c>
      <c r="I108" s="4" t="s">
        <v>613</v>
      </c>
    </row>
    <row r="109" spans="1:9" ht="15" customHeight="1">
      <c r="A109" s="4">
        <v>107</v>
      </c>
      <c r="B109" s="4" t="s">
        <v>13</v>
      </c>
      <c r="C109" s="4" t="s">
        <v>748</v>
      </c>
      <c r="D109" s="4"/>
      <c r="E109" s="4" t="s">
        <v>684</v>
      </c>
      <c r="F109" s="4" t="s">
        <v>749</v>
      </c>
      <c r="G109" s="4" t="s">
        <v>750</v>
      </c>
      <c r="H109" s="4" t="s">
        <v>76</v>
      </c>
      <c r="I109" s="4" t="s">
        <v>613</v>
      </c>
    </row>
    <row r="110" spans="1:9" ht="15" customHeight="1">
      <c r="A110" s="4">
        <v>108</v>
      </c>
      <c r="B110" s="4" t="s">
        <v>13</v>
      </c>
      <c r="C110" s="4" t="s">
        <v>751</v>
      </c>
      <c r="D110" s="4"/>
      <c r="E110" s="4" t="s">
        <v>693</v>
      </c>
      <c r="F110" s="4" t="s">
        <v>752</v>
      </c>
      <c r="G110" s="4" t="s">
        <v>753</v>
      </c>
      <c r="H110" s="4" t="s">
        <v>76</v>
      </c>
      <c r="I110" s="4" t="s">
        <v>613</v>
      </c>
    </row>
    <row r="111" spans="1:9" ht="15" customHeight="1">
      <c r="A111" s="4">
        <v>109</v>
      </c>
      <c r="B111" s="4" t="s">
        <v>13</v>
      </c>
      <c r="C111" s="4" t="s">
        <v>754</v>
      </c>
      <c r="D111" s="4"/>
      <c r="E111" s="4" t="s">
        <v>693</v>
      </c>
      <c r="F111" s="4" t="s">
        <v>755</v>
      </c>
      <c r="G111" s="4" t="s">
        <v>756</v>
      </c>
      <c r="H111" s="4" t="s">
        <v>76</v>
      </c>
      <c r="I111" s="4" t="s">
        <v>613</v>
      </c>
    </row>
    <row r="112" spans="1:9" ht="15" customHeight="1">
      <c r="A112" s="4">
        <v>110</v>
      </c>
      <c r="B112" s="4" t="s">
        <v>13</v>
      </c>
      <c r="C112" s="4" t="s">
        <v>757</v>
      </c>
      <c r="D112" s="4"/>
      <c r="E112" s="4" t="s">
        <v>693</v>
      </c>
      <c r="F112" s="4" t="s">
        <v>758</v>
      </c>
      <c r="G112" s="4" t="s">
        <v>759</v>
      </c>
      <c r="H112" s="4" t="s">
        <v>76</v>
      </c>
      <c r="I112" s="4" t="s">
        <v>613</v>
      </c>
    </row>
    <row r="113" spans="1:9" ht="15" customHeight="1">
      <c r="A113" s="4">
        <v>111</v>
      </c>
      <c r="B113" s="4" t="s">
        <v>13</v>
      </c>
      <c r="C113" s="4" t="s">
        <v>760</v>
      </c>
      <c r="D113" s="4"/>
      <c r="E113" s="4" t="s">
        <v>684</v>
      </c>
      <c r="F113" s="4" t="s">
        <v>761</v>
      </c>
      <c r="G113" s="4" t="s">
        <v>762</v>
      </c>
      <c r="H113" s="4" t="s">
        <v>76</v>
      </c>
      <c r="I113" s="4" t="s">
        <v>629</v>
      </c>
    </row>
    <row r="114" spans="1:9" ht="15" customHeight="1">
      <c r="A114" s="4">
        <v>112</v>
      </c>
      <c r="B114" s="4" t="s">
        <v>13</v>
      </c>
      <c r="C114" s="4" t="s">
        <v>763</v>
      </c>
      <c r="D114" s="4"/>
      <c r="E114" s="4" t="s">
        <v>684</v>
      </c>
      <c r="F114" s="4" t="s">
        <v>764</v>
      </c>
      <c r="G114" s="4" t="s">
        <v>765</v>
      </c>
      <c r="H114" s="4" t="s">
        <v>76</v>
      </c>
      <c r="I114" s="4" t="s">
        <v>613</v>
      </c>
    </row>
    <row r="115" spans="1:9" ht="15" customHeight="1">
      <c r="A115" s="4">
        <v>113</v>
      </c>
      <c r="B115" s="4" t="s">
        <v>13</v>
      </c>
      <c r="C115" s="4" t="s">
        <v>766</v>
      </c>
      <c r="D115" s="4"/>
      <c r="E115" s="4" t="s">
        <v>693</v>
      </c>
      <c r="F115" s="4" t="s">
        <v>767</v>
      </c>
      <c r="G115" s="4" t="s">
        <v>768</v>
      </c>
      <c r="H115" s="4" t="s">
        <v>76</v>
      </c>
      <c r="I115" s="4" t="s">
        <v>613</v>
      </c>
    </row>
    <row r="116" spans="1:9" ht="15" customHeight="1">
      <c r="A116" s="4">
        <v>114</v>
      </c>
      <c r="B116" s="4" t="s">
        <v>13</v>
      </c>
      <c r="C116" s="4" t="s">
        <v>769</v>
      </c>
      <c r="D116" s="4"/>
      <c r="E116" s="4" t="s">
        <v>684</v>
      </c>
      <c r="F116" s="4" t="s">
        <v>770</v>
      </c>
      <c r="G116" s="4" t="s">
        <v>771</v>
      </c>
      <c r="H116" s="4" t="s">
        <v>76</v>
      </c>
      <c r="I116" s="4" t="s">
        <v>613</v>
      </c>
    </row>
    <row r="117" spans="1:9" ht="15" customHeight="1">
      <c r="A117" s="4">
        <v>115</v>
      </c>
      <c r="B117" s="4" t="s">
        <v>13</v>
      </c>
      <c r="C117" s="4" t="s">
        <v>772</v>
      </c>
      <c r="D117" s="4"/>
      <c r="E117" s="4" t="s">
        <v>684</v>
      </c>
      <c r="F117" s="4" t="s">
        <v>773</v>
      </c>
      <c r="G117" s="4" t="s">
        <v>774</v>
      </c>
      <c r="H117" s="4" t="s">
        <v>76</v>
      </c>
      <c r="I117" s="4" t="s">
        <v>613</v>
      </c>
    </row>
    <row r="118" spans="1:9" ht="15" customHeight="1">
      <c r="A118" s="4">
        <v>116</v>
      </c>
      <c r="B118" s="4" t="s">
        <v>13</v>
      </c>
      <c r="C118" s="4" t="s">
        <v>775</v>
      </c>
      <c r="D118" s="4"/>
      <c r="E118" s="4" t="s">
        <v>693</v>
      </c>
      <c r="F118" s="4" t="s">
        <v>776</v>
      </c>
      <c r="G118" s="4" t="s">
        <v>777</v>
      </c>
      <c r="H118" s="4" t="s">
        <v>76</v>
      </c>
      <c r="I118" s="4" t="s">
        <v>613</v>
      </c>
    </row>
    <row r="119" spans="1:9" ht="15" customHeight="1">
      <c r="A119" s="4">
        <v>117</v>
      </c>
      <c r="B119" s="4" t="s">
        <v>13</v>
      </c>
      <c r="C119" s="4" t="s">
        <v>778</v>
      </c>
      <c r="D119" s="4"/>
      <c r="E119" s="4" t="s">
        <v>684</v>
      </c>
      <c r="F119" s="4" t="s">
        <v>731</v>
      </c>
      <c r="G119" s="4" t="s">
        <v>779</v>
      </c>
      <c r="H119" s="4" t="s">
        <v>76</v>
      </c>
      <c r="I119" s="4" t="s">
        <v>629</v>
      </c>
    </row>
    <row r="120" spans="1:9" ht="15" customHeight="1">
      <c r="A120" s="4">
        <v>118</v>
      </c>
      <c r="B120" s="4" t="s">
        <v>13</v>
      </c>
      <c r="C120" s="4" t="s">
        <v>780</v>
      </c>
      <c r="D120" s="4"/>
      <c r="E120" s="4" t="s">
        <v>693</v>
      </c>
      <c r="F120" s="4" t="s">
        <v>781</v>
      </c>
      <c r="G120" s="4" t="s">
        <v>782</v>
      </c>
      <c r="H120" s="4" t="s">
        <v>76</v>
      </c>
      <c r="I120" s="4" t="s">
        <v>629</v>
      </c>
    </row>
    <row r="121" spans="1:9" ht="15" customHeight="1">
      <c r="A121" s="4">
        <v>119</v>
      </c>
      <c r="B121" s="4" t="s">
        <v>13</v>
      </c>
      <c r="C121" s="4" t="s">
        <v>783</v>
      </c>
      <c r="D121" s="4"/>
      <c r="E121" s="4" t="s">
        <v>684</v>
      </c>
      <c r="F121" s="4" t="s">
        <v>784</v>
      </c>
      <c r="G121" s="4" t="s">
        <v>785</v>
      </c>
      <c r="H121" s="4" t="s">
        <v>76</v>
      </c>
      <c r="I121" s="4" t="s">
        <v>613</v>
      </c>
    </row>
    <row r="122" spans="1:9" ht="15" customHeight="1">
      <c r="A122" s="4">
        <v>120</v>
      </c>
      <c r="B122" s="4" t="s">
        <v>13</v>
      </c>
      <c r="C122" s="4" t="s">
        <v>786</v>
      </c>
      <c r="D122" s="4"/>
      <c r="E122" s="4" t="s">
        <v>684</v>
      </c>
      <c r="F122" s="4" t="s">
        <v>737</v>
      </c>
      <c r="G122" s="4" t="s">
        <v>787</v>
      </c>
      <c r="H122" s="4" t="s">
        <v>76</v>
      </c>
      <c r="I122" s="4" t="s">
        <v>613</v>
      </c>
    </row>
    <row r="123" spans="1:9" ht="15" customHeight="1">
      <c r="A123" s="4">
        <v>121</v>
      </c>
      <c r="B123" s="4" t="s">
        <v>13</v>
      </c>
      <c r="C123" s="4" t="s">
        <v>788</v>
      </c>
      <c r="D123" s="4"/>
      <c r="E123" s="4" t="s">
        <v>693</v>
      </c>
      <c r="F123" s="4" t="s">
        <v>789</v>
      </c>
      <c r="G123" s="4" t="s">
        <v>790</v>
      </c>
      <c r="H123" s="4" t="s">
        <v>76</v>
      </c>
      <c r="I123" s="4" t="s">
        <v>613</v>
      </c>
    </row>
    <row r="124" spans="1:9" ht="15" customHeight="1">
      <c r="A124" s="4">
        <v>122</v>
      </c>
      <c r="B124" s="4" t="s">
        <v>13</v>
      </c>
      <c r="C124" s="4" t="s">
        <v>791</v>
      </c>
      <c r="D124" s="4"/>
      <c r="E124" s="4" t="s">
        <v>684</v>
      </c>
      <c r="F124" s="4" t="s">
        <v>720</v>
      </c>
      <c r="G124" s="4" t="s">
        <v>792</v>
      </c>
      <c r="H124" s="4" t="s">
        <v>76</v>
      </c>
      <c r="I124" s="4" t="s">
        <v>613</v>
      </c>
    </row>
    <row r="125" spans="1:9" ht="15" customHeight="1">
      <c r="A125" s="4">
        <v>123</v>
      </c>
      <c r="B125" s="4" t="s">
        <v>13</v>
      </c>
      <c r="C125" s="4" t="s">
        <v>246</v>
      </c>
      <c r="D125" s="4"/>
      <c r="E125" s="4" t="s">
        <v>693</v>
      </c>
      <c r="F125" s="4" t="s">
        <v>761</v>
      </c>
      <c r="G125" s="4" t="s">
        <v>793</v>
      </c>
      <c r="H125" s="4" t="s">
        <v>76</v>
      </c>
      <c r="I125" s="4" t="s">
        <v>613</v>
      </c>
    </row>
    <row r="126" spans="1:9" ht="15" customHeight="1">
      <c r="A126" s="4">
        <v>124</v>
      </c>
      <c r="B126" s="4" t="s">
        <v>13</v>
      </c>
      <c r="C126" s="4" t="s">
        <v>794</v>
      </c>
      <c r="D126" s="4"/>
      <c r="E126" s="4" t="s">
        <v>693</v>
      </c>
      <c r="F126" s="4" t="s">
        <v>795</v>
      </c>
      <c r="G126" s="4" t="s">
        <v>796</v>
      </c>
      <c r="H126" s="4" t="s">
        <v>76</v>
      </c>
      <c r="I126" s="4" t="s">
        <v>613</v>
      </c>
    </row>
    <row r="127" spans="1:9" ht="15" customHeight="1">
      <c r="A127" s="4">
        <v>125</v>
      </c>
      <c r="B127" s="4" t="s">
        <v>13</v>
      </c>
      <c r="C127" s="4" t="s">
        <v>797</v>
      </c>
      <c r="D127" s="4"/>
      <c r="E127" s="4" t="s">
        <v>693</v>
      </c>
      <c r="F127" s="4" t="s">
        <v>798</v>
      </c>
      <c r="G127" s="4" t="s">
        <v>799</v>
      </c>
      <c r="H127" s="4" t="s">
        <v>76</v>
      </c>
      <c r="I127" s="4" t="s">
        <v>613</v>
      </c>
    </row>
    <row r="128" spans="1:9" ht="15" customHeight="1">
      <c r="A128" s="4">
        <v>126</v>
      </c>
      <c r="B128" s="4" t="s">
        <v>13</v>
      </c>
      <c r="C128" s="4" t="s">
        <v>800</v>
      </c>
      <c r="D128" s="4"/>
      <c r="E128" s="4" t="s">
        <v>693</v>
      </c>
      <c r="F128" s="4" t="s">
        <v>746</v>
      </c>
      <c r="G128" s="4" t="s">
        <v>801</v>
      </c>
      <c r="H128" s="4" t="s">
        <v>76</v>
      </c>
      <c r="I128" s="4" t="s">
        <v>613</v>
      </c>
    </row>
    <row r="129" spans="1:9" ht="15" customHeight="1">
      <c r="A129" s="4">
        <v>127</v>
      </c>
      <c r="B129" s="4" t="s">
        <v>13</v>
      </c>
      <c r="C129" s="4" t="s">
        <v>802</v>
      </c>
      <c r="D129" s="4"/>
      <c r="E129" s="4" t="s">
        <v>693</v>
      </c>
      <c r="F129" s="4" t="s">
        <v>761</v>
      </c>
      <c r="G129" s="4" t="s">
        <v>803</v>
      </c>
      <c r="H129" s="4" t="s">
        <v>76</v>
      </c>
      <c r="I129" s="4" t="s">
        <v>613</v>
      </c>
    </row>
    <row r="130" spans="1:9" ht="15" customHeight="1">
      <c r="A130" s="4">
        <v>128</v>
      </c>
      <c r="B130" s="4" t="s">
        <v>13</v>
      </c>
      <c r="C130" s="4" t="s">
        <v>804</v>
      </c>
      <c r="D130" s="4"/>
      <c r="E130" s="4" t="s">
        <v>693</v>
      </c>
      <c r="F130" s="4" t="s">
        <v>720</v>
      </c>
      <c r="G130" s="4" t="s">
        <v>805</v>
      </c>
      <c r="H130" s="4" t="s">
        <v>76</v>
      </c>
      <c r="I130" s="4" t="s">
        <v>613</v>
      </c>
    </row>
    <row r="131" spans="1:9" ht="15" customHeight="1">
      <c r="A131" s="4">
        <v>129</v>
      </c>
      <c r="B131" s="4" t="s">
        <v>13</v>
      </c>
      <c r="C131" s="4" t="s">
        <v>806</v>
      </c>
      <c r="D131" s="4"/>
      <c r="E131" s="4" t="s">
        <v>684</v>
      </c>
      <c r="F131" s="4" t="s">
        <v>807</v>
      </c>
      <c r="G131" s="4" t="s">
        <v>808</v>
      </c>
      <c r="H131" s="4" t="s">
        <v>76</v>
      </c>
      <c r="I131" s="4" t="s">
        <v>613</v>
      </c>
    </row>
    <row r="132" spans="1:9" ht="15" customHeight="1">
      <c r="A132" s="4">
        <v>130</v>
      </c>
      <c r="B132" s="4" t="s">
        <v>13</v>
      </c>
      <c r="C132" s="4" t="s">
        <v>809</v>
      </c>
      <c r="D132" s="4"/>
      <c r="E132" s="4" t="s">
        <v>810</v>
      </c>
      <c r="F132" s="4" t="s">
        <v>811</v>
      </c>
      <c r="G132" s="4" t="s">
        <v>812</v>
      </c>
      <c r="H132" s="4" t="s">
        <v>76</v>
      </c>
      <c r="I132" s="4" t="s">
        <v>613</v>
      </c>
    </row>
    <row r="133" spans="1:9" ht="15" customHeight="1">
      <c r="A133" s="4">
        <v>131</v>
      </c>
      <c r="B133" s="4" t="s">
        <v>13</v>
      </c>
      <c r="C133" s="4" t="s">
        <v>813</v>
      </c>
      <c r="D133" s="4"/>
      <c r="E133" s="4" t="s">
        <v>684</v>
      </c>
      <c r="F133" s="4" t="s">
        <v>814</v>
      </c>
      <c r="G133" s="4" t="s">
        <v>815</v>
      </c>
      <c r="H133" s="4" t="s">
        <v>76</v>
      </c>
      <c r="I133" s="4" t="s">
        <v>629</v>
      </c>
    </row>
    <row r="134" spans="1:9" ht="15" customHeight="1">
      <c r="A134" s="4">
        <v>132</v>
      </c>
      <c r="B134" s="4" t="s">
        <v>13</v>
      </c>
      <c r="C134" s="4" t="s">
        <v>816</v>
      </c>
      <c r="D134" s="4"/>
      <c r="E134" s="4" t="s">
        <v>684</v>
      </c>
      <c r="F134" s="4" t="s">
        <v>755</v>
      </c>
      <c r="G134" s="4" t="s">
        <v>817</v>
      </c>
      <c r="H134" s="4" t="s">
        <v>76</v>
      </c>
      <c r="I134" s="4" t="s">
        <v>629</v>
      </c>
    </row>
    <row r="135" spans="1:9" ht="15" customHeight="1">
      <c r="A135" s="4">
        <v>133</v>
      </c>
      <c r="B135" s="4" t="s">
        <v>13</v>
      </c>
      <c r="C135" s="4" t="s">
        <v>818</v>
      </c>
      <c r="D135" s="4"/>
      <c r="E135" s="4" t="s">
        <v>709</v>
      </c>
      <c r="F135" s="4" t="s">
        <v>819</v>
      </c>
      <c r="G135" s="4" t="s">
        <v>820</v>
      </c>
      <c r="H135" s="4" t="s">
        <v>76</v>
      </c>
      <c r="I135" s="4" t="s">
        <v>613</v>
      </c>
    </row>
    <row r="136" spans="1:9" ht="15" customHeight="1">
      <c r="A136" s="4">
        <v>134</v>
      </c>
      <c r="B136" s="4" t="s">
        <v>13</v>
      </c>
      <c r="C136" s="4" t="s">
        <v>821</v>
      </c>
      <c r="D136" s="4"/>
      <c r="E136" s="4" t="s">
        <v>822</v>
      </c>
      <c r="F136" s="4" t="s">
        <v>823</v>
      </c>
      <c r="G136" s="4" t="s">
        <v>824</v>
      </c>
      <c r="H136" s="4" t="s">
        <v>76</v>
      </c>
      <c r="I136" s="4" t="s">
        <v>613</v>
      </c>
    </row>
    <row r="137" spans="1:9" ht="15" customHeight="1">
      <c r="A137" s="4">
        <v>135</v>
      </c>
      <c r="B137" s="4" t="s">
        <v>13</v>
      </c>
      <c r="C137" s="4" t="s">
        <v>825</v>
      </c>
      <c r="D137" s="4"/>
      <c r="E137" s="4" t="s">
        <v>826</v>
      </c>
      <c r="F137" s="4" t="s">
        <v>827</v>
      </c>
      <c r="G137" s="4" t="s">
        <v>828</v>
      </c>
      <c r="H137" s="4" t="s">
        <v>76</v>
      </c>
      <c r="I137" s="4" t="s">
        <v>613</v>
      </c>
    </row>
    <row r="138" spans="1:9" ht="15" customHeight="1">
      <c r="A138" s="4">
        <v>136</v>
      </c>
      <c r="B138" s="4" t="s">
        <v>13</v>
      </c>
      <c r="C138" s="4" t="s">
        <v>829</v>
      </c>
      <c r="D138" s="4"/>
      <c r="E138" s="4" t="s">
        <v>826</v>
      </c>
      <c r="F138" s="4" t="s">
        <v>830</v>
      </c>
      <c r="G138" s="4" t="s">
        <v>831</v>
      </c>
      <c r="H138" s="4" t="s">
        <v>76</v>
      </c>
      <c r="I138" s="4" t="s">
        <v>613</v>
      </c>
    </row>
    <row r="139" spans="1:9" ht="15" customHeight="1">
      <c r="A139" s="4">
        <v>137</v>
      </c>
      <c r="B139" s="4" t="s">
        <v>13</v>
      </c>
      <c r="C139" s="4" t="s">
        <v>832</v>
      </c>
      <c r="D139" s="4"/>
      <c r="E139" s="4" t="s">
        <v>684</v>
      </c>
      <c r="F139" s="4" t="s">
        <v>833</v>
      </c>
      <c r="G139" s="4" t="s">
        <v>834</v>
      </c>
      <c r="H139" s="4" t="s">
        <v>76</v>
      </c>
      <c r="I139" s="4" t="s">
        <v>613</v>
      </c>
    </row>
    <row r="140" spans="1:9" ht="15" customHeight="1">
      <c r="A140" s="4">
        <v>138</v>
      </c>
      <c r="B140" s="4" t="s">
        <v>13</v>
      </c>
      <c r="C140" s="4" t="s">
        <v>835</v>
      </c>
      <c r="D140" s="4"/>
      <c r="E140" s="4" t="s">
        <v>709</v>
      </c>
      <c r="F140" s="4" t="s">
        <v>836</v>
      </c>
      <c r="G140" s="4" t="s">
        <v>837</v>
      </c>
      <c r="H140" s="4" t="s">
        <v>76</v>
      </c>
      <c r="I140" s="4" t="s">
        <v>613</v>
      </c>
    </row>
    <row r="141" spans="1:9" ht="15" customHeight="1">
      <c r="A141" s="4">
        <v>139</v>
      </c>
      <c r="B141" s="4" t="s">
        <v>13</v>
      </c>
      <c r="C141" s="4" t="s">
        <v>838</v>
      </c>
      <c r="D141" s="4"/>
      <c r="E141" s="4" t="s">
        <v>719</v>
      </c>
      <c r="F141" s="4" t="s">
        <v>839</v>
      </c>
      <c r="G141" s="4" t="s">
        <v>840</v>
      </c>
      <c r="H141" s="4" t="s">
        <v>76</v>
      </c>
      <c r="I141" s="4" t="s">
        <v>613</v>
      </c>
    </row>
    <row r="142" spans="1:9" ht="15" customHeight="1">
      <c r="A142" s="4">
        <v>140</v>
      </c>
      <c r="B142" s="4" t="s">
        <v>13</v>
      </c>
      <c r="C142" s="4" t="s">
        <v>841</v>
      </c>
      <c r="D142" s="4"/>
      <c r="E142" s="4" t="s">
        <v>693</v>
      </c>
      <c r="F142" s="4" t="s">
        <v>761</v>
      </c>
      <c r="G142" s="4" t="s">
        <v>842</v>
      </c>
      <c r="H142" s="4" t="s">
        <v>76</v>
      </c>
      <c r="I142" s="4" t="s">
        <v>613</v>
      </c>
    </row>
    <row r="143" spans="1:9" ht="15" customHeight="1">
      <c r="A143" s="4">
        <v>141</v>
      </c>
      <c r="B143" s="4" t="s">
        <v>13</v>
      </c>
      <c r="C143" s="4" t="s">
        <v>843</v>
      </c>
      <c r="D143" s="4"/>
      <c r="E143" s="4" t="s">
        <v>844</v>
      </c>
      <c r="F143" s="4" t="s">
        <v>845</v>
      </c>
      <c r="G143" s="4" t="s">
        <v>846</v>
      </c>
      <c r="H143" s="4" t="s">
        <v>76</v>
      </c>
      <c r="I143" s="4" t="s">
        <v>613</v>
      </c>
    </row>
    <row r="144" spans="1:9" ht="15" customHeight="1">
      <c r="A144" s="4">
        <v>142</v>
      </c>
      <c r="B144" s="4" t="s">
        <v>13</v>
      </c>
      <c r="C144" s="4" t="s">
        <v>847</v>
      </c>
      <c r="D144" s="4"/>
      <c r="E144" s="4" t="s">
        <v>693</v>
      </c>
      <c r="F144" s="4" t="s">
        <v>761</v>
      </c>
      <c r="G144" s="4" t="s">
        <v>848</v>
      </c>
      <c r="H144" s="4" t="s">
        <v>76</v>
      </c>
      <c r="I144" s="4" t="s">
        <v>613</v>
      </c>
    </row>
    <row r="145" spans="1:9" ht="15" customHeight="1">
      <c r="A145" s="4">
        <v>143</v>
      </c>
      <c r="B145" s="4" t="s">
        <v>13</v>
      </c>
      <c r="C145" s="4" t="s">
        <v>849</v>
      </c>
      <c r="D145" s="4"/>
      <c r="E145" s="4" t="s">
        <v>684</v>
      </c>
      <c r="F145" s="4" t="s">
        <v>761</v>
      </c>
      <c r="G145" s="4" t="s">
        <v>850</v>
      </c>
      <c r="H145" s="4" t="s">
        <v>76</v>
      </c>
      <c r="I145" s="5" t="s">
        <v>851</v>
      </c>
    </row>
    <row r="146" spans="1:9" ht="15" customHeight="1">
      <c r="A146" s="4">
        <v>144</v>
      </c>
      <c r="B146" s="4" t="s">
        <v>13</v>
      </c>
      <c r="C146" s="4" t="s">
        <v>852</v>
      </c>
      <c r="D146" s="4"/>
      <c r="E146" s="4" t="s">
        <v>684</v>
      </c>
      <c r="F146" s="4" t="s">
        <v>853</v>
      </c>
      <c r="G146" s="4" t="s">
        <v>854</v>
      </c>
      <c r="H146" s="4" t="s">
        <v>76</v>
      </c>
      <c r="I146" s="4" t="s">
        <v>613</v>
      </c>
    </row>
    <row r="147" spans="1:9" ht="15" customHeight="1">
      <c r="A147" s="4">
        <v>145</v>
      </c>
      <c r="B147" s="4" t="s">
        <v>13</v>
      </c>
      <c r="C147" s="4" t="s">
        <v>855</v>
      </c>
      <c r="D147" s="4"/>
      <c r="E147" s="4" t="s">
        <v>856</v>
      </c>
      <c r="F147" s="4" t="s">
        <v>857</v>
      </c>
      <c r="G147" s="4" t="s">
        <v>858</v>
      </c>
      <c r="H147" s="4" t="s">
        <v>76</v>
      </c>
      <c r="I147" s="4" t="s">
        <v>613</v>
      </c>
    </row>
    <row r="148" spans="1:9" ht="15" customHeight="1">
      <c r="A148" s="4">
        <v>146</v>
      </c>
      <c r="B148" s="4" t="s">
        <v>13</v>
      </c>
      <c r="C148" s="4" t="s">
        <v>859</v>
      </c>
      <c r="D148" s="4"/>
      <c r="E148" s="4" t="s">
        <v>693</v>
      </c>
      <c r="F148" s="4" t="s">
        <v>761</v>
      </c>
      <c r="G148" s="4" t="s">
        <v>860</v>
      </c>
      <c r="H148" s="4" t="s">
        <v>76</v>
      </c>
      <c r="I148" s="4" t="s">
        <v>613</v>
      </c>
    </row>
    <row r="149" spans="1:9" ht="15" customHeight="1">
      <c r="A149" s="4">
        <v>147</v>
      </c>
      <c r="B149" s="4" t="s">
        <v>13</v>
      </c>
      <c r="C149" s="4" t="s">
        <v>861</v>
      </c>
      <c r="D149" s="4"/>
      <c r="E149" s="4" t="s">
        <v>856</v>
      </c>
      <c r="F149" s="4" t="s">
        <v>862</v>
      </c>
      <c r="G149" s="4" t="s">
        <v>863</v>
      </c>
      <c r="H149" s="4" t="s">
        <v>76</v>
      </c>
      <c r="I149" s="4" t="s">
        <v>613</v>
      </c>
    </row>
    <row r="150" spans="1:9" ht="15" customHeight="1">
      <c r="A150" s="4">
        <v>148</v>
      </c>
      <c r="B150" s="4" t="s">
        <v>13</v>
      </c>
      <c r="C150" s="4" t="s">
        <v>524</v>
      </c>
      <c r="D150" s="4"/>
      <c r="E150" s="4" t="s">
        <v>719</v>
      </c>
      <c r="F150" s="4" t="s">
        <v>731</v>
      </c>
      <c r="G150" s="4" t="s">
        <v>864</v>
      </c>
      <c r="H150" s="4" t="s">
        <v>76</v>
      </c>
      <c r="I150" s="4" t="s">
        <v>613</v>
      </c>
    </row>
    <row r="151" spans="1:9" ht="15" customHeight="1">
      <c r="A151" s="4">
        <v>149</v>
      </c>
      <c r="B151" s="4" t="s">
        <v>13</v>
      </c>
      <c r="C151" s="4" t="s">
        <v>865</v>
      </c>
      <c r="D151" s="4"/>
      <c r="E151" s="4" t="s">
        <v>684</v>
      </c>
      <c r="F151" s="4" t="s">
        <v>866</v>
      </c>
      <c r="G151" s="4" t="s">
        <v>867</v>
      </c>
      <c r="H151" s="4" t="s">
        <v>76</v>
      </c>
      <c r="I151" s="4" t="s">
        <v>613</v>
      </c>
    </row>
    <row r="152" spans="1:9" ht="15" customHeight="1">
      <c r="A152" s="4">
        <v>150</v>
      </c>
      <c r="B152" s="4" t="s">
        <v>13</v>
      </c>
      <c r="C152" s="4" t="s">
        <v>868</v>
      </c>
      <c r="D152" s="4"/>
      <c r="E152" s="4" t="s">
        <v>693</v>
      </c>
      <c r="F152" s="4" t="s">
        <v>761</v>
      </c>
      <c r="G152" s="4" t="s">
        <v>869</v>
      </c>
      <c r="H152" s="4" t="s">
        <v>76</v>
      </c>
      <c r="I152" s="4" t="s">
        <v>613</v>
      </c>
    </row>
    <row r="153" spans="1:9" ht="15" customHeight="1">
      <c r="A153" s="4">
        <v>151</v>
      </c>
      <c r="B153" s="4" t="s">
        <v>13</v>
      </c>
      <c r="C153" s="4" t="s">
        <v>870</v>
      </c>
      <c r="D153" s="4"/>
      <c r="E153" s="4" t="s">
        <v>689</v>
      </c>
      <c r="F153" s="4" t="s">
        <v>720</v>
      </c>
      <c r="G153" s="4" t="s">
        <v>871</v>
      </c>
      <c r="H153" s="4" t="s">
        <v>76</v>
      </c>
      <c r="I153" s="4" t="s">
        <v>613</v>
      </c>
    </row>
    <row r="154" spans="1:9" ht="15" customHeight="1">
      <c r="A154" s="4">
        <v>152</v>
      </c>
      <c r="B154" s="4" t="s">
        <v>13</v>
      </c>
      <c r="C154" s="4" t="s">
        <v>872</v>
      </c>
      <c r="D154" s="4"/>
      <c r="E154" s="4" t="s">
        <v>709</v>
      </c>
      <c r="F154" s="4" t="s">
        <v>873</v>
      </c>
      <c r="G154" s="4" t="s">
        <v>874</v>
      </c>
      <c r="H154" s="4" t="s">
        <v>76</v>
      </c>
      <c r="I154" s="4" t="s">
        <v>613</v>
      </c>
    </row>
    <row r="155" spans="1:9" ht="15" customHeight="1">
      <c r="A155" s="4">
        <v>153</v>
      </c>
      <c r="B155" s="4" t="s">
        <v>13</v>
      </c>
      <c r="C155" s="4" t="s">
        <v>875</v>
      </c>
      <c r="D155" s="4"/>
      <c r="E155" s="4" t="s">
        <v>709</v>
      </c>
      <c r="F155" s="4" t="s">
        <v>737</v>
      </c>
      <c r="G155" s="4" t="s">
        <v>876</v>
      </c>
      <c r="H155" s="4" t="s">
        <v>76</v>
      </c>
      <c r="I155" s="4" t="s">
        <v>613</v>
      </c>
    </row>
    <row r="156" spans="1:9" ht="15" customHeight="1">
      <c r="A156" s="4">
        <v>154</v>
      </c>
      <c r="B156" s="4" t="s">
        <v>13</v>
      </c>
      <c r="C156" s="4" t="s">
        <v>877</v>
      </c>
      <c r="D156" s="4"/>
      <c r="E156" s="4" t="s">
        <v>709</v>
      </c>
      <c r="F156" s="4" t="s">
        <v>878</v>
      </c>
      <c r="G156" s="4" t="s">
        <v>879</v>
      </c>
      <c r="H156" s="4" t="s">
        <v>76</v>
      </c>
      <c r="I156" s="4" t="s">
        <v>613</v>
      </c>
    </row>
    <row r="157" spans="1:9" ht="15" customHeight="1">
      <c r="A157" s="4">
        <v>155</v>
      </c>
      <c r="B157" s="4" t="s">
        <v>13</v>
      </c>
      <c r="C157" s="4" t="s">
        <v>880</v>
      </c>
      <c r="D157" s="4"/>
      <c r="E157" s="4" t="s">
        <v>689</v>
      </c>
      <c r="F157" s="4" t="s">
        <v>720</v>
      </c>
      <c r="G157" s="4" t="s">
        <v>881</v>
      </c>
      <c r="H157" s="4" t="s">
        <v>76</v>
      </c>
      <c r="I157" s="4" t="s">
        <v>613</v>
      </c>
    </row>
    <row r="158" spans="1:9" ht="15" customHeight="1">
      <c r="A158" s="4">
        <v>156</v>
      </c>
      <c r="B158" s="4" t="s">
        <v>13</v>
      </c>
      <c r="C158" s="4" t="s">
        <v>882</v>
      </c>
      <c r="D158" s="4"/>
      <c r="E158" s="4" t="s">
        <v>689</v>
      </c>
      <c r="F158" s="4" t="s">
        <v>878</v>
      </c>
      <c r="G158" s="4" t="s">
        <v>883</v>
      </c>
      <c r="H158" s="4" t="s">
        <v>76</v>
      </c>
      <c r="I158" s="4" t="s">
        <v>613</v>
      </c>
    </row>
    <row r="159" spans="1:9" ht="15" customHeight="1">
      <c r="A159" s="4">
        <v>157</v>
      </c>
      <c r="B159" s="4" t="s">
        <v>13</v>
      </c>
      <c r="C159" s="4" t="s">
        <v>884</v>
      </c>
      <c r="D159" s="4"/>
      <c r="E159" s="4" t="s">
        <v>709</v>
      </c>
      <c r="F159" s="4" t="s">
        <v>885</v>
      </c>
      <c r="G159" s="4" t="s">
        <v>886</v>
      </c>
      <c r="H159" s="4" t="s">
        <v>76</v>
      </c>
      <c r="I159" s="4" t="s">
        <v>613</v>
      </c>
    </row>
    <row r="160" spans="1:9" ht="15" customHeight="1">
      <c r="A160" s="4">
        <v>158</v>
      </c>
      <c r="B160" s="4" t="s">
        <v>13</v>
      </c>
      <c r="C160" s="4" t="s">
        <v>887</v>
      </c>
      <c r="D160" s="4"/>
      <c r="E160" s="4" t="s">
        <v>709</v>
      </c>
      <c r="F160" s="4" t="s">
        <v>761</v>
      </c>
      <c r="G160" s="4" t="s">
        <v>888</v>
      </c>
      <c r="H160" s="4" t="s">
        <v>76</v>
      </c>
      <c r="I160" s="4" t="s">
        <v>613</v>
      </c>
    </row>
    <row r="161" spans="1:9" ht="15" customHeight="1">
      <c r="A161" s="4">
        <v>159</v>
      </c>
      <c r="B161" s="4" t="s">
        <v>13</v>
      </c>
      <c r="C161" s="4" t="s">
        <v>889</v>
      </c>
      <c r="D161" s="4"/>
      <c r="E161" s="4" t="s">
        <v>693</v>
      </c>
      <c r="F161" s="4" t="s">
        <v>890</v>
      </c>
      <c r="G161" s="4" t="s">
        <v>891</v>
      </c>
      <c r="H161" s="4" t="s">
        <v>76</v>
      </c>
      <c r="I161" s="4" t="s">
        <v>613</v>
      </c>
    </row>
    <row r="162" spans="1:9" ht="15" customHeight="1">
      <c r="A162" s="4">
        <v>160</v>
      </c>
      <c r="B162" s="4" t="s">
        <v>13</v>
      </c>
      <c r="C162" s="4" t="s">
        <v>892</v>
      </c>
      <c r="D162" s="4"/>
      <c r="E162" s="4" t="s">
        <v>709</v>
      </c>
      <c r="F162" s="4" t="s">
        <v>893</v>
      </c>
      <c r="G162" s="4" t="s">
        <v>894</v>
      </c>
      <c r="H162" s="4" t="s">
        <v>76</v>
      </c>
      <c r="I162" s="4" t="s">
        <v>613</v>
      </c>
    </row>
    <row r="163" spans="1:9" ht="15" customHeight="1">
      <c r="A163" s="4">
        <v>161</v>
      </c>
      <c r="B163" s="4" t="s">
        <v>13</v>
      </c>
      <c r="C163" s="4" t="s">
        <v>895</v>
      </c>
      <c r="D163" s="4"/>
      <c r="E163" s="4" t="s">
        <v>689</v>
      </c>
      <c r="F163" s="4" t="s">
        <v>761</v>
      </c>
      <c r="G163" s="4" t="s">
        <v>896</v>
      </c>
      <c r="H163" s="4" t="s">
        <v>76</v>
      </c>
      <c r="I163" s="4" t="s">
        <v>613</v>
      </c>
    </row>
    <row r="164" spans="1:9" ht="15" customHeight="1">
      <c r="A164" s="4">
        <v>162</v>
      </c>
      <c r="B164" s="4" t="s">
        <v>13</v>
      </c>
      <c r="C164" s="4" t="s">
        <v>897</v>
      </c>
      <c r="D164" s="4"/>
      <c r="E164" s="4" t="s">
        <v>709</v>
      </c>
      <c r="F164" s="4" t="s">
        <v>898</v>
      </c>
      <c r="G164" s="4" t="s">
        <v>899</v>
      </c>
      <c r="H164" s="4" t="s">
        <v>76</v>
      </c>
      <c r="I164" s="4" t="s">
        <v>613</v>
      </c>
    </row>
    <row r="165" spans="1:9" ht="15" customHeight="1">
      <c r="A165" s="4">
        <v>163</v>
      </c>
      <c r="B165" s="4" t="s">
        <v>13</v>
      </c>
      <c r="C165" s="4" t="s">
        <v>900</v>
      </c>
      <c r="D165" s="4"/>
      <c r="E165" s="4" t="s">
        <v>689</v>
      </c>
      <c r="F165" s="4" t="s">
        <v>784</v>
      </c>
      <c r="G165" s="4" t="s">
        <v>901</v>
      </c>
      <c r="H165" s="4" t="s">
        <v>76</v>
      </c>
      <c r="I165" s="4" t="s">
        <v>613</v>
      </c>
    </row>
    <row r="166" spans="1:9" ht="15" customHeight="1">
      <c r="A166" s="4">
        <v>164</v>
      </c>
      <c r="B166" s="4" t="s">
        <v>13</v>
      </c>
      <c r="C166" s="4" t="s">
        <v>902</v>
      </c>
      <c r="D166" s="4"/>
      <c r="E166" s="4" t="s">
        <v>689</v>
      </c>
      <c r="F166" s="4" t="s">
        <v>903</v>
      </c>
      <c r="G166" s="4" t="s">
        <v>904</v>
      </c>
      <c r="H166" s="4" t="s">
        <v>76</v>
      </c>
      <c r="I166" s="4" t="s">
        <v>613</v>
      </c>
    </row>
    <row r="167" spans="1:9" ht="15" customHeight="1">
      <c r="A167" s="4">
        <v>165</v>
      </c>
      <c r="B167" s="4" t="s">
        <v>13</v>
      </c>
      <c r="C167" s="4" t="s">
        <v>905</v>
      </c>
      <c r="D167" s="4"/>
      <c r="E167" s="4" t="s">
        <v>684</v>
      </c>
      <c r="F167" s="4" t="s">
        <v>720</v>
      </c>
      <c r="G167" s="4" t="s">
        <v>906</v>
      </c>
      <c r="H167" s="4" t="s">
        <v>76</v>
      </c>
      <c r="I167" s="4" t="s">
        <v>613</v>
      </c>
    </row>
    <row r="168" spans="1:9" ht="15" customHeight="1">
      <c r="A168" s="4">
        <v>166</v>
      </c>
      <c r="B168" s="4" t="s">
        <v>13</v>
      </c>
      <c r="C168" s="4" t="s">
        <v>491</v>
      </c>
      <c r="D168" s="4"/>
      <c r="E168" s="4" t="s">
        <v>693</v>
      </c>
      <c r="F168" s="4" t="s">
        <v>731</v>
      </c>
      <c r="G168" s="4" t="s">
        <v>907</v>
      </c>
      <c r="H168" s="4" t="s">
        <v>76</v>
      </c>
      <c r="I168" s="4" t="s">
        <v>613</v>
      </c>
    </row>
    <row r="169" spans="1:9" ht="15" customHeight="1">
      <c r="A169" s="4">
        <v>167</v>
      </c>
      <c r="B169" s="4" t="s">
        <v>13</v>
      </c>
      <c r="C169" s="4" t="s">
        <v>908</v>
      </c>
      <c r="D169" s="4"/>
      <c r="E169" s="4" t="s">
        <v>689</v>
      </c>
      <c r="F169" s="4" t="s">
        <v>909</v>
      </c>
      <c r="G169" s="4" t="s">
        <v>910</v>
      </c>
      <c r="H169" s="4" t="s">
        <v>76</v>
      </c>
      <c r="I169" s="4" t="s">
        <v>613</v>
      </c>
    </row>
    <row r="170" spans="1:9" ht="15" customHeight="1">
      <c r="A170" s="4">
        <v>168</v>
      </c>
      <c r="B170" s="4" t="s">
        <v>13</v>
      </c>
      <c r="C170" s="4" t="s">
        <v>911</v>
      </c>
      <c r="D170" s="4"/>
      <c r="E170" s="4" t="s">
        <v>822</v>
      </c>
      <c r="F170" s="4" t="s">
        <v>731</v>
      </c>
      <c r="G170" s="4" t="s">
        <v>912</v>
      </c>
      <c r="H170" s="4" t="s">
        <v>76</v>
      </c>
      <c r="I170" s="4" t="s">
        <v>613</v>
      </c>
    </row>
    <row r="171" spans="1:9" ht="15" customHeight="1">
      <c r="A171" s="4">
        <v>169</v>
      </c>
      <c r="B171" s="4" t="s">
        <v>13</v>
      </c>
      <c r="C171" s="4" t="s">
        <v>913</v>
      </c>
      <c r="D171" s="4"/>
      <c r="E171" s="4" t="s">
        <v>914</v>
      </c>
      <c r="F171" s="4" t="s">
        <v>915</v>
      </c>
      <c r="G171" s="4" t="s">
        <v>916</v>
      </c>
      <c r="H171" s="4" t="s">
        <v>76</v>
      </c>
      <c r="I171" s="4" t="s">
        <v>613</v>
      </c>
    </row>
    <row r="172" spans="1:9" ht="15" hidden="1" customHeight="1">
      <c r="A172" s="4">
        <v>171</v>
      </c>
      <c r="B172" s="4" t="s">
        <v>9</v>
      </c>
      <c r="C172" s="4" t="s">
        <v>917</v>
      </c>
      <c r="D172" s="4" t="s">
        <v>918</v>
      </c>
      <c r="E172" s="4" t="s">
        <v>919</v>
      </c>
      <c r="F172" s="4" t="s">
        <v>920</v>
      </c>
      <c r="G172" s="4" t="s">
        <v>921</v>
      </c>
      <c r="H172" s="4" t="s">
        <v>76</v>
      </c>
      <c r="I172" s="4" t="s">
        <v>613</v>
      </c>
    </row>
    <row r="173" spans="1:9" ht="15" hidden="1" customHeight="1">
      <c r="A173" s="4">
        <v>172</v>
      </c>
      <c r="B173" s="4" t="s">
        <v>9</v>
      </c>
      <c r="C173" s="4" t="s">
        <v>870</v>
      </c>
      <c r="D173" s="4" t="s">
        <v>922</v>
      </c>
      <c r="E173" s="4" t="s">
        <v>914</v>
      </c>
      <c r="F173" s="4" t="s">
        <v>923</v>
      </c>
      <c r="G173" s="4" t="s">
        <v>924</v>
      </c>
      <c r="H173" s="4" t="s">
        <v>76</v>
      </c>
      <c r="I173" s="4" t="s">
        <v>613</v>
      </c>
    </row>
    <row r="174" spans="1:9" ht="15" hidden="1" customHeight="1">
      <c r="A174" s="4">
        <v>173</v>
      </c>
      <c r="B174" s="4" t="s">
        <v>9</v>
      </c>
      <c r="C174" s="4" t="s">
        <v>925</v>
      </c>
      <c r="D174" s="4" t="s">
        <v>926</v>
      </c>
      <c r="E174" s="4" t="s">
        <v>914</v>
      </c>
      <c r="F174" s="4" t="s">
        <v>923</v>
      </c>
      <c r="G174" s="4" t="s">
        <v>927</v>
      </c>
      <c r="H174" s="4" t="s">
        <v>76</v>
      </c>
      <c r="I174" s="4" t="s">
        <v>613</v>
      </c>
    </row>
    <row r="175" spans="1:9" ht="15" hidden="1" customHeight="1">
      <c r="A175" s="4">
        <v>174</v>
      </c>
      <c r="B175" s="4" t="s">
        <v>9</v>
      </c>
      <c r="C175" s="4" t="s">
        <v>928</v>
      </c>
      <c r="D175" s="4" t="s">
        <v>929</v>
      </c>
      <c r="E175" s="4" t="s">
        <v>914</v>
      </c>
      <c r="F175" s="4" t="s">
        <v>923</v>
      </c>
      <c r="G175" s="4" t="s">
        <v>930</v>
      </c>
      <c r="H175" s="4" t="s">
        <v>76</v>
      </c>
      <c r="I175" s="4" t="s">
        <v>613</v>
      </c>
    </row>
    <row r="176" spans="1:9" ht="15" hidden="1" customHeight="1">
      <c r="A176" s="4">
        <v>175</v>
      </c>
      <c r="B176" s="4" t="s">
        <v>9</v>
      </c>
      <c r="C176" s="4" t="s">
        <v>931</v>
      </c>
      <c r="D176" s="4" t="s">
        <v>932</v>
      </c>
      <c r="E176" s="4" t="s">
        <v>914</v>
      </c>
      <c r="F176" s="4" t="s">
        <v>933</v>
      </c>
      <c r="G176" s="4" t="s">
        <v>934</v>
      </c>
      <c r="H176" s="4" t="s">
        <v>76</v>
      </c>
      <c r="I176" s="4" t="s">
        <v>613</v>
      </c>
    </row>
    <row r="177" spans="1:9" ht="15" hidden="1" customHeight="1">
      <c r="A177" s="4">
        <v>176</v>
      </c>
      <c r="B177" s="4" t="s">
        <v>9</v>
      </c>
      <c r="C177" s="4" t="s">
        <v>935</v>
      </c>
      <c r="D177" s="4" t="s">
        <v>936</v>
      </c>
      <c r="E177" s="4" t="s">
        <v>914</v>
      </c>
      <c r="F177" s="4" t="s">
        <v>937</v>
      </c>
      <c r="G177" s="4" t="s">
        <v>938</v>
      </c>
      <c r="H177" s="4" t="s">
        <v>76</v>
      </c>
      <c r="I177" s="4" t="s">
        <v>613</v>
      </c>
    </row>
    <row r="178" spans="1:9" ht="15" hidden="1" customHeight="1">
      <c r="A178" s="4">
        <v>177</v>
      </c>
      <c r="B178" s="4" t="s">
        <v>9</v>
      </c>
      <c r="C178" s="4" t="s">
        <v>939</v>
      </c>
      <c r="D178" s="4" t="s">
        <v>940</v>
      </c>
      <c r="E178" s="4" t="s">
        <v>914</v>
      </c>
      <c r="F178" s="4" t="s">
        <v>941</v>
      </c>
      <c r="G178" s="4" t="s">
        <v>942</v>
      </c>
      <c r="H178" s="4" t="s">
        <v>76</v>
      </c>
      <c r="I178" s="4" t="s">
        <v>613</v>
      </c>
    </row>
    <row r="179" spans="1:9" ht="15" hidden="1" customHeight="1">
      <c r="A179" s="4">
        <v>178</v>
      </c>
      <c r="B179" s="4" t="s">
        <v>9</v>
      </c>
      <c r="C179" s="4" t="s">
        <v>943</v>
      </c>
      <c r="D179" s="4" t="s">
        <v>944</v>
      </c>
      <c r="E179" s="4" t="s">
        <v>914</v>
      </c>
      <c r="F179" s="4" t="s">
        <v>945</v>
      </c>
      <c r="G179" s="4" t="s">
        <v>946</v>
      </c>
      <c r="H179" s="4" t="s">
        <v>76</v>
      </c>
      <c r="I179" s="4" t="s">
        <v>613</v>
      </c>
    </row>
    <row r="180" spans="1:9" ht="15" hidden="1" customHeight="1">
      <c r="A180" s="4">
        <v>179</v>
      </c>
      <c r="B180" s="4" t="s">
        <v>9</v>
      </c>
      <c r="C180" s="4" t="s">
        <v>947</v>
      </c>
      <c r="D180" s="4" t="s">
        <v>948</v>
      </c>
      <c r="E180" s="4" t="s">
        <v>689</v>
      </c>
      <c r="F180" s="4" t="s">
        <v>923</v>
      </c>
      <c r="G180" s="4" t="s">
        <v>949</v>
      </c>
      <c r="H180" s="4" t="s">
        <v>76</v>
      </c>
      <c r="I180" s="4" t="s">
        <v>613</v>
      </c>
    </row>
    <row r="181" spans="1:9" ht="15" hidden="1" customHeight="1">
      <c r="A181" s="4">
        <v>180</v>
      </c>
      <c r="B181" s="4" t="s">
        <v>9</v>
      </c>
      <c r="C181" s="4" t="s">
        <v>950</v>
      </c>
      <c r="D181" s="4" t="s">
        <v>951</v>
      </c>
      <c r="E181" s="4" t="s">
        <v>689</v>
      </c>
      <c r="F181" s="4" t="s">
        <v>952</v>
      </c>
      <c r="G181" s="4" t="s">
        <v>953</v>
      </c>
      <c r="H181" s="4" t="s">
        <v>76</v>
      </c>
      <c r="I181" s="4" t="s">
        <v>613</v>
      </c>
    </row>
    <row r="182" spans="1:9" ht="15" hidden="1" customHeight="1">
      <c r="A182" s="4">
        <v>181</v>
      </c>
      <c r="B182" s="4" t="s">
        <v>9</v>
      </c>
      <c r="C182" s="4" t="s">
        <v>954</v>
      </c>
      <c r="D182" s="4" t="s">
        <v>955</v>
      </c>
      <c r="E182" s="4" t="s">
        <v>689</v>
      </c>
      <c r="F182" s="4" t="s">
        <v>923</v>
      </c>
      <c r="G182" s="4" t="s">
        <v>956</v>
      </c>
      <c r="H182" s="4" t="s">
        <v>76</v>
      </c>
      <c r="I182" s="4" t="s">
        <v>613</v>
      </c>
    </row>
    <row r="183" spans="1:9" ht="15" hidden="1" customHeight="1">
      <c r="A183" s="4">
        <v>182</v>
      </c>
      <c r="B183" s="4" t="s">
        <v>9</v>
      </c>
      <c r="C183" s="4" t="s">
        <v>957</v>
      </c>
      <c r="D183" s="4" t="s">
        <v>958</v>
      </c>
      <c r="E183" s="4" t="s">
        <v>689</v>
      </c>
      <c r="F183" s="4" t="s">
        <v>923</v>
      </c>
      <c r="G183" s="4" t="s">
        <v>959</v>
      </c>
      <c r="H183" s="4" t="s">
        <v>76</v>
      </c>
      <c r="I183" s="4" t="s">
        <v>613</v>
      </c>
    </row>
    <row r="184" spans="1:9" ht="15" hidden="1" customHeight="1">
      <c r="A184" s="4">
        <v>183</v>
      </c>
      <c r="B184" s="4" t="s">
        <v>9</v>
      </c>
      <c r="C184" s="4" t="s">
        <v>960</v>
      </c>
      <c r="D184" s="4" t="s">
        <v>961</v>
      </c>
      <c r="E184" s="4" t="s">
        <v>689</v>
      </c>
      <c r="F184" s="4" t="s">
        <v>923</v>
      </c>
      <c r="G184" s="4" t="s">
        <v>962</v>
      </c>
      <c r="H184" s="4" t="s">
        <v>76</v>
      </c>
      <c r="I184" s="4" t="s">
        <v>613</v>
      </c>
    </row>
    <row r="185" spans="1:9" ht="15" hidden="1" customHeight="1">
      <c r="A185" s="4">
        <v>184</v>
      </c>
      <c r="B185" s="4" t="s">
        <v>9</v>
      </c>
      <c r="C185" s="4" t="s">
        <v>963</v>
      </c>
      <c r="D185" s="4" t="s">
        <v>964</v>
      </c>
      <c r="E185" s="4" t="s">
        <v>689</v>
      </c>
      <c r="F185" s="4" t="s">
        <v>965</v>
      </c>
      <c r="G185" s="4" t="s">
        <v>966</v>
      </c>
      <c r="H185" s="4" t="s">
        <v>76</v>
      </c>
      <c r="I185" s="4" t="s">
        <v>613</v>
      </c>
    </row>
    <row r="186" spans="1:9" ht="15" hidden="1" customHeight="1">
      <c r="A186" s="4">
        <v>185</v>
      </c>
      <c r="B186" s="4" t="s">
        <v>9</v>
      </c>
      <c r="C186" s="4" t="s">
        <v>967</v>
      </c>
      <c r="D186" s="4" t="s">
        <v>968</v>
      </c>
      <c r="E186" s="4" t="s">
        <v>689</v>
      </c>
      <c r="F186" s="4" t="s">
        <v>969</v>
      </c>
      <c r="G186" s="4" t="s">
        <v>970</v>
      </c>
      <c r="H186" s="4" t="s">
        <v>76</v>
      </c>
      <c r="I186" s="4" t="s">
        <v>613</v>
      </c>
    </row>
    <row r="187" spans="1:9" ht="15" hidden="1" customHeight="1">
      <c r="A187" s="4">
        <v>186</v>
      </c>
      <c r="B187" s="4" t="s">
        <v>9</v>
      </c>
      <c r="C187" s="4" t="s">
        <v>971</v>
      </c>
      <c r="D187" s="4" t="s">
        <v>972</v>
      </c>
      <c r="E187" s="4" t="s">
        <v>689</v>
      </c>
      <c r="F187" s="4" t="s">
        <v>973</v>
      </c>
      <c r="G187" s="4" t="s">
        <v>974</v>
      </c>
      <c r="H187" s="4" t="s">
        <v>76</v>
      </c>
      <c r="I187" s="4" t="s">
        <v>613</v>
      </c>
    </row>
    <row r="188" spans="1:9" ht="15" hidden="1" customHeight="1">
      <c r="A188" s="4">
        <v>187</v>
      </c>
      <c r="B188" s="4" t="s">
        <v>9</v>
      </c>
      <c r="C188" s="4" t="s">
        <v>975</v>
      </c>
      <c r="D188" s="4" t="s">
        <v>976</v>
      </c>
      <c r="E188" s="4" t="s">
        <v>689</v>
      </c>
      <c r="F188" s="4" t="s">
        <v>923</v>
      </c>
      <c r="G188" s="4" t="s">
        <v>977</v>
      </c>
      <c r="H188" s="4" t="s">
        <v>76</v>
      </c>
      <c r="I188" s="4" t="s">
        <v>613</v>
      </c>
    </row>
    <row r="189" spans="1:9" ht="15" hidden="1" customHeight="1">
      <c r="A189" s="4">
        <v>188</v>
      </c>
      <c r="B189" s="4" t="s">
        <v>9</v>
      </c>
      <c r="C189" s="4" t="s">
        <v>718</v>
      </c>
      <c r="D189" s="4" t="s">
        <v>978</v>
      </c>
      <c r="E189" s="4" t="s">
        <v>719</v>
      </c>
      <c r="F189" s="4" t="s">
        <v>923</v>
      </c>
      <c r="G189" s="4" t="s">
        <v>979</v>
      </c>
      <c r="H189" s="4" t="s">
        <v>76</v>
      </c>
      <c r="I189" s="4" t="s">
        <v>613</v>
      </c>
    </row>
    <row r="190" spans="1:9" ht="15" hidden="1" customHeight="1">
      <c r="A190" s="4">
        <v>189</v>
      </c>
      <c r="B190" s="4" t="s">
        <v>9</v>
      </c>
      <c r="C190" s="4" t="s">
        <v>980</v>
      </c>
      <c r="D190" s="4" t="s">
        <v>981</v>
      </c>
      <c r="E190" s="4" t="s">
        <v>719</v>
      </c>
      <c r="F190" s="4" t="s">
        <v>982</v>
      </c>
      <c r="G190" s="4" t="s">
        <v>983</v>
      </c>
      <c r="H190" s="4" t="s">
        <v>76</v>
      </c>
      <c r="I190" s="4" t="s">
        <v>613</v>
      </c>
    </row>
    <row r="191" spans="1:9" ht="15" hidden="1" customHeight="1">
      <c r="A191" s="4">
        <v>190</v>
      </c>
      <c r="B191" s="4" t="s">
        <v>9</v>
      </c>
      <c r="C191" s="4" t="s">
        <v>984</v>
      </c>
      <c r="D191" s="4" t="s">
        <v>985</v>
      </c>
      <c r="E191" s="4" t="s">
        <v>719</v>
      </c>
      <c r="F191" s="4" t="s">
        <v>986</v>
      </c>
      <c r="G191" s="4" t="s">
        <v>987</v>
      </c>
      <c r="H191" s="4" t="s">
        <v>76</v>
      </c>
      <c r="I191" s="4" t="s">
        <v>613</v>
      </c>
    </row>
    <row r="192" spans="1:9" ht="15" hidden="1" customHeight="1">
      <c r="A192" s="4">
        <v>191</v>
      </c>
      <c r="B192" s="4" t="s">
        <v>9</v>
      </c>
      <c r="C192" s="4" t="s">
        <v>988</v>
      </c>
      <c r="D192" s="4" t="s">
        <v>989</v>
      </c>
      <c r="E192" s="4" t="s">
        <v>719</v>
      </c>
      <c r="F192" s="4" t="s">
        <v>923</v>
      </c>
      <c r="G192" s="4" t="s">
        <v>990</v>
      </c>
      <c r="H192" s="4" t="s">
        <v>76</v>
      </c>
      <c r="I192" s="4" t="s">
        <v>613</v>
      </c>
    </row>
    <row r="193" spans="1:9" ht="15" hidden="1" customHeight="1">
      <c r="A193" s="4">
        <v>192</v>
      </c>
      <c r="B193" s="4" t="s">
        <v>9</v>
      </c>
      <c r="C193" s="4" t="s">
        <v>991</v>
      </c>
      <c r="D193" s="4" t="s">
        <v>992</v>
      </c>
      <c r="E193" s="4" t="s">
        <v>709</v>
      </c>
      <c r="F193" s="4" t="s">
        <v>993</v>
      </c>
      <c r="G193" s="4" t="s">
        <v>994</v>
      </c>
      <c r="H193" s="4" t="s">
        <v>76</v>
      </c>
      <c r="I193" s="4" t="s">
        <v>613</v>
      </c>
    </row>
    <row r="194" spans="1:9" ht="15" hidden="1" customHeight="1">
      <c r="A194" s="4">
        <v>193</v>
      </c>
      <c r="B194" s="4" t="s">
        <v>9</v>
      </c>
      <c r="C194" s="4" t="s">
        <v>995</v>
      </c>
      <c r="D194" s="4" t="s">
        <v>996</v>
      </c>
      <c r="E194" s="4" t="s">
        <v>709</v>
      </c>
      <c r="F194" s="4" t="s">
        <v>997</v>
      </c>
      <c r="G194" s="4" t="s">
        <v>998</v>
      </c>
      <c r="H194" s="4" t="s">
        <v>76</v>
      </c>
      <c r="I194" s="4" t="s">
        <v>613</v>
      </c>
    </row>
    <row r="195" spans="1:9" ht="15" hidden="1" customHeight="1">
      <c r="A195" s="4">
        <v>194</v>
      </c>
      <c r="B195" s="4" t="s">
        <v>9</v>
      </c>
      <c r="C195" s="4" t="s">
        <v>999</v>
      </c>
      <c r="D195" s="4" t="s">
        <v>1000</v>
      </c>
      <c r="E195" s="4" t="s">
        <v>709</v>
      </c>
      <c r="F195" s="4" t="s">
        <v>1001</v>
      </c>
      <c r="G195" s="4" t="s">
        <v>1002</v>
      </c>
      <c r="H195" s="4" t="s">
        <v>76</v>
      </c>
      <c r="I195" s="4" t="s">
        <v>613</v>
      </c>
    </row>
    <row r="196" spans="1:9" ht="15" hidden="1" customHeight="1">
      <c r="A196" s="4">
        <v>195</v>
      </c>
      <c r="B196" s="4" t="s">
        <v>9</v>
      </c>
      <c r="C196" s="4" t="s">
        <v>1003</v>
      </c>
      <c r="D196" s="4" t="s">
        <v>1004</v>
      </c>
      <c r="E196" s="4" t="s">
        <v>709</v>
      </c>
      <c r="F196" s="4" t="s">
        <v>923</v>
      </c>
      <c r="G196" s="4" t="s">
        <v>1005</v>
      </c>
      <c r="H196" s="4" t="s">
        <v>76</v>
      </c>
      <c r="I196" s="4" t="s">
        <v>613</v>
      </c>
    </row>
    <row r="197" spans="1:9" ht="15" hidden="1" customHeight="1">
      <c r="A197" s="4">
        <v>196</v>
      </c>
      <c r="B197" s="4" t="s">
        <v>9</v>
      </c>
      <c r="C197" s="4" t="s">
        <v>1006</v>
      </c>
      <c r="D197" s="4" t="s">
        <v>1007</v>
      </c>
      <c r="E197" s="4" t="s">
        <v>709</v>
      </c>
      <c r="F197" s="4" t="s">
        <v>1008</v>
      </c>
      <c r="G197" s="4" t="s">
        <v>1009</v>
      </c>
      <c r="H197" s="4" t="s">
        <v>76</v>
      </c>
      <c r="I197" s="4" t="s">
        <v>613</v>
      </c>
    </row>
    <row r="198" spans="1:9" ht="15" hidden="1" customHeight="1">
      <c r="A198" s="4">
        <v>197</v>
      </c>
      <c r="B198" s="4" t="s">
        <v>9</v>
      </c>
      <c r="C198" s="4" t="s">
        <v>1010</v>
      </c>
      <c r="D198" s="4" t="s">
        <v>1011</v>
      </c>
      <c r="E198" s="4" t="s">
        <v>709</v>
      </c>
      <c r="F198" s="4" t="s">
        <v>923</v>
      </c>
      <c r="G198" s="4" t="s">
        <v>1012</v>
      </c>
      <c r="H198" s="4" t="s">
        <v>76</v>
      </c>
      <c r="I198" s="4" t="s">
        <v>613</v>
      </c>
    </row>
    <row r="199" spans="1:9" ht="15" hidden="1" customHeight="1">
      <c r="A199" s="4">
        <v>198</v>
      </c>
      <c r="B199" s="4" t="s">
        <v>9</v>
      </c>
      <c r="C199" s="4" t="s">
        <v>1013</v>
      </c>
      <c r="D199" s="4" t="s">
        <v>1014</v>
      </c>
      <c r="E199" s="4" t="s">
        <v>709</v>
      </c>
      <c r="F199" s="4" t="s">
        <v>1015</v>
      </c>
      <c r="G199" s="4" t="s">
        <v>1016</v>
      </c>
      <c r="H199" s="4" t="s">
        <v>76</v>
      </c>
      <c r="I199" s="4" t="s">
        <v>613</v>
      </c>
    </row>
    <row r="200" spans="1:9" ht="15" hidden="1" customHeight="1">
      <c r="A200" s="4">
        <v>199</v>
      </c>
      <c r="B200" s="4" t="s">
        <v>9</v>
      </c>
      <c r="C200" s="4" t="s">
        <v>1017</v>
      </c>
      <c r="D200" s="4" t="s">
        <v>1018</v>
      </c>
      <c r="E200" s="4" t="s">
        <v>709</v>
      </c>
      <c r="F200" s="4" t="s">
        <v>1019</v>
      </c>
      <c r="G200" s="4" t="s">
        <v>1020</v>
      </c>
      <c r="H200" s="4" t="s">
        <v>76</v>
      </c>
      <c r="I200" s="4" t="s">
        <v>613</v>
      </c>
    </row>
    <row r="201" spans="1:9" ht="15" hidden="1" customHeight="1">
      <c r="A201" s="4">
        <v>200</v>
      </c>
      <c r="B201" s="4" t="s">
        <v>9</v>
      </c>
      <c r="C201" s="4" t="s">
        <v>1021</v>
      </c>
      <c r="D201" s="4" t="s">
        <v>1022</v>
      </c>
      <c r="E201" s="4" t="s">
        <v>693</v>
      </c>
      <c r="F201" s="4" t="s">
        <v>1023</v>
      </c>
      <c r="G201" s="4" t="s">
        <v>1024</v>
      </c>
      <c r="H201" s="4" t="s">
        <v>76</v>
      </c>
      <c r="I201" s="4" t="s">
        <v>613</v>
      </c>
    </row>
    <row r="202" spans="1:9" ht="15" hidden="1" customHeight="1">
      <c r="A202" s="4">
        <v>201</v>
      </c>
      <c r="B202" s="4" t="s">
        <v>9</v>
      </c>
      <c r="C202" s="4" t="s">
        <v>1025</v>
      </c>
      <c r="D202" s="4" t="s">
        <v>1026</v>
      </c>
      <c r="E202" s="4" t="s">
        <v>693</v>
      </c>
      <c r="F202" s="4" t="s">
        <v>1027</v>
      </c>
      <c r="G202" s="4" t="s">
        <v>1028</v>
      </c>
      <c r="H202" s="4" t="s">
        <v>76</v>
      </c>
      <c r="I202" s="4" t="s">
        <v>613</v>
      </c>
    </row>
    <row r="203" spans="1:9" ht="15" hidden="1" customHeight="1">
      <c r="A203" s="4">
        <v>202</v>
      </c>
      <c r="B203" s="4" t="s">
        <v>9</v>
      </c>
      <c r="C203" s="4" t="s">
        <v>1029</v>
      </c>
      <c r="D203" s="4" t="s">
        <v>1030</v>
      </c>
      <c r="E203" s="4" t="s">
        <v>693</v>
      </c>
      <c r="F203" s="4" t="s">
        <v>1031</v>
      </c>
      <c r="G203" s="4" t="s">
        <v>1032</v>
      </c>
      <c r="H203" s="4" t="s">
        <v>76</v>
      </c>
      <c r="I203" s="4" t="s">
        <v>613</v>
      </c>
    </row>
    <row r="204" spans="1:9" ht="15" hidden="1" customHeight="1">
      <c r="A204" s="4">
        <v>203</v>
      </c>
      <c r="B204" s="4" t="s">
        <v>9</v>
      </c>
      <c r="C204" s="4" t="s">
        <v>1033</v>
      </c>
      <c r="D204" s="4" t="s">
        <v>1034</v>
      </c>
      <c r="E204" s="4" t="s">
        <v>693</v>
      </c>
      <c r="F204" s="4" t="s">
        <v>1035</v>
      </c>
      <c r="G204" s="4" t="s">
        <v>1036</v>
      </c>
      <c r="H204" s="4" t="s">
        <v>76</v>
      </c>
      <c r="I204" s="4" t="s">
        <v>613</v>
      </c>
    </row>
    <row r="205" spans="1:9" ht="15" hidden="1" customHeight="1">
      <c r="A205" s="4">
        <v>204</v>
      </c>
      <c r="B205" s="4" t="s">
        <v>9</v>
      </c>
      <c r="C205" s="4" t="s">
        <v>1037</v>
      </c>
      <c r="D205" s="4" t="s">
        <v>1038</v>
      </c>
      <c r="E205" s="4" t="s">
        <v>693</v>
      </c>
      <c r="F205" s="4" t="s">
        <v>923</v>
      </c>
      <c r="G205" s="4" t="s">
        <v>1039</v>
      </c>
      <c r="H205" s="4" t="s">
        <v>76</v>
      </c>
      <c r="I205" s="4" t="s">
        <v>629</v>
      </c>
    </row>
    <row r="206" spans="1:9" ht="15" hidden="1" customHeight="1">
      <c r="A206" s="4">
        <v>205</v>
      </c>
      <c r="B206" s="4" t="s">
        <v>9</v>
      </c>
      <c r="C206" s="4" t="s">
        <v>1040</v>
      </c>
      <c r="D206" s="4" t="s">
        <v>1041</v>
      </c>
      <c r="E206" s="4" t="s">
        <v>693</v>
      </c>
      <c r="F206" s="4" t="s">
        <v>923</v>
      </c>
      <c r="G206" s="4" t="s">
        <v>1042</v>
      </c>
      <c r="H206" s="4" t="s">
        <v>76</v>
      </c>
      <c r="I206" s="5" t="s">
        <v>1043</v>
      </c>
    </row>
    <row r="207" spans="1:9" ht="15" hidden="1" customHeight="1">
      <c r="A207" s="4">
        <v>206</v>
      </c>
      <c r="B207" s="4" t="s">
        <v>9</v>
      </c>
      <c r="C207" s="4" t="s">
        <v>1044</v>
      </c>
      <c r="D207" s="4" t="s">
        <v>1045</v>
      </c>
      <c r="E207" s="4" t="s">
        <v>693</v>
      </c>
      <c r="F207" s="4" t="s">
        <v>1046</v>
      </c>
      <c r="G207" s="4" t="s">
        <v>1047</v>
      </c>
      <c r="H207" s="4" t="s">
        <v>76</v>
      </c>
      <c r="I207" s="4" t="s">
        <v>613</v>
      </c>
    </row>
    <row r="208" spans="1:9" ht="15" hidden="1" customHeight="1">
      <c r="A208" s="4">
        <v>207</v>
      </c>
      <c r="B208" s="4" t="s">
        <v>9</v>
      </c>
      <c r="C208" s="4" t="s">
        <v>1048</v>
      </c>
      <c r="D208" s="4" t="s">
        <v>1049</v>
      </c>
      <c r="E208" s="4" t="s">
        <v>693</v>
      </c>
      <c r="F208" s="4" t="s">
        <v>1050</v>
      </c>
      <c r="G208" s="4" t="s">
        <v>1051</v>
      </c>
      <c r="H208" s="4" t="s">
        <v>76</v>
      </c>
      <c r="I208" s="4" t="s">
        <v>613</v>
      </c>
    </row>
    <row r="209" spans="1:9" ht="15" hidden="1" customHeight="1">
      <c r="A209" s="4">
        <v>208</v>
      </c>
      <c r="B209" s="4" t="s">
        <v>9</v>
      </c>
      <c r="C209" s="4" t="s">
        <v>1052</v>
      </c>
      <c r="D209" s="4" t="s">
        <v>1053</v>
      </c>
      <c r="E209" s="4" t="s">
        <v>693</v>
      </c>
      <c r="F209" s="4" t="s">
        <v>1054</v>
      </c>
      <c r="G209" s="4" t="s">
        <v>1055</v>
      </c>
      <c r="H209" s="4" t="s">
        <v>76</v>
      </c>
      <c r="I209" s="4" t="s">
        <v>613</v>
      </c>
    </row>
    <row r="210" spans="1:9" ht="15" hidden="1" customHeight="1">
      <c r="A210" s="4">
        <v>209</v>
      </c>
      <c r="B210" s="4" t="s">
        <v>9</v>
      </c>
      <c r="C210" s="4" t="s">
        <v>1056</v>
      </c>
      <c r="D210" s="4" t="s">
        <v>1057</v>
      </c>
      <c r="E210" s="4" t="s">
        <v>693</v>
      </c>
      <c r="F210" s="4" t="s">
        <v>1058</v>
      </c>
      <c r="G210" s="4" t="s">
        <v>1059</v>
      </c>
      <c r="H210" s="4" t="s">
        <v>76</v>
      </c>
      <c r="I210" s="4" t="s">
        <v>613</v>
      </c>
    </row>
    <row r="211" spans="1:9" ht="15" hidden="1" customHeight="1">
      <c r="A211" s="4">
        <v>210</v>
      </c>
      <c r="B211" s="4" t="s">
        <v>9</v>
      </c>
      <c r="C211" s="4" t="s">
        <v>1060</v>
      </c>
      <c r="D211" s="4" t="s">
        <v>1061</v>
      </c>
      <c r="E211" s="4" t="s">
        <v>693</v>
      </c>
      <c r="F211" s="4" t="s">
        <v>1062</v>
      </c>
      <c r="G211" s="4" t="s">
        <v>1063</v>
      </c>
      <c r="H211" s="4" t="s">
        <v>76</v>
      </c>
      <c r="I211" s="4" t="s">
        <v>613</v>
      </c>
    </row>
    <row r="212" spans="1:9" ht="15" hidden="1" customHeight="1">
      <c r="A212" s="4">
        <v>211</v>
      </c>
      <c r="B212" s="4" t="s">
        <v>9</v>
      </c>
      <c r="C212" s="4" t="s">
        <v>1064</v>
      </c>
      <c r="D212" s="4" t="s">
        <v>1065</v>
      </c>
      <c r="E212" s="4" t="s">
        <v>693</v>
      </c>
      <c r="F212" s="4" t="s">
        <v>1066</v>
      </c>
      <c r="G212" s="4" t="s">
        <v>1067</v>
      </c>
      <c r="H212" s="4" t="s">
        <v>76</v>
      </c>
      <c r="I212" s="4" t="s">
        <v>613</v>
      </c>
    </row>
    <row r="213" spans="1:9" ht="15" hidden="1" customHeight="1">
      <c r="A213" s="4">
        <v>212</v>
      </c>
      <c r="B213" s="4" t="s">
        <v>9</v>
      </c>
      <c r="C213" s="4" t="s">
        <v>1068</v>
      </c>
      <c r="D213" s="4" t="s">
        <v>1069</v>
      </c>
      <c r="E213" s="4" t="s">
        <v>684</v>
      </c>
      <c r="F213" s="4" t="s">
        <v>923</v>
      </c>
      <c r="G213" s="4" t="s">
        <v>1070</v>
      </c>
      <c r="H213" s="4" t="s">
        <v>76</v>
      </c>
      <c r="I213" s="4" t="s">
        <v>613</v>
      </c>
    </row>
    <row r="214" spans="1:9" ht="15" hidden="1" customHeight="1">
      <c r="A214" s="4">
        <v>213</v>
      </c>
      <c r="B214" s="4" t="s">
        <v>9</v>
      </c>
      <c r="C214" s="4" t="s">
        <v>1071</v>
      </c>
      <c r="D214" s="4" t="s">
        <v>1072</v>
      </c>
      <c r="E214" s="4" t="s">
        <v>684</v>
      </c>
      <c r="F214" s="4" t="s">
        <v>1073</v>
      </c>
      <c r="G214" s="4" t="s">
        <v>1074</v>
      </c>
      <c r="H214" s="4" t="s">
        <v>76</v>
      </c>
      <c r="I214" s="4" t="s">
        <v>613</v>
      </c>
    </row>
    <row r="215" spans="1:9" ht="15" hidden="1" customHeight="1">
      <c r="A215" s="4">
        <v>214</v>
      </c>
      <c r="B215" s="4" t="s">
        <v>9</v>
      </c>
      <c r="C215" s="4" t="s">
        <v>1075</v>
      </c>
      <c r="D215" s="4" t="s">
        <v>1076</v>
      </c>
      <c r="E215" s="4" t="s">
        <v>684</v>
      </c>
      <c r="F215" s="4" t="s">
        <v>1077</v>
      </c>
      <c r="G215" s="4" t="s">
        <v>1078</v>
      </c>
      <c r="H215" s="4" t="s">
        <v>76</v>
      </c>
      <c r="I215" s="4" t="s">
        <v>613</v>
      </c>
    </row>
    <row r="216" spans="1:9" ht="15" hidden="1" customHeight="1">
      <c r="A216" s="4">
        <v>215</v>
      </c>
      <c r="B216" s="4" t="s">
        <v>9</v>
      </c>
      <c r="C216" s="4" t="s">
        <v>1079</v>
      </c>
      <c r="D216" s="4" t="s">
        <v>1080</v>
      </c>
      <c r="E216" s="4" t="s">
        <v>684</v>
      </c>
      <c r="F216" s="4" t="s">
        <v>1081</v>
      </c>
      <c r="G216" s="4" t="s">
        <v>1082</v>
      </c>
      <c r="H216" s="4" t="s">
        <v>76</v>
      </c>
      <c r="I216" s="4" t="s">
        <v>613</v>
      </c>
    </row>
    <row r="217" spans="1:9" ht="15" hidden="1" customHeight="1">
      <c r="A217" s="4">
        <v>216</v>
      </c>
      <c r="B217" s="4" t="s">
        <v>9</v>
      </c>
      <c r="C217" s="4" t="s">
        <v>1083</v>
      </c>
      <c r="D217" s="4" t="s">
        <v>1084</v>
      </c>
      <c r="E217" s="4" t="s">
        <v>684</v>
      </c>
      <c r="F217" s="4" t="s">
        <v>1085</v>
      </c>
      <c r="G217" s="4" t="s">
        <v>1086</v>
      </c>
      <c r="H217" s="4" t="s">
        <v>76</v>
      </c>
      <c r="I217" s="4" t="s">
        <v>613</v>
      </c>
    </row>
    <row r="218" spans="1:9" ht="15" hidden="1" customHeight="1">
      <c r="A218" s="4">
        <v>217</v>
      </c>
      <c r="B218" s="4" t="s">
        <v>9</v>
      </c>
      <c r="C218" s="4" t="s">
        <v>1087</v>
      </c>
      <c r="D218" s="4" t="s">
        <v>992</v>
      </c>
      <c r="E218" s="4" t="s">
        <v>684</v>
      </c>
      <c r="F218" s="4" t="s">
        <v>993</v>
      </c>
      <c r="G218" s="4" t="s">
        <v>1088</v>
      </c>
      <c r="H218" s="4" t="s">
        <v>76</v>
      </c>
      <c r="I218" s="4" t="s">
        <v>613</v>
      </c>
    </row>
    <row r="219" spans="1:9" ht="15" hidden="1" customHeight="1">
      <c r="A219" s="4">
        <v>218</v>
      </c>
      <c r="B219" s="4" t="s">
        <v>9</v>
      </c>
      <c r="C219" s="4" t="s">
        <v>1089</v>
      </c>
      <c r="D219" s="4" t="s">
        <v>1090</v>
      </c>
      <c r="E219" s="4" t="s">
        <v>684</v>
      </c>
      <c r="F219" s="4" t="s">
        <v>1091</v>
      </c>
      <c r="G219" s="4" t="s">
        <v>1092</v>
      </c>
      <c r="H219" s="4" t="s">
        <v>76</v>
      </c>
      <c r="I219" s="4" t="s">
        <v>613</v>
      </c>
    </row>
    <row r="220" spans="1:9" ht="15" hidden="1" customHeight="1">
      <c r="A220" s="4">
        <v>219</v>
      </c>
      <c r="B220" s="4" t="s">
        <v>9</v>
      </c>
      <c r="C220" s="4" t="s">
        <v>736</v>
      </c>
      <c r="D220" s="4" t="s">
        <v>1093</v>
      </c>
      <c r="E220" s="4" t="s">
        <v>684</v>
      </c>
      <c r="F220" s="4" t="s">
        <v>1094</v>
      </c>
      <c r="G220" s="4" t="s">
        <v>1095</v>
      </c>
      <c r="H220" s="4" t="s">
        <v>76</v>
      </c>
      <c r="I220" s="4" t="s">
        <v>613</v>
      </c>
    </row>
    <row r="221" spans="1:9" ht="15" hidden="1" customHeight="1">
      <c r="A221" s="4">
        <v>220</v>
      </c>
      <c r="B221" s="4" t="s">
        <v>9</v>
      </c>
      <c r="C221" s="4" t="s">
        <v>1096</v>
      </c>
      <c r="D221" s="4" t="s">
        <v>1097</v>
      </c>
      <c r="E221" s="4" t="s">
        <v>684</v>
      </c>
      <c r="F221" s="4" t="s">
        <v>1098</v>
      </c>
      <c r="G221" s="4" t="s">
        <v>1099</v>
      </c>
      <c r="H221" s="4" t="s">
        <v>76</v>
      </c>
      <c r="I221" s="4" t="s">
        <v>613</v>
      </c>
    </row>
    <row r="222" spans="1:9" ht="15" hidden="1" customHeight="1">
      <c r="A222" s="4">
        <v>221</v>
      </c>
      <c r="B222" s="4" t="s">
        <v>9</v>
      </c>
      <c r="C222" s="4" t="s">
        <v>1100</v>
      </c>
      <c r="D222" s="4" t="s">
        <v>1101</v>
      </c>
      <c r="E222" s="4" t="s">
        <v>684</v>
      </c>
      <c r="F222" s="4" t="s">
        <v>1102</v>
      </c>
      <c r="G222" s="4" t="s">
        <v>1103</v>
      </c>
      <c r="H222" s="4" t="s">
        <v>76</v>
      </c>
      <c r="I222" s="4" t="s">
        <v>613</v>
      </c>
    </row>
    <row r="223" spans="1:9" ht="15" hidden="1" customHeight="1">
      <c r="A223" s="4">
        <v>222</v>
      </c>
      <c r="B223" s="4" t="s">
        <v>9</v>
      </c>
      <c r="C223" s="4" t="s">
        <v>1104</v>
      </c>
      <c r="D223" s="4" t="s">
        <v>1105</v>
      </c>
      <c r="E223" s="4" t="s">
        <v>684</v>
      </c>
      <c r="F223" s="4" t="s">
        <v>1106</v>
      </c>
      <c r="G223" s="4" t="s">
        <v>1107</v>
      </c>
      <c r="H223" s="4" t="s">
        <v>76</v>
      </c>
      <c r="I223" s="4" t="s">
        <v>613</v>
      </c>
    </row>
    <row r="224" spans="1:9" ht="15" hidden="1" customHeight="1">
      <c r="A224" s="4">
        <v>223</v>
      </c>
      <c r="B224" s="4" t="s">
        <v>9</v>
      </c>
      <c r="C224" s="4" t="s">
        <v>1108</v>
      </c>
      <c r="D224" s="4" t="s">
        <v>1109</v>
      </c>
      <c r="E224" s="4" t="s">
        <v>684</v>
      </c>
      <c r="F224" s="4" t="s">
        <v>923</v>
      </c>
      <c r="G224" s="4" t="s">
        <v>1110</v>
      </c>
      <c r="H224" s="4" t="s">
        <v>76</v>
      </c>
      <c r="I224" s="4" t="s">
        <v>613</v>
      </c>
    </row>
    <row r="225" spans="1:9" ht="15" hidden="1" customHeight="1">
      <c r="A225" s="4">
        <v>224</v>
      </c>
      <c r="B225" s="4" t="s">
        <v>9</v>
      </c>
      <c r="C225" s="4" t="s">
        <v>1111</v>
      </c>
      <c r="D225" s="4" t="s">
        <v>1112</v>
      </c>
      <c r="E225" s="4" t="s">
        <v>684</v>
      </c>
      <c r="F225" s="4" t="s">
        <v>1113</v>
      </c>
      <c r="G225" s="4" t="s">
        <v>1114</v>
      </c>
      <c r="H225" s="4" t="s">
        <v>76</v>
      </c>
      <c r="I225" s="4" t="s">
        <v>613</v>
      </c>
    </row>
    <row r="226" spans="1:9" ht="15" hidden="1" customHeight="1">
      <c r="A226" s="4">
        <v>225</v>
      </c>
      <c r="B226" s="4" t="s">
        <v>9</v>
      </c>
      <c r="C226" s="4" t="s">
        <v>1115</v>
      </c>
      <c r="D226" s="4" t="s">
        <v>1116</v>
      </c>
      <c r="E226" s="4" t="s">
        <v>684</v>
      </c>
      <c r="F226" s="4" t="s">
        <v>1117</v>
      </c>
      <c r="G226" s="4" t="s">
        <v>1118</v>
      </c>
      <c r="H226" s="4" t="s">
        <v>76</v>
      </c>
      <c r="I226" s="4" t="s">
        <v>613</v>
      </c>
    </row>
    <row r="227" spans="1:9" ht="15" hidden="1" customHeight="1">
      <c r="A227" s="4">
        <v>226</v>
      </c>
      <c r="B227" s="4" t="s">
        <v>9</v>
      </c>
      <c r="C227" s="4" t="s">
        <v>1119</v>
      </c>
      <c r="D227" s="4" t="s">
        <v>1120</v>
      </c>
      <c r="E227" s="4" t="s">
        <v>684</v>
      </c>
      <c r="F227" s="4" t="s">
        <v>1121</v>
      </c>
      <c r="G227" s="4" t="s">
        <v>1122</v>
      </c>
      <c r="H227" s="4" t="s">
        <v>76</v>
      </c>
      <c r="I227" s="4" t="s">
        <v>629</v>
      </c>
    </row>
    <row r="228" spans="1:9" ht="15" hidden="1" customHeight="1">
      <c r="A228" s="4">
        <v>227</v>
      </c>
      <c r="B228" s="4" t="s">
        <v>9</v>
      </c>
      <c r="C228" s="4" t="s">
        <v>1123</v>
      </c>
      <c r="D228" s="4" t="s">
        <v>1124</v>
      </c>
      <c r="E228" s="4" t="s">
        <v>684</v>
      </c>
      <c r="F228" s="4" t="s">
        <v>1098</v>
      </c>
      <c r="G228" s="4" t="s">
        <v>1125</v>
      </c>
      <c r="H228" s="4" t="s">
        <v>76</v>
      </c>
      <c r="I228" s="4" t="s">
        <v>613</v>
      </c>
    </row>
    <row r="229" spans="1:9" ht="15" hidden="1" customHeight="1">
      <c r="A229" s="4">
        <v>228</v>
      </c>
      <c r="B229" s="4" t="s">
        <v>9</v>
      </c>
      <c r="C229" s="4" t="s">
        <v>1126</v>
      </c>
      <c r="D229" s="4" t="s">
        <v>1127</v>
      </c>
      <c r="E229" s="4" t="s">
        <v>684</v>
      </c>
      <c r="F229" s="4" t="s">
        <v>1128</v>
      </c>
      <c r="G229" s="4" t="s">
        <v>1129</v>
      </c>
      <c r="H229" s="4" t="s">
        <v>76</v>
      </c>
      <c r="I229" s="4" t="s">
        <v>613</v>
      </c>
    </row>
    <row r="230" spans="1:9" ht="15" hidden="1" customHeight="1">
      <c r="A230" s="4">
        <v>229</v>
      </c>
      <c r="B230" s="4" t="s">
        <v>9</v>
      </c>
      <c r="C230" s="4" t="s">
        <v>1130</v>
      </c>
      <c r="D230" s="4" t="s">
        <v>1131</v>
      </c>
      <c r="E230" s="4" t="s">
        <v>684</v>
      </c>
      <c r="F230" s="4" t="s">
        <v>1132</v>
      </c>
      <c r="G230" s="4" t="s">
        <v>1133</v>
      </c>
      <c r="H230" s="4" t="s">
        <v>76</v>
      </c>
      <c r="I230" s="4" t="s">
        <v>613</v>
      </c>
    </row>
    <row r="231" spans="1:9" ht="15" hidden="1" customHeight="1">
      <c r="A231" s="4">
        <v>230</v>
      </c>
      <c r="B231" s="4" t="s">
        <v>9</v>
      </c>
      <c r="C231" s="4" t="s">
        <v>1134</v>
      </c>
      <c r="D231" s="4" t="s">
        <v>1135</v>
      </c>
      <c r="E231" s="4" t="s">
        <v>684</v>
      </c>
      <c r="F231" s="4" t="s">
        <v>1136</v>
      </c>
      <c r="G231" s="4" t="s">
        <v>1137</v>
      </c>
      <c r="H231" s="4" t="s">
        <v>76</v>
      </c>
      <c r="I231" s="4" t="s">
        <v>613</v>
      </c>
    </row>
    <row r="232" spans="1:9" ht="15" hidden="1" customHeight="1">
      <c r="A232" s="4">
        <v>231</v>
      </c>
      <c r="B232" s="4" t="s">
        <v>9</v>
      </c>
      <c r="C232" s="4" t="s">
        <v>1138</v>
      </c>
      <c r="D232" s="4" t="s">
        <v>1139</v>
      </c>
      <c r="E232" s="4" t="s">
        <v>684</v>
      </c>
      <c r="F232" s="4" t="s">
        <v>1140</v>
      </c>
      <c r="G232" s="4" t="s">
        <v>1141</v>
      </c>
      <c r="H232" s="4" t="s">
        <v>76</v>
      </c>
      <c r="I232" s="4" t="s">
        <v>613</v>
      </c>
    </row>
    <row r="233" spans="1:9" ht="15" hidden="1" customHeight="1">
      <c r="A233" s="4">
        <v>232</v>
      </c>
      <c r="B233" s="4" t="s">
        <v>9</v>
      </c>
      <c r="C233" s="4" t="s">
        <v>1142</v>
      </c>
      <c r="D233" s="4" t="s">
        <v>1143</v>
      </c>
      <c r="E233" s="4" t="s">
        <v>684</v>
      </c>
      <c r="F233" s="4" t="s">
        <v>1144</v>
      </c>
      <c r="G233" s="4" t="s">
        <v>1145</v>
      </c>
      <c r="H233" s="4" t="s">
        <v>76</v>
      </c>
      <c r="I233" s="4" t="s">
        <v>613</v>
      </c>
    </row>
    <row r="234" spans="1:9" ht="15" hidden="1" customHeight="1">
      <c r="A234" s="4">
        <v>233</v>
      </c>
      <c r="B234" s="4" t="s">
        <v>9</v>
      </c>
      <c r="C234" s="4" t="s">
        <v>1146</v>
      </c>
      <c r="D234" s="4" t="s">
        <v>1147</v>
      </c>
      <c r="E234" s="4" t="s">
        <v>684</v>
      </c>
      <c r="F234" s="4" t="s">
        <v>1148</v>
      </c>
      <c r="G234" s="4" t="s">
        <v>1149</v>
      </c>
      <c r="H234" s="4" t="s">
        <v>76</v>
      </c>
      <c r="I234" s="4" t="s">
        <v>613</v>
      </c>
    </row>
    <row r="235" spans="1:9" ht="15" hidden="1" customHeight="1">
      <c r="A235" s="4">
        <v>234</v>
      </c>
      <c r="B235" s="4" t="s">
        <v>9</v>
      </c>
      <c r="C235" s="4" t="s">
        <v>1150</v>
      </c>
      <c r="D235" s="4" t="s">
        <v>1151</v>
      </c>
      <c r="E235" s="4" t="s">
        <v>684</v>
      </c>
      <c r="F235" s="4" t="s">
        <v>1152</v>
      </c>
      <c r="G235" s="4" t="s">
        <v>1153</v>
      </c>
      <c r="H235" s="4" t="s">
        <v>76</v>
      </c>
      <c r="I235" s="4" t="s">
        <v>613</v>
      </c>
    </row>
    <row r="236" spans="1:9" ht="15" hidden="1" customHeight="1">
      <c r="A236" s="4">
        <v>235</v>
      </c>
      <c r="B236" s="4" t="s">
        <v>9</v>
      </c>
      <c r="C236" s="4" t="s">
        <v>1154</v>
      </c>
      <c r="D236" s="4" t="s">
        <v>1155</v>
      </c>
      <c r="E236" s="4" t="s">
        <v>684</v>
      </c>
      <c r="F236" s="4" t="s">
        <v>1156</v>
      </c>
      <c r="G236" s="4" t="s">
        <v>1157</v>
      </c>
      <c r="H236" s="4" t="s">
        <v>76</v>
      </c>
      <c r="I236" s="4" t="s">
        <v>613</v>
      </c>
    </row>
    <row r="237" spans="1:9" ht="15" hidden="1" customHeight="1">
      <c r="A237" s="4">
        <v>236</v>
      </c>
      <c r="B237" s="4" t="s">
        <v>9</v>
      </c>
      <c r="C237" s="4" t="s">
        <v>1158</v>
      </c>
      <c r="D237" s="4" t="s">
        <v>1159</v>
      </c>
      <c r="E237" s="4" t="s">
        <v>684</v>
      </c>
      <c r="F237" s="4" t="s">
        <v>923</v>
      </c>
      <c r="G237" s="4" t="s">
        <v>1160</v>
      </c>
      <c r="H237" s="4" t="s">
        <v>76</v>
      </c>
      <c r="I237" s="4" t="s">
        <v>613</v>
      </c>
    </row>
    <row r="238" spans="1:9" ht="15" hidden="1" customHeight="1">
      <c r="A238" s="4">
        <v>237</v>
      </c>
      <c r="B238" s="4" t="s">
        <v>9</v>
      </c>
      <c r="C238" s="4" t="s">
        <v>1161</v>
      </c>
      <c r="D238" s="4" t="s">
        <v>1162</v>
      </c>
      <c r="E238" s="4" t="s">
        <v>684</v>
      </c>
      <c r="F238" s="4" t="s">
        <v>982</v>
      </c>
      <c r="G238" s="4" t="s">
        <v>1163</v>
      </c>
      <c r="H238" s="4" t="s">
        <v>76</v>
      </c>
      <c r="I238" s="4" t="s">
        <v>613</v>
      </c>
    </row>
    <row r="239" spans="1:9" ht="15" hidden="1" customHeight="1">
      <c r="A239" s="4">
        <v>238</v>
      </c>
      <c r="B239" s="4" t="s">
        <v>9</v>
      </c>
      <c r="C239" s="4" t="s">
        <v>1164</v>
      </c>
      <c r="D239" s="4" t="s">
        <v>1165</v>
      </c>
      <c r="E239" s="4" t="s">
        <v>684</v>
      </c>
      <c r="F239" s="4" t="s">
        <v>1166</v>
      </c>
      <c r="G239" s="4" t="s">
        <v>1167</v>
      </c>
      <c r="H239" s="4" t="s">
        <v>76</v>
      </c>
      <c r="I239" s="4" t="s">
        <v>613</v>
      </c>
    </row>
    <row r="240" spans="1:9" ht="15" hidden="1" customHeight="1">
      <c r="A240" s="4">
        <v>239</v>
      </c>
      <c r="B240" s="4" t="s">
        <v>9</v>
      </c>
      <c r="C240" s="4" t="s">
        <v>1168</v>
      </c>
      <c r="D240" s="4" t="s">
        <v>1169</v>
      </c>
      <c r="E240" s="4" t="s">
        <v>684</v>
      </c>
      <c r="F240" s="4" t="s">
        <v>1094</v>
      </c>
      <c r="G240" s="4" t="s">
        <v>1170</v>
      </c>
      <c r="H240" s="4" t="s">
        <v>76</v>
      </c>
      <c r="I240" s="4" t="s">
        <v>613</v>
      </c>
    </row>
    <row r="241" spans="1:9" ht="15" hidden="1" customHeight="1">
      <c r="A241" s="4">
        <v>240</v>
      </c>
      <c r="B241" s="4" t="s">
        <v>12</v>
      </c>
      <c r="C241" s="4" t="s">
        <v>877</v>
      </c>
      <c r="D241" s="4"/>
      <c r="E241" s="4" t="s">
        <v>619</v>
      </c>
      <c r="F241" s="4" t="s">
        <v>1171</v>
      </c>
      <c r="G241" s="4" t="s">
        <v>879</v>
      </c>
      <c r="H241" s="4" t="s">
        <v>76</v>
      </c>
      <c r="I241" s="4" t="s">
        <v>613</v>
      </c>
    </row>
    <row r="242" spans="1:9" ht="15" customHeight="1">
      <c r="A242" s="4">
        <v>241</v>
      </c>
      <c r="B242" s="4" t="s">
        <v>12</v>
      </c>
      <c r="C242" s="4" t="s">
        <v>715</v>
      </c>
      <c r="D242" s="4"/>
      <c r="E242" s="4" t="s">
        <v>619</v>
      </c>
      <c r="F242" s="4" t="s">
        <v>1172</v>
      </c>
      <c r="G242" s="4" t="s">
        <v>717</v>
      </c>
      <c r="H242" s="4" t="s">
        <v>76</v>
      </c>
      <c r="I242" s="4" t="s">
        <v>613</v>
      </c>
    </row>
    <row r="243" spans="1:9" ht="15" customHeight="1">
      <c r="A243" s="4">
        <v>242</v>
      </c>
      <c r="B243" s="4" t="s">
        <v>12</v>
      </c>
      <c r="C243" s="4" t="s">
        <v>116</v>
      </c>
      <c r="D243" s="4"/>
      <c r="E243" s="4" t="s">
        <v>619</v>
      </c>
      <c r="F243" s="4" t="s">
        <v>1173</v>
      </c>
      <c r="G243" s="4" t="s">
        <v>1174</v>
      </c>
      <c r="H243" s="4" t="s">
        <v>76</v>
      </c>
      <c r="I243" s="4" t="s">
        <v>613</v>
      </c>
    </row>
    <row r="244" spans="1:9" ht="15" customHeight="1">
      <c r="A244" s="4">
        <v>243</v>
      </c>
      <c r="B244" s="4" t="s">
        <v>12</v>
      </c>
      <c r="C244" s="4" t="s">
        <v>1175</v>
      </c>
      <c r="D244" s="4"/>
      <c r="E244" s="4" t="s">
        <v>614</v>
      </c>
      <c r="F244" s="4" t="s">
        <v>1176</v>
      </c>
      <c r="G244" s="4" t="s">
        <v>750</v>
      </c>
      <c r="H244" s="4" t="s">
        <v>76</v>
      </c>
      <c r="I244" s="4" t="s">
        <v>629</v>
      </c>
    </row>
    <row r="245" spans="1:9" ht="15" customHeight="1">
      <c r="A245" s="4">
        <v>244</v>
      </c>
      <c r="B245" s="4" t="s">
        <v>12</v>
      </c>
      <c r="C245" s="4" t="s">
        <v>806</v>
      </c>
      <c r="D245" s="4"/>
      <c r="E245" s="4" t="s">
        <v>614</v>
      </c>
      <c r="F245" s="4" t="s">
        <v>1177</v>
      </c>
      <c r="G245" s="4" t="s">
        <v>808</v>
      </c>
      <c r="H245" s="4" t="s">
        <v>76</v>
      </c>
      <c r="I245" s="4" t="s">
        <v>613</v>
      </c>
    </row>
    <row r="246" spans="1:9" ht="15" customHeight="1">
      <c r="A246" s="4">
        <v>245</v>
      </c>
      <c r="B246" s="4" t="s">
        <v>12</v>
      </c>
      <c r="C246" s="4" t="s">
        <v>816</v>
      </c>
      <c r="D246" s="4"/>
      <c r="E246" s="4" t="s">
        <v>614</v>
      </c>
      <c r="F246" s="4" t="s">
        <v>1178</v>
      </c>
      <c r="G246" s="4" t="s">
        <v>817</v>
      </c>
      <c r="H246" s="4" t="s">
        <v>76</v>
      </c>
      <c r="I246" s="4" t="s">
        <v>629</v>
      </c>
    </row>
    <row r="247" spans="1:9" ht="15" customHeight="1">
      <c r="A247" s="4">
        <v>246</v>
      </c>
      <c r="B247" s="4" t="s">
        <v>12</v>
      </c>
      <c r="C247" s="4" t="s">
        <v>1179</v>
      </c>
      <c r="D247" s="4"/>
      <c r="E247" s="4" t="s">
        <v>614</v>
      </c>
      <c r="F247" s="4" t="s">
        <v>1180</v>
      </c>
      <c r="G247" s="4" t="s">
        <v>1181</v>
      </c>
      <c r="H247" s="4" t="s">
        <v>76</v>
      </c>
      <c r="I247" s="5" t="s">
        <v>1182</v>
      </c>
    </row>
    <row r="248" spans="1:9" ht="15" customHeight="1">
      <c r="A248" s="4">
        <v>247</v>
      </c>
      <c r="B248" s="4" t="s">
        <v>12</v>
      </c>
      <c r="C248" s="4" t="s">
        <v>456</v>
      </c>
      <c r="D248" s="4"/>
      <c r="E248" s="4" t="s">
        <v>614</v>
      </c>
      <c r="F248" s="4" t="s">
        <v>1183</v>
      </c>
      <c r="G248" s="4" t="s">
        <v>741</v>
      </c>
      <c r="H248" s="4" t="s">
        <v>76</v>
      </c>
      <c r="I248" s="4" t="s">
        <v>629</v>
      </c>
    </row>
    <row r="249" spans="1:9" ht="15" customHeight="1">
      <c r="A249" s="4">
        <v>248</v>
      </c>
      <c r="B249" s="4" t="s">
        <v>12</v>
      </c>
      <c r="C249" s="4" t="s">
        <v>1184</v>
      </c>
      <c r="D249" s="4"/>
      <c r="E249" s="4" t="s">
        <v>614</v>
      </c>
      <c r="F249" s="4" t="s">
        <v>1185</v>
      </c>
      <c r="G249" s="4" t="s">
        <v>1186</v>
      </c>
      <c r="H249" s="4" t="s">
        <v>76</v>
      </c>
      <c r="I249" s="4" t="s">
        <v>629</v>
      </c>
    </row>
    <row r="250" spans="1:9" ht="15" customHeight="1">
      <c r="A250" s="4">
        <v>249</v>
      </c>
      <c r="B250" s="4" t="s">
        <v>12</v>
      </c>
      <c r="C250" s="4" t="s">
        <v>772</v>
      </c>
      <c r="D250" s="4"/>
      <c r="E250" s="4" t="s">
        <v>614</v>
      </c>
      <c r="F250" s="4" t="s">
        <v>1187</v>
      </c>
      <c r="G250" s="4" t="s">
        <v>774</v>
      </c>
      <c r="H250" s="4" t="s">
        <v>76</v>
      </c>
      <c r="I250" s="4" t="s">
        <v>613</v>
      </c>
    </row>
    <row r="251" spans="1:9" ht="15" customHeight="1">
      <c r="A251" s="4">
        <v>250</v>
      </c>
      <c r="B251" s="4" t="s">
        <v>12</v>
      </c>
      <c r="C251" s="4" t="s">
        <v>724</v>
      </c>
      <c r="D251" s="4"/>
      <c r="E251" s="4" t="s">
        <v>614</v>
      </c>
      <c r="F251" s="4" t="s">
        <v>1188</v>
      </c>
      <c r="G251" s="4" t="s">
        <v>726</v>
      </c>
      <c r="H251" s="4" t="s">
        <v>76</v>
      </c>
      <c r="I251" s="4" t="s">
        <v>629</v>
      </c>
    </row>
    <row r="252" spans="1:9" ht="15" customHeight="1">
      <c r="A252" s="4">
        <v>251</v>
      </c>
      <c r="B252" s="4" t="s">
        <v>12</v>
      </c>
      <c r="C252" s="4" t="s">
        <v>1189</v>
      </c>
      <c r="D252" s="4"/>
      <c r="E252" s="4" t="s">
        <v>614</v>
      </c>
      <c r="F252" s="4" t="s">
        <v>1190</v>
      </c>
      <c r="G252" s="4" t="s">
        <v>1191</v>
      </c>
      <c r="H252" s="4" t="s">
        <v>76</v>
      </c>
      <c r="I252" s="4" t="s">
        <v>613</v>
      </c>
    </row>
    <row r="253" spans="1:9" ht="15" customHeight="1">
      <c r="A253" s="4">
        <v>252</v>
      </c>
      <c r="B253" s="4" t="s">
        <v>12</v>
      </c>
      <c r="C253" s="4" t="s">
        <v>849</v>
      </c>
      <c r="D253" s="4"/>
      <c r="E253" s="4" t="s">
        <v>614</v>
      </c>
      <c r="F253" s="4" t="s">
        <v>1192</v>
      </c>
      <c r="G253" s="4" t="s">
        <v>850</v>
      </c>
      <c r="H253" s="4" t="s">
        <v>76</v>
      </c>
      <c r="I253" s="5" t="s">
        <v>851</v>
      </c>
    </row>
    <row r="254" spans="1:9" ht="15" customHeight="1">
      <c r="A254" s="4">
        <v>253</v>
      </c>
      <c r="B254" s="4" t="s">
        <v>12</v>
      </c>
      <c r="C254" s="4" t="s">
        <v>783</v>
      </c>
      <c r="D254" s="4"/>
      <c r="E254" s="4" t="s">
        <v>614</v>
      </c>
      <c r="F254" s="4" t="s">
        <v>1193</v>
      </c>
      <c r="G254" s="4" t="s">
        <v>785</v>
      </c>
      <c r="H254" s="4" t="s">
        <v>76</v>
      </c>
      <c r="I254" s="4" t="s">
        <v>613</v>
      </c>
    </row>
    <row r="255" spans="1:9" ht="15" customHeight="1">
      <c r="A255" s="4">
        <v>254</v>
      </c>
      <c r="B255" s="4" t="s">
        <v>12</v>
      </c>
      <c r="C255" s="4" t="s">
        <v>760</v>
      </c>
      <c r="D255" s="4"/>
      <c r="E255" s="4" t="s">
        <v>614</v>
      </c>
      <c r="F255" s="4" t="s">
        <v>1194</v>
      </c>
      <c r="G255" s="4" t="s">
        <v>762</v>
      </c>
      <c r="H255" s="4" t="s">
        <v>76</v>
      </c>
      <c r="I255" s="4" t="s">
        <v>629</v>
      </c>
    </row>
    <row r="256" spans="1:9" ht="15" customHeight="1">
      <c r="A256" s="4">
        <v>255</v>
      </c>
      <c r="B256" s="4" t="s">
        <v>12</v>
      </c>
      <c r="C256" s="4" t="s">
        <v>1195</v>
      </c>
      <c r="D256" s="4"/>
      <c r="E256" s="4" t="s">
        <v>614</v>
      </c>
      <c r="F256" s="4" t="s">
        <v>1196</v>
      </c>
      <c r="G256" s="4" t="s">
        <v>1197</v>
      </c>
      <c r="H256" s="4" t="s">
        <v>76</v>
      </c>
      <c r="I256" s="4" t="s">
        <v>613</v>
      </c>
    </row>
    <row r="257" spans="1:9" ht="15" customHeight="1">
      <c r="A257" s="4">
        <v>256</v>
      </c>
      <c r="B257" s="4" t="s">
        <v>12</v>
      </c>
      <c r="C257" s="4" t="s">
        <v>1198</v>
      </c>
      <c r="D257" s="4"/>
      <c r="E257" s="4" t="s">
        <v>614</v>
      </c>
      <c r="F257" s="4" t="s">
        <v>1199</v>
      </c>
      <c r="G257" s="4" t="s">
        <v>1200</v>
      </c>
      <c r="H257" s="4" t="s">
        <v>76</v>
      </c>
      <c r="I257" s="4" t="s">
        <v>613</v>
      </c>
    </row>
    <row r="258" spans="1:9" ht="15" customHeight="1">
      <c r="A258" s="4">
        <v>257</v>
      </c>
      <c r="B258" s="4" t="s">
        <v>12</v>
      </c>
      <c r="C258" s="4" t="s">
        <v>778</v>
      </c>
      <c r="D258" s="4"/>
      <c r="E258" s="4" t="s">
        <v>614</v>
      </c>
      <c r="F258" s="4" t="s">
        <v>1201</v>
      </c>
      <c r="G258" s="4" t="s">
        <v>779</v>
      </c>
      <c r="H258" s="4" t="s">
        <v>76</v>
      </c>
      <c r="I258" s="4" t="s">
        <v>629</v>
      </c>
    </row>
    <row r="259" spans="1:9" ht="15" customHeight="1">
      <c r="A259" s="4">
        <v>258</v>
      </c>
      <c r="B259" s="4" t="s">
        <v>12</v>
      </c>
      <c r="C259" s="4" t="s">
        <v>1202</v>
      </c>
      <c r="D259" s="4"/>
      <c r="E259" s="4" t="s">
        <v>614</v>
      </c>
      <c r="F259" s="4" t="s">
        <v>1203</v>
      </c>
      <c r="G259" s="4" t="s">
        <v>1204</v>
      </c>
      <c r="H259" s="4" t="s">
        <v>76</v>
      </c>
      <c r="I259" s="4" t="s">
        <v>613</v>
      </c>
    </row>
    <row r="260" spans="1:9" ht="15" customHeight="1">
      <c r="A260" s="4">
        <v>259</v>
      </c>
      <c r="B260" s="4" t="s">
        <v>12</v>
      </c>
      <c r="C260" s="4" t="s">
        <v>1205</v>
      </c>
      <c r="D260" s="4"/>
      <c r="E260" s="4" t="s">
        <v>614</v>
      </c>
      <c r="F260" s="4" t="s">
        <v>1206</v>
      </c>
      <c r="G260" s="4" t="s">
        <v>1207</v>
      </c>
      <c r="H260" s="4" t="s">
        <v>76</v>
      </c>
      <c r="I260" s="4" t="s">
        <v>613</v>
      </c>
    </row>
    <row r="261" spans="1:9" ht="15" customHeight="1">
      <c r="A261" s="4">
        <v>260</v>
      </c>
      <c r="B261" s="4" t="s">
        <v>12</v>
      </c>
      <c r="C261" s="4" t="s">
        <v>1208</v>
      </c>
      <c r="D261" s="4"/>
      <c r="E261" s="4" t="s">
        <v>614</v>
      </c>
      <c r="F261" s="4" t="s">
        <v>1209</v>
      </c>
      <c r="G261" s="4" t="s">
        <v>1210</v>
      </c>
      <c r="H261" s="4" t="s">
        <v>76</v>
      </c>
      <c r="I261" s="4" t="s">
        <v>613</v>
      </c>
    </row>
    <row r="262" spans="1:9" ht="15" customHeight="1">
      <c r="A262" s="4">
        <v>261</v>
      </c>
      <c r="B262" s="4" t="s">
        <v>12</v>
      </c>
      <c r="C262" s="4" t="s">
        <v>788</v>
      </c>
      <c r="D262" s="4"/>
      <c r="E262" s="4" t="s">
        <v>621</v>
      </c>
      <c r="F262" s="4" t="s">
        <v>1211</v>
      </c>
      <c r="G262" s="4" t="s">
        <v>790</v>
      </c>
      <c r="H262" s="4" t="s">
        <v>76</v>
      </c>
      <c r="I262" s="4" t="s">
        <v>613</v>
      </c>
    </row>
    <row r="263" spans="1:9" ht="15" customHeight="1">
      <c r="A263" s="4">
        <v>262</v>
      </c>
      <c r="B263" s="4" t="s">
        <v>12</v>
      </c>
      <c r="C263" s="4" t="s">
        <v>754</v>
      </c>
      <c r="D263" s="4"/>
      <c r="E263" s="4" t="s">
        <v>621</v>
      </c>
      <c r="F263" s="4" t="s">
        <v>1212</v>
      </c>
      <c r="G263" s="4" t="s">
        <v>756</v>
      </c>
      <c r="H263" s="4" t="s">
        <v>76</v>
      </c>
      <c r="I263" s="4" t="s">
        <v>613</v>
      </c>
    </row>
    <row r="264" spans="1:9" ht="15" customHeight="1">
      <c r="A264" s="4">
        <v>263</v>
      </c>
      <c r="B264" s="4" t="s">
        <v>12</v>
      </c>
      <c r="C264" s="4" t="s">
        <v>730</v>
      </c>
      <c r="D264" s="4"/>
      <c r="E264" s="4" t="s">
        <v>621</v>
      </c>
      <c r="F264" s="4" t="s">
        <v>1213</v>
      </c>
      <c r="G264" s="4" t="s">
        <v>732</v>
      </c>
      <c r="H264" s="4" t="s">
        <v>76</v>
      </c>
      <c r="I264" s="4" t="s">
        <v>613</v>
      </c>
    </row>
    <row r="265" spans="1:9" ht="15" customHeight="1">
      <c r="A265" s="4">
        <v>264</v>
      </c>
      <c r="B265" s="4" t="s">
        <v>12</v>
      </c>
      <c r="C265" s="4" t="s">
        <v>1214</v>
      </c>
      <c r="D265" s="4"/>
      <c r="E265" s="4" t="s">
        <v>614</v>
      </c>
      <c r="F265" s="4" t="s">
        <v>1215</v>
      </c>
      <c r="G265" s="4" t="s">
        <v>815</v>
      </c>
      <c r="H265" s="4" t="s">
        <v>76</v>
      </c>
      <c r="I265" s="4" t="s">
        <v>613</v>
      </c>
    </row>
    <row r="266" spans="1:9" ht="15" customHeight="1">
      <c r="A266" s="4">
        <v>265</v>
      </c>
      <c r="B266" s="4" t="s">
        <v>12</v>
      </c>
      <c r="C266" s="4" t="s">
        <v>800</v>
      </c>
      <c r="D266" s="4"/>
      <c r="E266" s="4" t="s">
        <v>621</v>
      </c>
      <c r="F266" s="4" t="s">
        <v>1216</v>
      </c>
      <c r="G266" s="4" t="s">
        <v>801</v>
      </c>
      <c r="H266" s="4" t="s">
        <v>76</v>
      </c>
      <c r="I266" s="4" t="s">
        <v>613</v>
      </c>
    </row>
    <row r="267" spans="1:9" ht="15" customHeight="1">
      <c r="A267" s="4">
        <v>266</v>
      </c>
      <c r="B267" s="4" t="s">
        <v>12</v>
      </c>
      <c r="C267" s="4" t="s">
        <v>802</v>
      </c>
      <c r="D267" s="4"/>
      <c r="E267" s="4" t="s">
        <v>621</v>
      </c>
      <c r="F267" s="4" t="s">
        <v>1217</v>
      </c>
      <c r="G267" s="4" t="s">
        <v>803</v>
      </c>
      <c r="H267" s="4" t="s">
        <v>76</v>
      </c>
      <c r="I267" s="4" t="s">
        <v>613</v>
      </c>
    </row>
    <row r="268" spans="1:9" ht="15" customHeight="1">
      <c r="A268" s="4">
        <v>267</v>
      </c>
      <c r="B268" s="4" t="s">
        <v>12</v>
      </c>
      <c r="C268" s="4" t="s">
        <v>246</v>
      </c>
      <c r="D268" s="4"/>
      <c r="E268" s="4" t="s">
        <v>621</v>
      </c>
      <c r="F268" s="4" t="s">
        <v>1218</v>
      </c>
      <c r="G268" s="4" t="s">
        <v>793</v>
      </c>
      <c r="H268" s="4" t="s">
        <v>76</v>
      </c>
      <c r="I268" s="4" t="s">
        <v>613</v>
      </c>
    </row>
    <row r="269" spans="1:9" ht="15" customHeight="1">
      <c r="A269" s="4">
        <v>268</v>
      </c>
      <c r="B269" s="4" t="s">
        <v>12</v>
      </c>
      <c r="C269" s="4" t="s">
        <v>742</v>
      </c>
      <c r="D269" s="4"/>
      <c r="E269" s="4" t="s">
        <v>621</v>
      </c>
      <c r="F269" s="4" t="s">
        <v>1219</v>
      </c>
      <c r="G269" s="4" t="s">
        <v>744</v>
      </c>
      <c r="H269" s="4" t="s">
        <v>76</v>
      </c>
      <c r="I269" s="4" t="s">
        <v>613</v>
      </c>
    </row>
    <row r="270" spans="1:9" ht="15" customHeight="1">
      <c r="A270" s="4">
        <v>269</v>
      </c>
      <c r="B270" s="4" t="s">
        <v>12</v>
      </c>
      <c r="C270" s="4" t="s">
        <v>1220</v>
      </c>
      <c r="D270" s="4"/>
      <c r="E270" s="4" t="s">
        <v>621</v>
      </c>
      <c r="F270" s="4" t="s">
        <v>1221</v>
      </c>
      <c r="G270" s="4" t="s">
        <v>1222</v>
      </c>
      <c r="H270" s="4" t="s">
        <v>76</v>
      </c>
      <c r="I270" s="4" t="s">
        <v>613</v>
      </c>
    </row>
    <row r="271" spans="1:9" ht="15" customHeight="1">
      <c r="A271" s="4">
        <v>270</v>
      </c>
      <c r="B271" s="4" t="s">
        <v>12</v>
      </c>
      <c r="C271" s="4" t="s">
        <v>1223</v>
      </c>
      <c r="D271" s="4"/>
      <c r="E271" s="4" t="s">
        <v>621</v>
      </c>
      <c r="F271" s="4" t="s">
        <v>1224</v>
      </c>
      <c r="G271" s="4" t="s">
        <v>1225</v>
      </c>
      <c r="H271" s="4" t="s">
        <v>76</v>
      </c>
      <c r="I271" s="4" t="s">
        <v>613</v>
      </c>
    </row>
    <row r="272" spans="1:9" ht="15" customHeight="1">
      <c r="A272" s="4">
        <v>271</v>
      </c>
      <c r="B272" s="4" t="s">
        <v>12</v>
      </c>
      <c r="C272" s="4" t="s">
        <v>1226</v>
      </c>
      <c r="D272" s="4"/>
      <c r="E272" s="4" t="s">
        <v>621</v>
      </c>
      <c r="F272" s="4" t="s">
        <v>1227</v>
      </c>
      <c r="G272" s="4" t="s">
        <v>1228</v>
      </c>
      <c r="H272" s="4" t="s">
        <v>76</v>
      </c>
      <c r="I272" s="4" t="s">
        <v>613</v>
      </c>
    </row>
    <row r="273" spans="1:9" ht="15" customHeight="1">
      <c r="A273" s="4">
        <v>272</v>
      </c>
      <c r="B273" s="4" t="s">
        <v>12</v>
      </c>
      <c r="C273" s="4" t="s">
        <v>1229</v>
      </c>
      <c r="D273" s="4"/>
      <c r="E273" s="4" t="s">
        <v>619</v>
      </c>
      <c r="F273" s="4" t="s">
        <v>1230</v>
      </c>
      <c r="G273" s="4" t="s">
        <v>1231</v>
      </c>
      <c r="H273" s="4" t="s">
        <v>76</v>
      </c>
      <c r="I273" s="4" t="s">
        <v>613</v>
      </c>
    </row>
    <row r="274" spans="1:9" ht="15" customHeight="1">
      <c r="A274" s="4">
        <v>273</v>
      </c>
      <c r="B274" s="4" t="s">
        <v>12</v>
      </c>
      <c r="C274" s="4" t="s">
        <v>1232</v>
      </c>
      <c r="D274" s="4"/>
      <c r="E274" s="4" t="s">
        <v>614</v>
      </c>
      <c r="F274" s="4" t="s">
        <v>1233</v>
      </c>
      <c r="G274" s="4" t="s">
        <v>1234</v>
      </c>
      <c r="H274" s="4" t="s">
        <v>76</v>
      </c>
      <c r="I274" s="4" t="s">
        <v>613</v>
      </c>
    </row>
    <row r="275" spans="1:9" ht="15" customHeight="1">
      <c r="A275" s="4">
        <v>274</v>
      </c>
      <c r="B275" s="4" t="s">
        <v>12</v>
      </c>
      <c r="C275" s="4" t="s">
        <v>1235</v>
      </c>
      <c r="D275" s="4"/>
      <c r="E275" s="4" t="s">
        <v>614</v>
      </c>
      <c r="F275" s="4" t="s">
        <v>1236</v>
      </c>
      <c r="G275" s="4" t="s">
        <v>1237</v>
      </c>
      <c r="H275" s="4" t="s">
        <v>76</v>
      </c>
      <c r="I275" s="4" t="s">
        <v>613</v>
      </c>
    </row>
    <row r="276" spans="1:9" ht="15" customHeight="1">
      <c r="A276" s="4">
        <v>275</v>
      </c>
      <c r="B276" s="4" t="s">
        <v>12</v>
      </c>
      <c r="C276" s="4" t="s">
        <v>1238</v>
      </c>
      <c r="D276" s="4"/>
      <c r="E276" s="4" t="s">
        <v>614</v>
      </c>
      <c r="F276" s="4" t="s">
        <v>1239</v>
      </c>
      <c r="G276" s="4" t="s">
        <v>1240</v>
      </c>
      <c r="H276" s="4" t="s">
        <v>76</v>
      </c>
      <c r="I276" s="4" t="s">
        <v>613</v>
      </c>
    </row>
    <row r="277" spans="1:9" ht="15" customHeight="1">
      <c r="A277" s="4">
        <v>276</v>
      </c>
      <c r="B277" s="4" t="s">
        <v>12</v>
      </c>
      <c r="C277" s="4" t="s">
        <v>1241</v>
      </c>
      <c r="D277" s="4"/>
      <c r="E277" s="4" t="s">
        <v>614</v>
      </c>
      <c r="F277" s="4" t="s">
        <v>1242</v>
      </c>
      <c r="G277" s="4" t="s">
        <v>1243</v>
      </c>
      <c r="H277" s="4" t="s">
        <v>76</v>
      </c>
      <c r="I277" s="4" t="s">
        <v>613</v>
      </c>
    </row>
    <row r="278" spans="1:9" ht="15" customHeight="1">
      <c r="A278" s="4">
        <v>277</v>
      </c>
      <c r="B278" s="4" t="s">
        <v>12</v>
      </c>
      <c r="C278" s="4" t="s">
        <v>1244</v>
      </c>
      <c r="D278" s="4"/>
      <c r="E278" s="4" t="s">
        <v>614</v>
      </c>
      <c r="F278" s="4" t="s">
        <v>1245</v>
      </c>
      <c r="G278" s="4" t="s">
        <v>1246</v>
      </c>
      <c r="H278" s="4" t="s">
        <v>76</v>
      </c>
      <c r="I278" s="4" t="s">
        <v>613</v>
      </c>
    </row>
    <row r="279" spans="1:9" ht="15" customHeight="1">
      <c r="A279" s="4">
        <v>278</v>
      </c>
      <c r="B279" s="4" t="s">
        <v>12</v>
      </c>
      <c r="C279" s="4" t="s">
        <v>491</v>
      </c>
      <c r="D279" s="4"/>
      <c r="E279" s="4" t="s">
        <v>621</v>
      </c>
      <c r="F279" s="4" t="s">
        <v>1247</v>
      </c>
      <c r="G279" s="4" t="s">
        <v>907</v>
      </c>
      <c r="H279" s="4" t="s">
        <v>76</v>
      </c>
      <c r="I279" s="4" t="s">
        <v>613</v>
      </c>
    </row>
    <row r="280" spans="1:9" ht="15" customHeight="1">
      <c r="A280" s="4">
        <v>279</v>
      </c>
      <c r="B280" s="4" t="s">
        <v>12</v>
      </c>
      <c r="C280" s="4" t="s">
        <v>1248</v>
      </c>
      <c r="D280" s="4"/>
      <c r="E280" s="4" t="s">
        <v>621</v>
      </c>
      <c r="F280" s="4" t="s">
        <v>1249</v>
      </c>
      <c r="G280" s="4" t="s">
        <v>1250</v>
      </c>
      <c r="H280" s="4" t="s">
        <v>76</v>
      </c>
      <c r="I280" s="4" t="s">
        <v>613</v>
      </c>
    </row>
    <row r="281" spans="1:9" ht="15" customHeight="1"/>
  </sheetData>
  <autoFilter ref="A2:I281" xr:uid="{00000000-0009-0000-0000-000004000000}">
    <filterColumn colId="3">
      <filters blank="1"/>
    </filterColumn>
  </autoFilter>
  <mergeCells count="1">
    <mergeCell ref="A1:I1"/>
  </mergeCells>
  <hyperlinks>
    <hyperlink ref="G5" r:id="rId1" xr:uid="{00000000-0004-0000-0400-000000000000}"/>
    <hyperlink ref="G6" r:id="rId2" xr:uid="{00000000-0004-0000-0400-000001000000}"/>
    <hyperlink ref="G7" r:id="rId3" xr:uid="{00000000-0004-0000-0400-000002000000}"/>
    <hyperlink ref="G9" r:id="rId4" xr:uid="{00000000-0004-0000-0400-000003000000}"/>
    <hyperlink ref="G11" r:id="rId5" xr:uid="{00000000-0004-0000-0400-000004000000}"/>
    <hyperlink ref="G13" r:id="rId6" xr:uid="{00000000-0004-0000-0400-000005000000}"/>
    <hyperlink ref="G19" r:id="rId7" xr:uid="{00000000-0004-0000-0400-000006000000}"/>
    <hyperlink ref="G21" r:id="rId8" xr:uid="{00000000-0004-0000-0400-000007000000}"/>
    <hyperlink ref="G25" r:id="rId9" xr:uid="{00000000-0004-0000-0400-000008000000}"/>
    <hyperlink ref="G28" r:id="rId10" xr:uid="{00000000-0004-0000-0400-000009000000}"/>
    <hyperlink ref="G29" r:id="rId11" xr:uid="{00000000-0004-0000-0400-00000A000000}"/>
    <hyperlink ref="G31" r:id="rId12" xr:uid="{00000000-0004-0000-0400-00000B000000}"/>
    <hyperlink ref="G33" r:id="rId13" xr:uid="{00000000-0004-0000-0400-00000C000000}"/>
    <hyperlink ref="G37" r:id="rId14" xr:uid="{00000000-0004-0000-0400-00000D000000}"/>
    <hyperlink ref="G41" r:id="rId15" xr:uid="{00000000-0004-0000-0400-00000E000000}"/>
    <hyperlink ref="G42" r:id="rId16" xr:uid="{00000000-0004-0000-0400-00000F000000}"/>
    <hyperlink ref="G54" r:id="rId17" xr:uid="{00000000-0004-0000-0400-000010000000}"/>
    <hyperlink ref="G57" r:id="rId18" xr:uid="{00000000-0004-0000-0400-000011000000}"/>
    <hyperlink ref="G63" r:id="rId19" xr:uid="{00000000-0004-0000-0400-000012000000}"/>
    <hyperlink ref="G67" r:id="rId20" xr:uid="{00000000-0004-0000-0400-000013000000}"/>
    <hyperlink ref="G68" r:id="rId21" xr:uid="{00000000-0004-0000-0400-000014000000}"/>
    <hyperlink ref="G69" r:id="rId22" xr:uid="{00000000-0004-0000-0400-000015000000}"/>
    <hyperlink ref="G71" r:id="rId23" xr:uid="{00000000-0004-0000-0400-000016000000}"/>
    <hyperlink ref="G72" r:id="rId24" xr:uid="{00000000-0004-0000-0400-000017000000}"/>
    <hyperlink ref="G74" r:id="rId25" xr:uid="{40BE6E4A-4D8F-485C-8874-2EBC475D688E}"/>
    <hyperlink ref="G75" r:id="rId26" xr:uid="{E087328F-9B74-4F5D-A661-1176AA0F4BAC}"/>
    <hyperlink ref="G76" r:id="rId27" xr:uid="{FB051072-A32E-4A56-B18E-F2A9672E4266}"/>
    <hyperlink ref="G77" r:id="rId28" xr:uid="{41051D78-E74B-49C4-9968-D4EB0C2A8B69}"/>
    <hyperlink ref="G78" r:id="rId29" xr:uid="{5E7C148C-7C1F-4B56-A10F-948B2563D638}"/>
    <hyperlink ref="G79" r:id="rId30" xr:uid="{F2E650E5-D64D-4B64-B93E-CBC8379CD203}"/>
    <hyperlink ref="G80" r:id="rId31" xr:uid="{B1045EE9-AD98-4320-9CE2-00568262C11E}"/>
    <hyperlink ref="G81" r:id="rId32" xr:uid="{F9488861-C66B-4F83-A444-0FC7FE7BC6E7}"/>
    <hyperlink ref="G82" r:id="rId33" xr:uid="{8056DA31-ADB8-45F8-BCA2-1C025B9551BF}"/>
    <hyperlink ref="G83" r:id="rId34" xr:uid="{4750AFDB-FC89-4CA7-9086-2B7013A13691}"/>
    <hyperlink ref="G84" r:id="rId35" xr:uid="{1ED65BF1-1CC6-40A8-9609-5514AF1826E4}"/>
    <hyperlink ref="G85" r:id="rId36" xr:uid="{EA9C43BE-DFDC-46E8-A082-593BB14179C4}"/>
    <hyperlink ref="G86" r:id="rId37" xr:uid="{1A3AE49E-6271-434F-9851-AB2FCFE4A210}"/>
    <hyperlink ref="G45" r:id="rId38" xr:uid="{9DEB2B76-9BA3-456C-A097-BD6D88058574}"/>
    <hyperlink ref="G65" r:id="rId39" xr:uid="{CF2B05E6-7A0E-4AE7-9091-EA8897F09431}"/>
    <hyperlink ref="G61" r:id="rId40" xr:uid="{EB54756D-5042-44F6-8F9D-739BCE56A7D5}"/>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6"/>
  <sheetViews>
    <sheetView zoomScaleNormal="100" workbookViewId="0">
      <selection activeCell="A4" sqref="A4"/>
    </sheetView>
  </sheetViews>
  <sheetFormatPr defaultColWidth="8.5703125" defaultRowHeight="14.45"/>
  <cols>
    <col min="2" max="2" width="16" customWidth="1"/>
    <col min="3" max="3" width="14.140625" customWidth="1"/>
    <col min="4" max="4" width="16.140625" customWidth="1"/>
    <col min="5" max="5" width="15.5703125" customWidth="1"/>
    <col min="6" max="6" width="15.28515625" customWidth="1"/>
    <col min="7" max="7" width="18" customWidth="1"/>
    <col min="8" max="8" width="16.85546875" customWidth="1"/>
  </cols>
  <sheetData>
    <row r="1" spans="1:8" ht="34.5" customHeight="1">
      <c r="A1" s="10" t="s">
        <v>1251</v>
      </c>
      <c r="B1" s="10"/>
      <c r="C1" s="10"/>
      <c r="D1" s="10"/>
      <c r="E1" s="10"/>
      <c r="F1" s="10"/>
      <c r="G1" s="10"/>
      <c r="H1" s="10"/>
    </row>
    <row r="2" spans="1:8" ht="15" customHeight="1">
      <c r="A2" s="11"/>
      <c r="B2" s="11"/>
      <c r="C2" s="11"/>
      <c r="D2" s="11"/>
      <c r="E2" s="11"/>
      <c r="F2" s="11"/>
      <c r="G2" s="11"/>
      <c r="H2" s="11"/>
    </row>
    <row r="3" spans="1:8" ht="15" customHeight="1">
      <c r="A3" s="11" t="s">
        <v>1252</v>
      </c>
      <c r="B3" s="11" t="s">
        <v>57</v>
      </c>
      <c r="C3" s="11" t="s">
        <v>59</v>
      </c>
      <c r="D3" s="11" t="s">
        <v>1253</v>
      </c>
      <c r="E3" s="11" t="s">
        <v>1254</v>
      </c>
      <c r="F3" s="11" t="s">
        <v>1255</v>
      </c>
      <c r="G3" s="11" t="s">
        <v>448</v>
      </c>
      <c r="H3" s="11" t="s">
        <v>67</v>
      </c>
    </row>
    <row r="4" spans="1:8" ht="15" customHeight="1">
      <c r="A4" s="11" t="s">
        <v>1256</v>
      </c>
      <c r="B4" s="11" t="s">
        <v>683</v>
      </c>
      <c r="C4" s="11">
        <v>2026</v>
      </c>
      <c r="D4" s="11" t="s">
        <v>686</v>
      </c>
      <c r="E4" s="11" t="s">
        <v>1257</v>
      </c>
      <c r="F4" s="11" t="s">
        <v>1258</v>
      </c>
      <c r="G4" s="12" t="s">
        <v>687</v>
      </c>
      <c r="H4" s="12" t="s">
        <v>687</v>
      </c>
    </row>
    <row r="5" spans="1:8" ht="15" customHeight="1">
      <c r="A5" s="11" t="s">
        <v>1259</v>
      </c>
      <c r="B5" s="11" t="s">
        <v>688</v>
      </c>
      <c r="C5" s="11">
        <v>2022</v>
      </c>
      <c r="D5" s="11" t="s">
        <v>691</v>
      </c>
      <c r="E5" s="11" t="s">
        <v>1257</v>
      </c>
      <c r="F5" s="11" t="s">
        <v>1258</v>
      </c>
      <c r="G5" s="12" t="s">
        <v>687</v>
      </c>
      <c r="H5" s="12" t="s">
        <v>687</v>
      </c>
    </row>
    <row r="6" spans="1:8" ht="15" customHeight="1">
      <c r="A6" s="11" t="s">
        <v>1260</v>
      </c>
      <c r="B6" s="11" t="s">
        <v>692</v>
      </c>
      <c r="C6" s="11">
        <v>2025</v>
      </c>
      <c r="D6" s="11" t="s">
        <v>694</v>
      </c>
      <c r="E6" s="11" t="s">
        <v>1257</v>
      </c>
      <c r="F6" s="11" t="s">
        <v>1258</v>
      </c>
      <c r="G6" s="12" t="s">
        <v>687</v>
      </c>
      <c r="H6" s="12" t="s">
        <v>687</v>
      </c>
    </row>
    <row r="7" spans="1:8" ht="15" customHeight="1">
      <c r="A7" s="11" t="s">
        <v>1261</v>
      </c>
      <c r="B7" s="11" t="s">
        <v>695</v>
      </c>
      <c r="C7" s="11">
        <v>2025</v>
      </c>
      <c r="D7" s="11" t="s">
        <v>696</v>
      </c>
      <c r="E7" s="11" t="s">
        <v>1257</v>
      </c>
      <c r="F7" s="11" t="s">
        <v>1258</v>
      </c>
      <c r="G7" s="12" t="s">
        <v>687</v>
      </c>
      <c r="H7" s="12" t="s">
        <v>687</v>
      </c>
    </row>
    <row r="8" spans="1:8" ht="15" customHeight="1">
      <c r="A8" s="11" t="s">
        <v>1262</v>
      </c>
      <c r="B8" s="11" t="s">
        <v>697</v>
      </c>
      <c r="C8" s="11">
        <v>2026</v>
      </c>
      <c r="D8" s="11" t="s">
        <v>699</v>
      </c>
      <c r="E8" s="11" t="s">
        <v>1257</v>
      </c>
      <c r="F8" s="11" t="s">
        <v>1258</v>
      </c>
      <c r="G8" s="12" t="s">
        <v>687</v>
      </c>
      <c r="H8" s="12" t="s">
        <v>687</v>
      </c>
    </row>
    <row r="9" spans="1:8" ht="15" customHeight="1">
      <c r="A9" s="11" t="s">
        <v>1263</v>
      </c>
      <c r="B9" s="11" t="s">
        <v>700</v>
      </c>
      <c r="C9" s="11">
        <v>2026</v>
      </c>
      <c r="D9" s="11" t="s">
        <v>701</v>
      </c>
      <c r="E9" s="11" t="s">
        <v>1257</v>
      </c>
      <c r="F9" s="11" t="s">
        <v>1258</v>
      </c>
      <c r="G9" s="12" t="s">
        <v>687</v>
      </c>
      <c r="H9" s="12" t="s">
        <v>687</v>
      </c>
    </row>
    <row r="10" spans="1:8" ht="15" customHeight="1">
      <c r="A10" s="11" t="s">
        <v>1264</v>
      </c>
      <c r="B10" s="11" t="s">
        <v>702</v>
      </c>
      <c r="C10" s="11">
        <v>2026</v>
      </c>
      <c r="D10" s="11" t="s">
        <v>704</v>
      </c>
      <c r="E10" s="11" t="s">
        <v>1257</v>
      </c>
      <c r="F10" s="11" t="s">
        <v>1258</v>
      </c>
      <c r="G10" s="12" t="s">
        <v>687</v>
      </c>
      <c r="H10" s="12" t="s">
        <v>687</v>
      </c>
    </row>
    <row r="11" spans="1:8" ht="15" customHeight="1">
      <c r="A11" s="11" t="s">
        <v>1265</v>
      </c>
      <c r="B11" s="11" t="s">
        <v>705</v>
      </c>
      <c r="C11" s="11">
        <v>2026</v>
      </c>
      <c r="D11" s="11" t="s">
        <v>707</v>
      </c>
      <c r="E11" s="11" t="s">
        <v>1257</v>
      </c>
      <c r="F11" s="11" t="s">
        <v>1258</v>
      </c>
      <c r="G11" s="12" t="s">
        <v>687</v>
      </c>
      <c r="H11" s="12" t="s">
        <v>687</v>
      </c>
    </row>
    <row r="12" spans="1:8" ht="15" customHeight="1">
      <c r="A12" s="11" t="s">
        <v>1266</v>
      </c>
      <c r="B12" s="11" t="s">
        <v>708</v>
      </c>
      <c r="C12" s="11">
        <v>2024</v>
      </c>
      <c r="D12" s="11" t="s">
        <v>711</v>
      </c>
      <c r="E12" s="11" t="s">
        <v>1257</v>
      </c>
      <c r="F12" s="11" t="s">
        <v>1258</v>
      </c>
      <c r="G12" s="12" t="s">
        <v>687</v>
      </c>
      <c r="H12" s="12" t="s">
        <v>687</v>
      </c>
    </row>
    <row r="13" spans="1:8" ht="15" customHeight="1">
      <c r="A13" s="11" t="s">
        <v>1267</v>
      </c>
      <c r="B13" s="11" t="s">
        <v>712</v>
      </c>
      <c r="C13" s="11">
        <v>2025</v>
      </c>
      <c r="D13" s="11" t="s">
        <v>714</v>
      </c>
      <c r="E13" s="11" t="s">
        <v>1257</v>
      </c>
      <c r="F13" s="11" t="s">
        <v>1258</v>
      </c>
      <c r="G13" s="12" t="s">
        <v>687</v>
      </c>
      <c r="H13" s="12" t="s">
        <v>687</v>
      </c>
    </row>
    <row r="14" spans="1:8" ht="15" customHeight="1">
      <c r="A14" s="11" t="s">
        <v>1268</v>
      </c>
      <c r="B14" s="11" t="s">
        <v>1269</v>
      </c>
      <c r="C14" s="11">
        <v>2024</v>
      </c>
      <c r="D14" s="11" t="s">
        <v>1270</v>
      </c>
      <c r="E14" s="11" t="s">
        <v>1271</v>
      </c>
      <c r="F14" s="11" t="s">
        <v>1272</v>
      </c>
      <c r="G14" s="13" t="s">
        <v>1273</v>
      </c>
      <c r="H14" s="13" t="s">
        <v>1273</v>
      </c>
    </row>
    <row r="15" spans="1:8" ht="15" customHeight="1">
      <c r="A15" s="11" t="s">
        <v>1274</v>
      </c>
      <c r="B15" s="11" t="s">
        <v>1275</v>
      </c>
      <c r="C15" s="11">
        <v>2026</v>
      </c>
      <c r="D15" s="11" t="s">
        <v>1276</v>
      </c>
      <c r="E15" s="11" t="s">
        <v>1271</v>
      </c>
      <c r="F15" s="11" t="s">
        <v>1277</v>
      </c>
      <c r="G15" s="13" t="s">
        <v>1273</v>
      </c>
      <c r="H15" s="13" t="s">
        <v>1273</v>
      </c>
    </row>
    <row r="16" spans="1:8" ht="15" customHeight="1">
      <c r="A16" s="11" t="s">
        <v>1278</v>
      </c>
      <c r="B16" s="11" t="s">
        <v>1279</v>
      </c>
      <c r="C16" s="11">
        <v>2025</v>
      </c>
      <c r="D16" s="11" t="s">
        <v>1280</v>
      </c>
      <c r="E16" s="11" t="s">
        <v>1271</v>
      </c>
      <c r="F16" s="11" t="s">
        <v>1281</v>
      </c>
      <c r="G16" s="13" t="s">
        <v>1273</v>
      </c>
      <c r="H16" s="13" t="s">
        <v>1273</v>
      </c>
    </row>
    <row r="17" spans="1:8" ht="15" customHeight="1">
      <c r="A17" s="11" t="s">
        <v>1282</v>
      </c>
      <c r="B17" s="11" t="s">
        <v>1283</v>
      </c>
      <c r="C17" s="11">
        <v>2025</v>
      </c>
      <c r="D17" s="11" t="s">
        <v>1284</v>
      </c>
      <c r="E17" s="11" t="s">
        <v>1271</v>
      </c>
      <c r="F17" s="11" t="s">
        <v>1285</v>
      </c>
      <c r="G17" s="13" t="s">
        <v>1273</v>
      </c>
      <c r="H17" s="13" t="s">
        <v>1273</v>
      </c>
    </row>
    <row r="18" spans="1:8" ht="15" customHeight="1">
      <c r="A18" s="11" t="s">
        <v>1286</v>
      </c>
      <c r="B18" s="11" t="s">
        <v>1287</v>
      </c>
      <c r="C18" s="11">
        <v>2025</v>
      </c>
      <c r="D18" s="11" t="s">
        <v>1288</v>
      </c>
      <c r="E18" s="11" t="s">
        <v>1271</v>
      </c>
      <c r="F18" s="11" t="s">
        <v>1289</v>
      </c>
      <c r="G18" s="13" t="s">
        <v>1273</v>
      </c>
      <c r="H18" s="13" t="s">
        <v>1273</v>
      </c>
    </row>
    <row r="19" spans="1:8" ht="15" customHeight="1">
      <c r="A19" s="11" t="s">
        <v>1290</v>
      </c>
      <c r="B19" s="11" t="s">
        <v>1291</v>
      </c>
      <c r="C19" s="11">
        <v>2024</v>
      </c>
      <c r="D19" s="11" t="s">
        <v>1292</v>
      </c>
      <c r="E19" s="11" t="s">
        <v>1271</v>
      </c>
      <c r="F19" s="11" t="s">
        <v>1293</v>
      </c>
      <c r="G19" s="13" t="s">
        <v>1273</v>
      </c>
      <c r="H19" s="13" t="s">
        <v>1273</v>
      </c>
    </row>
    <row r="20" spans="1:8" ht="15" customHeight="1">
      <c r="A20" s="11" t="s">
        <v>1294</v>
      </c>
      <c r="B20" s="11" t="s">
        <v>1295</v>
      </c>
      <c r="C20" s="11">
        <v>2025</v>
      </c>
      <c r="D20" s="11" t="s">
        <v>1296</v>
      </c>
      <c r="E20" s="11" t="s">
        <v>1271</v>
      </c>
      <c r="F20" s="11" t="s">
        <v>1297</v>
      </c>
      <c r="G20" s="13" t="s">
        <v>1273</v>
      </c>
      <c r="H20" s="13" t="s">
        <v>1273</v>
      </c>
    </row>
    <row r="21" spans="1:8" ht="15" customHeight="1">
      <c r="A21" s="11" t="s">
        <v>1298</v>
      </c>
      <c r="B21" s="11" t="s">
        <v>1299</v>
      </c>
      <c r="C21" s="11">
        <v>2024</v>
      </c>
      <c r="D21" s="11" t="s">
        <v>1300</v>
      </c>
      <c r="E21" s="11" t="s">
        <v>1271</v>
      </c>
      <c r="F21" s="11" t="s">
        <v>1301</v>
      </c>
      <c r="G21" s="13" t="s">
        <v>1273</v>
      </c>
      <c r="H21" s="13" t="s">
        <v>1273</v>
      </c>
    </row>
    <row r="22" spans="1:8" ht="15" customHeight="1">
      <c r="A22" s="11" t="s">
        <v>1302</v>
      </c>
      <c r="B22" s="11" t="s">
        <v>1303</v>
      </c>
      <c r="C22" s="11">
        <v>2024</v>
      </c>
      <c r="D22" s="11" t="s">
        <v>1304</v>
      </c>
      <c r="E22" s="11" t="s">
        <v>1271</v>
      </c>
      <c r="F22" s="11" t="s">
        <v>1305</v>
      </c>
      <c r="G22" s="13" t="s">
        <v>1273</v>
      </c>
      <c r="H22" s="13" t="s">
        <v>1273</v>
      </c>
    </row>
    <row r="23" spans="1:8" ht="15" customHeight="1">
      <c r="A23" s="11" t="s">
        <v>1306</v>
      </c>
      <c r="B23" s="11" t="s">
        <v>1307</v>
      </c>
      <c r="C23" s="11">
        <v>2025</v>
      </c>
      <c r="D23" s="11" t="s">
        <v>1308</v>
      </c>
      <c r="E23" s="11" t="s">
        <v>1271</v>
      </c>
      <c r="F23" s="11" t="s">
        <v>1309</v>
      </c>
      <c r="G23" s="13" t="s">
        <v>1273</v>
      </c>
      <c r="H23" s="13" t="s">
        <v>1273</v>
      </c>
    </row>
    <row r="24" spans="1:8" ht="15" customHeight="1">
      <c r="A24" s="11" t="s">
        <v>1310</v>
      </c>
      <c r="B24" s="11" t="s">
        <v>1311</v>
      </c>
      <c r="C24" s="11">
        <v>2025</v>
      </c>
      <c r="D24" s="11" t="s">
        <v>1312</v>
      </c>
      <c r="E24" s="11" t="s">
        <v>1271</v>
      </c>
      <c r="F24" s="11" t="s">
        <v>1313</v>
      </c>
      <c r="G24" s="13" t="s">
        <v>1273</v>
      </c>
      <c r="H24" s="13" t="s">
        <v>1273</v>
      </c>
    </row>
    <row r="25" spans="1:8" ht="15" customHeight="1">
      <c r="A25" s="11" t="s">
        <v>1314</v>
      </c>
      <c r="B25" s="11" t="s">
        <v>1315</v>
      </c>
      <c r="C25" s="11">
        <v>2025</v>
      </c>
      <c r="D25" s="11" t="s">
        <v>1316</v>
      </c>
      <c r="E25" s="11" t="s">
        <v>1271</v>
      </c>
      <c r="F25" s="11" t="s">
        <v>1317</v>
      </c>
      <c r="G25" s="13" t="s">
        <v>1273</v>
      </c>
      <c r="H25" s="13" t="s">
        <v>1273</v>
      </c>
    </row>
    <row r="26" spans="1:8" ht="15" customHeight="1">
      <c r="A26" s="11" t="s">
        <v>1318</v>
      </c>
      <c r="B26" s="11" t="s">
        <v>1319</v>
      </c>
      <c r="C26" s="11">
        <v>2025</v>
      </c>
      <c r="D26" s="11" t="s">
        <v>1320</v>
      </c>
      <c r="E26" s="11" t="s">
        <v>1271</v>
      </c>
      <c r="F26" s="11" t="s">
        <v>1321</v>
      </c>
      <c r="G26" s="13" t="s">
        <v>1273</v>
      </c>
      <c r="H26" s="13" t="s">
        <v>1273</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91"/>
  <sheetViews>
    <sheetView topLeftCell="A78" zoomScaleNormal="100" workbookViewId="0">
      <selection activeCell="G89" sqref="G89"/>
    </sheetView>
  </sheetViews>
  <sheetFormatPr defaultColWidth="8.5703125" defaultRowHeight="14.45"/>
  <sheetData>
    <row r="1" spans="1:9" ht="34.5" customHeight="1">
      <c r="A1" s="10" t="s">
        <v>1252</v>
      </c>
      <c r="B1" s="10" t="s">
        <v>57</v>
      </c>
      <c r="C1" s="10" t="s">
        <v>59</v>
      </c>
      <c r="D1" s="10" t="s">
        <v>60</v>
      </c>
      <c r="E1" s="10" t="s">
        <v>1253</v>
      </c>
      <c r="F1" s="10" t="s">
        <v>1322</v>
      </c>
      <c r="G1" s="10" t="s">
        <v>1323</v>
      </c>
      <c r="H1" s="10" t="s">
        <v>1324</v>
      </c>
      <c r="I1" s="10" t="s">
        <v>67</v>
      </c>
    </row>
    <row r="2" spans="1:9" ht="15" customHeight="1">
      <c r="A2" s="11" t="s">
        <v>1325</v>
      </c>
      <c r="B2" s="11" t="s">
        <v>715</v>
      </c>
      <c r="C2" s="11">
        <v>2024</v>
      </c>
      <c r="D2" s="11" t="s">
        <v>716</v>
      </c>
      <c r="E2" s="11" t="s">
        <v>717</v>
      </c>
      <c r="F2" s="11" t="s">
        <v>1326</v>
      </c>
      <c r="G2" s="12" t="s">
        <v>76</v>
      </c>
      <c r="H2" s="11" t="s">
        <v>1327</v>
      </c>
      <c r="I2" s="12" t="s">
        <v>76</v>
      </c>
    </row>
    <row r="3" spans="1:9" ht="15" customHeight="1">
      <c r="A3" s="11" t="s">
        <v>1328</v>
      </c>
      <c r="B3" s="11" t="s">
        <v>718</v>
      </c>
      <c r="C3" s="11">
        <v>2023</v>
      </c>
      <c r="D3" s="11" t="s">
        <v>720</v>
      </c>
      <c r="E3" s="11" t="s">
        <v>721</v>
      </c>
      <c r="F3" s="11" t="s">
        <v>1329</v>
      </c>
      <c r="G3" s="12" t="s">
        <v>76</v>
      </c>
      <c r="H3" s="11" t="s">
        <v>1327</v>
      </c>
      <c r="I3" s="12" t="s">
        <v>76</v>
      </c>
    </row>
    <row r="4" spans="1:9" ht="15" customHeight="1">
      <c r="A4" s="11" t="s">
        <v>1330</v>
      </c>
      <c r="B4" s="11" t="s">
        <v>722</v>
      </c>
      <c r="C4" s="11">
        <v>2024</v>
      </c>
      <c r="D4" s="11" t="s">
        <v>720</v>
      </c>
      <c r="E4" s="11" t="s">
        <v>723</v>
      </c>
      <c r="F4" s="11" t="s">
        <v>1331</v>
      </c>
      <c r="G4" s="12" t="s">
        <v>76</v>
      </c>
      <c r="H4" s="11" t="s">
        <v>1327</v>
      </c>
      <c r="I4" s="12" t="s">
        <v>76</v>
      </c>
    </row>
    <row r="5" spans="1:9" ht="15" customHeight="1">
      <c r="A5" s="11" t="s">
        <v>1332</v>
      </c>
      <c r="B5" s="11" t="s">
        <v>724</v>
      </c>
      <c r="C5" s="11">
        <v>2026</v>
      </c>
      <c r="D5" s="11" t="s">
        <v>725</v>
      </c>
      <c r="E5" s="11" t="s">
        <v>726</v>
      </c>
      <c r="F5" s="11" t="s">
        <v>1333</v>
      </c>
      <c r="G5" s="12" t="s">
        <v>76</v>
      </c>
      <c r="H5" s="11" t="s">
        <v>1327</v>
      </c>
      <c r="I5" s="12" t="s">
        <v>76</v>
      </c>
    </row>
    <row r="6" spans="1:9" ht="15" customHeight="1">
      <c r="A6" s="11" t="s">
        <v>1334</v>
      </c>
      <c r="B6" s="11" t="s">
        <v>727</v>
      </c>
      <c r="C6" s="11">
        <v>2024</v>
      </c>
      <c r="D6" s="11" t="s">
        <v>728</v>
      </c>
      <c r="E6" s="11" t="s">
        <v>729</v>
      </c>
      <c r="F6" s="11" t="s">
        <v>1335</v>
      </c>
      <c r="G6" s="12" t="s">
        <v>76</v>
      </c>
      <c r="H6" s="11" t="s">
        <v>1327</v>
      </c>
      <c r="I6" s="12" t="s">
        <v>76</v>
      </c>
    </row>
    <row r="7" spans="1:9" ht="15" customHeight="1">
      <c r="A7" s="11" t="s">
        <v>1336</v>
      </c>
      <c r="B7" s="11" t="s">
        <v>730</v>
      </c>
      <c r="C7" s="11">
        <v>2025</v>
      </c>
      <c r="D7" s="11" t="s">
        <v>731</v>
      </c>
      <c r="E7" s="11" t="s">
        <v>732</v>
      </c>
      <c r="F7" s="11" t="s">
        <v>1337</v>
      </c>
      <c r="G7" s="12" t="s">
        <v>76</v>
      </c>
      <c r="H7" s="11" t="s">
        <v>1327</v>
      </c>
      <c r="I7" s="12" t="s">
        <v>76</v>
      </c>
    </row>
    <row r="8" spans="1:9" ht="15" customHeight="1">
      <c r="A8" s="11" t="s">
        <v>1338</v>
      </c>
      <c r="B8" s="11" t="s">
        <v>733</v>
      </c>
      <c r="C8" s="11">
        <v>2024</v>
      </c>
      <c r="D8" s="11" t="s">
        <v>734</v>
      </c>
      <c r="E8" s="11" t="s">
        <v>735</v>
      </c>
      <c r="F8" s="11" t="s">
        <v>1339</v>
      </c>
      <c r="G8" s="12" t="s">
        <v>76</v>
      </c>
      <c r="H8" s="11" t="s">
        <v>1327</v>
      </c>
      <c r="I8" s="12" t="s">
        <v>76</v>
      </c>
    </row>
    <row r="9" spans="1:9" ht="15" customHeight="1">
      <c r="A9" s="11" t="s">
        <v>1340</v>
      </c>
      <c r="B9" s="11" t="s">
        <v>736</v>
      </c>
      <c r="C9" s="11">
        <v>2026</v>
      </c>
      <c r="D9" s="11" t="s">
        <v>737</v>
      </c>
      <c r="E9" s="11" t="s">
        <v>738</v>
      </c>
      <c r="F9" s="11" t="s">
        <v>1341</v>
      </c>
      <c r="G9" s="12" t="s">
        <v>76</v>
      </c>
      <c r="H9" s="11" t="s">
        <v>1327</v>
      </c>
      <c r="I9" s="12" t="s">
        <v>76</v>
      </c>
    </row>
    <row r="10" spans="1:9" ht="15" customHeight="1">
      <c r="A10" s="11" t="s">
        <v>1342</v>
      </c>
      <c r="B10" s="11" t="s">
        <v>1343</v>
      </c>
      <c r="C10" s="11">
        <v>2026</v>
      </c>
      <c r="D10" s="11" t="s">
        <v>1344</v>
      </c>
      <c r="E10" s="11" t="s">
        <v>1345</v>
      </c>
      <c r="F10" s="11" t="s">
        <v>1346</v>
      </c>
      <c r="G10" s="13" t="s">
        <v>91</v>
      </c>
      <c r="H10" s="11" t="s">
        <v>1347</v>
      </c>
      <c r="I10" s="13" t="s">
        <v>91</v>
      </c>
    </row>
    <row r="11" spans="1:9" ht="15" customHeight="1">
      <c r="A11" s="11" t="s">
        <v>1348</v>
      </c>
      <c r="B11" s="11" t="s">
        <v>739</v>
      </c>
      <c r="C11" s="11">
        <v>2024</v>
      </c>
      <c r="D11" s="11" t="s">
        <v>720</v>
      </c>
      <c r="E11" s="11" t="s">
        <v>740</v>
      </c>
      <c r="F11" s="11" t="s">
        <v>1349</v>
      </c>
      <c r="G11" s="12" t="s">
        <v>76</v>
      </c>
      <c r="H11" s="11" t="s">
        <v>1327</v>
      </c>
      <c r="I11" s="12" t="s">
        <v>76</v>
      </c>
    </row>
    <row r="12" spans="1:9" ht="15" customHeight="1">
      <c r="A12" s="11" t="s">
        <v>1350</v>
      </c>
      <c r="B12" s="11" t="s">
        <v>456</v>
      </c>
      <c r="C12" s="11">
        <v>2026</v>
      </c>
      <c r="D12" s="11" t="s">
        <v>725</v>
      </c>
      <c r="E12" s="11" t="s">
        <v>741</v>
      </c>
      <c r="F12" s="11" t="s">
        <v>1351</v>
      </c>
      <c r="G12" s="12" t="s">
        <v>76</v>
      </c>
      <c r="H12" s="11" t="s">
        <v>1327</v>
      </c>
      <c r="I12" s="12" t="s">
        <v>76</v>
      </c>
    </row>
    <row r="13" spans="1:9" ht="15" customHeight="1">
      <c r="A13" s="11" t="s">
        <v>1352</v>
      </c>
      <c r="B13" s="11" t="s">
        <v>742</v>
      </c>
      <c r="C13" s="11">
        <v>2025</v>
      </c>
      <c r="D13" s="11" t="s">
        <v>743</v>
      </c>
      <c r="E13" s="11" t="s">
        <v>744</v>
      </c>
      <c r="F13" s="11" t="s">
        <v>1353</v>
      </c>
      <c r="G13" s="12" t="s">
        <v>76</v>
      </c>
      <c r="H13" s="11" t="s">
        <v>1327</v>
      </c>
      <c r="I13" s="12" t="s">
        <v>76</v>
      </c>
    </row>
    <row r="14" spans="1:9" ht="15" customHeight="1">
      <c r="A14" s="11" t="s">
        <v>1354</v>
      </c>
      <c r="B14" s="11" t="s">
        <v>745</v>
      </c>
      <c r="C14" s="11">
        <v>2025</v>
      </c>
      <c r="D14" s="11" t="s">
        <v>746</v>
      </c>
      <c r="E14" s="11" t="s">
        <v>747</v>
      </c>
      <c r="F14" s="11" t="s">
        <v>1355</v>
      </c>
      <c r="G14" s="12" t="s">
        <v>76</v>
      </c>
      <c r="H14" s="11" t="s">
        <v>1327</v>
      </c>
      <c r="I14" s="12" t="s">
        <v>76</v>
      </c>
    </row>
    <row r="15" spans="1:9" ht="15" customHeight="1">
      <c r="A15" s="11" t="s">
        <v>1356</v>
      </c>
      <c r="B15" s="11" t="s">
        <v>1357</v>
      </c>
      <c r="C15" s="11">
        <v>2026</v>
      </c>
      <c r="D15" s="11" t="s">
        <v>761</v>
      </c>
      <c r="E15" s="11" t="s">
        <v>1358</v>
      </c>
      <c r="F15" s="11" t="s">
        <v>1359</v>
      </c>
      <c r="G15" s="13" t="s">
        <v>91</v>
      </c>
      <c r="H15" s="11" t="s">
        <v>1360</v>
      </c>
      <c r="I15" s="13" t="s">
        <v>91</v>
      </c>
    </row>
    <row r="16" spans="1:9" ht="15" customHeight="1">
      <c r="A16" s="11" t="s">
        <v>1361</v>
      </c>
      <c r="B16" s="11" t="s">
        <v>748</v>
      </c>
      <c r="C16" s="11">
        <v>2026</v>
      </c>
      <c r="D16" s="11" t="s">
        <v>749</v>
      </c>
      <c r="E16" s="11" t="s">
        <v>750</v>
      </c>
      <c r="F16" s="11" t="s">
        <v>1362</v>
      </c>
      <c r="G16" s="12" t="s">
        <v>76</v>
      </c>
      <c r="H16" s="11" t="s">
        <v>1327</v>
      </c>
      <c r="I16" s="12" t="s">
        <v>76</v>
      </c>
    </row>
    <row r="17" spans="1:9" ht="15" customHeight="1">
      <c r="A17" s="11" t="s">
        <v>1363</v>
      </c>
      <c r="B17" s="11" t="s">
        <v>751</v>
      </c>
      <c r="C17" s="11">
        <v>2025</v>
      </c>
      <c r="D17" s="11" t="s">
        <v>752</v>
      </c>
      <c r="E17" s="11" t="s">
        <v>753</v>
      </c>
      <c r="F17" s="11" t="s">
        <v>1364</v>
      </c>
      <c r="G17" s="12" t="s">
        <v>76</v>
      </c>
      <c r="H17" s="11" t="s">
        <v>1327</v>
      </c>
      <c r="I17" s="12" t="s">
        <v>76</v>
      </c>
    </row>
    <row r="18" spans="1:9" ht="15" customHeight="1">
      <c r="A18" s="11" t="s">
        <v>1365</v>
      </c>
      <c r="B18" s="11" t="s">
        <v>754</v>
      </c>
      <c r="C18" s="11">
        <v>2025</v>
      </c>
      <c r="D18" s="11" t="s">
        <v>755</v>
      </c>
      <c r="E18" s="11" t="s">
        <v>756</v>
      </c>
      <c r="F18" s="11" t="s">
        <v>1366</v>
      </c>
      <c r="G18" s="12" t="s">
        <v>76</v>
      </c>
      <c r="H18" s="11" t="s">
        <v>1327</v>
      </c>
      <c r="I18" s="12" t="s">
        <v>76</v>
      </c>
    </row>
    <row r="19" spans="1:9" ht="15" customHeight="1">
      <c r="A19" s="11" t="s">
        <v>1367</v>
      </c>
      <c r="B19" s="11" t="s">
        <v>757</v>
      </c>
      <c r="C19" s="11">
        <v>2025</v>
      </c>
      <c r="D19" s="11" t="s">
        <v>758</v>
      </c>
      <c r="E19" s="11" t="s">
        <v>759</v>
      </c>
      <c r="F19" s="11" t="s">
        <v>1368</v>
      </c>
      <c r="G19" s="12" t="s">
        <v>76</v>
      </c>
      <c r="H19" s="11" t="s">
        <v>1327</v>
      </c>
      <c r="I19" s="12" t="s">
        <v>76</v>
      </c>
    </row>
    <row r="20" spans="1:9" ht="15" customHeight="1">
      <c r="A20" s="11" t="s">
        <v>1369</v>
      </c>
      <c r="B20" s="11" t="s">
        <v>1370</v>
      </c>
      <c r="C20" s="11">
        <v>2026</v>
      </c>
      <c r="D20" s="11" t="s">
        <v>811</v>
      </c>
      <c r="E20" s="11" t="s">
        <v>1371</v>
      </c>
      <c r="F20" s="11" t="s">
        <v>1372</v>
      </c>
      <c r="G20" s="13" t="s">
        <v>91</v>
      </c>
      <c r="H20" s="11" t="s">
        <v>1360</v>
      </c>
      <c r="I20" s="13" t="s">
        <v>91</v>
      </c>
    </row>
    <row r="21" spans="1:9" ht="15" customHeight="1">
      <c r="A21" s="11" t="s">
        <v>1373</v>
      </c>
      <c r="B21" s="11" t="s">
        <v>760</v>
      </c>
      <c r="C21" s="11">
        <v>2026</v>
      </c>
      <c r="D21" s="11" t="s">
        <v>761</v>
      </c>
      <c r="E21" s="11" t="s">
        <v>762</v>
      </c>
      <c r="F21" s="11" t="s">
        <v>1374</v>
      </c>
      <c r="G21" s="12" t="s">
        <v>76</v>
      </c>
      <c r="H21" s="11" t="s">
        <v>1327</v>
      </c>
      <c r="I21" s="12" t="s">
        <v>76</v>
      </c>
    </row>
    <row r="22" spans="1:9" ht="15" customHeight="1">
      <c r="A22" s="11" t="s">
        <v>1375</v>
      </c>
      <c r="B22" s="11" t="s">
        <v>763</v>
      </c>
      <c r="C22" s="11">
        <v>2026</v>
      </c>
      <c r="D22" s="11" t="s">
        <v>764</v>
      </c>
      <c r="E22" s="11" t="s">
        <v>765</v>
      </c>
      <c r="F22" s="11" t="s">
        <v>1376</v>
      </c>
      <c r="G22" s="12" t="s">
        <v>76</v>
      </c>
      <c r="H22" s="11" t="s">
        <v>1327</v>
      </c>
      <c r="I22" s="12" t="s">
        <v>76</v>
      </c>
    </row>
    <row r="23" spans="1:9" ht="15" customHeight="1">
      <c r="A23" s="11" t="s">
        <v>1377</v>
      </c>
      <c r="B23" s="11" t="s">
        <v>766</v>
      </c>
      <c r="C23" s="11">
        <v>2025</v>
      </c>
      <c r="D23" s="11" t="s">
        <v>767</v>
      </c>
      <c r="E23" s="11" t="s">
        <v>768</v>
      </c>
      <c r="F23" s="11" t="s">
        <v>1378</v>
      </c>
      <c r="G23" s="12" t="s">
        <v>76</v>
      </c>
      <c r="H23" s="11" t="s">
        <v>1327</v>
      </c>
      <c r="I23" s="12" t="s">
        <v>76</v>
      </c>
    </row>
    <row r="24" spans="1:9" ht="15" customHeight="1">
      <c r="A24" s="11" t="s">
        <v>1379</v>
      </c>
      <c r="B24" s="11" t="s">
        <v>769</v>
      </c>
      <c r="C24" s="11">
        <v>2026</v>
      </c>
      <c r="D24" s="11" t="s">
        <v>770</v>
      </c>
      <c r="E24" s="11" t="s">
        <v>771</v>
      </c>
      <c r="F24" s="11" t="s">
        <v>1380</v>
      </c>
      <c r="G24" s="12" t="s">
        <v>76</v>
      </c>
      <c r="H24" s="11" t="s">
        <v>1327</v>
      </c>
      <c r="I24" s="12" t="s">
        <v>76</v>
      </c>
    </row>
    <row r="25" spans="1:9" ht="15" customHeight="1">
      <c r="A25" s="11" t="s">
        <v>1381</v>
      </c>
      <c r="B25" s="11" t="s">
        <v>772</v>
      </c>
      <c r="C25" s="11">
        <v>2026</v>
      </c>
      <c r="D25" s="11" t="s">
        <v>773</v>
      </c>
      <c r="E25" s="11" t="s">
        <v>774</v>
      </c>
      <c r="F25" s="11" t="s">
        <v>1382</v>
      </c>
      <c r="G25" s="12" t="s">
        <v>76</v>
      </c>
      <c r="H25" s="11" t="s">
        <v>1327</v>
      </c>
      <c r="I25" s="12" t="s">
        <v>76</v>
      </c>
    </row>
    <row r="26" spans="1:9" ht="15" customHeight="1">
      <c r="A26" s="11" t="s">
        <v>1383</v>
      </c>
      <c r="B26" s="11" t="s">
        <v>775</v>
      </c>
      <c r="C26" s="11">
        <v>2025</v>
      </c>
      <c r="D26" s="11" t="s">
        <v>776</v>
      </c>
      <c r="E26" s="11" t="s">
        <v>777</v>
      </c>
      <c r="F26" s="11" t="s">
        <v>1384</v>
      </c>
      <c r="G26" s="12" t="s">
        <v>76</v>
      </c>
      <c r="H26" s="11" t="s">
        <v>1327</v>
      </c>
      <c r="I26" s="12" t="s">
        <v>76</v>
      </c>
    </row>
    <row r="27" spans="1:9" ht="15" customHeight="1">
      <c r="A27" s="11" t="s">
        <v>1385</v>
      </c>
      <c r="B27" s="11" t="s">
        <v>778</v>
      </c>
      <c r="C27" s="11">
        <v>2026</v>
      </c>
      <c r="D27" s="11" t="s">
        <v>731</v>
      </c>
      <c r="E27" s="11" t="s">
        <v>779</v>
      </c>
      <c r="F27" s="11" t="s">
        <v>1386</v>
      </c>
      <c r="G27" s="12" t="s">
        <v>76</v>
      </c>
      <c r="H27" s="11" t="s">
        <v>1327</v>
      </c>
      <c r="I27" s="12" t="s">
        <v>76</v>
      </c>
    </row>
    <row r="28" spans="1:9" ht="15" customHeight="1">
      <c r="A28" s="11" t="s">
        <v>1387</v>
      </c>
      <c r="B28" s="11" t="s">
        <v>780</v>
      </c>
      <c r="C28" s="11">
        <v>2025</v>
      </c>
      <c r="D28" s="11" t="s">
        <v>781</v>
      </c>
      <c r="E28" s="11" t="s">
        <v>782</v>
      </c>
      <c r="F28" s="11" t="s">
        <v>1388</v>
      </c>
      <c r="G28" s="12" t="s">
        <v>76</v>
      </c>
      <c r="H28" s="11" t="s">
        <v>1327</v>
      </c>
      <c r="I28" s="12" t="s">
        <v>76</v>
      </c>
    </row>
    <row r="29" spans="1:9" ht="15" customHeight="1">
      <c r="A29" s="11" t="s">
        <v>1389</v>
      </c>
      <c r="B29" s="11" t="s">
        <v>783</v>
      </c>
      <c r="C29" s="11">
        <v>2026</v>
      </c>
      <c r="D29" s="11" t="s">
        <v>784</v>
      </c>
      <c r="E29" s="11" t="s">
        <v>785</v>
      </c>
      <c r="F29" s="11" t="s">
        <v>1390</v>
      </c>
      <c r="G29" s="12" t="s">
        <v>76</v>
      </c>
      <c r="H29" s="11" t="s">
        <v>1327</v>
      </c>
      <c r="I29" s="12" t="s">
        <v>76</v>
      </c>
    </row>
    <row r="30" spans="1:9" ht="15" customHeight="1">
      <c r="A30" s="11" t="s">
        <v>1391</v>
      </c>
      <c r="B30" s="11" t="s">
        <v>786</v>
      </c>
      <c r="C30" s="11">
        <v>2026</v>
      </c>
      <c r="D30" s="11" t="s">
        <v>737</v>
      </c>
      <c r="E30" s="11" t="s">
        <v>787</v>
      </c>
      <c r="F30" s="11" t="s">
        <v>1392</v>
      </c>
      <c r="G30" s="12" t="s">
        <v>76</v>
      </c>
      <c r="H30" s="11" t="s">
        <v>1327</v>
      </c>
      <c r="I30" s="12" t="s">
        <v>76</v>
      </c>
    </row>
    <row r="31" spans="1:9" ht="15" customHeight="1">
      <c r="A31" s="11" t="s">
        <v>1393</v>
      </c>
      <c r="B31" s="11" t="s">
        <v>788</v>
      </c>
      <c r="C31" s="11">
        <v>2025</v>
      </c>
      <c r="D31" s="11" t="s">
        <v>789</v>
      </c>
      <c r="E31" s="11" t="s">
        <v>790</v>
      </c>
      <c r="F31" s="11" t="s">
        <v>1394</v>
      </c>
      <c r="G31" s="12" t="s">
        <v>76</v>
      </c>
      <c r="H31" s="11" t="s">
        <v>1327</v>
      </c>
      <c r="I31" s="12" t="s">
        <v>76</v>
      </c>
    </row>
    <row r="32" spans="1:9" ht="15" customHeight="1">
      <c r="A32" s="11" t="s">
        <v>1395</v>
      </c>
      <c r="B32" s="11" t="s">
        <v>791</v>
      </c>
      <c r="C32" s="11">
        <v>2026</v>
      </c>
      <c r="D32" s="11" t="s">
        <v>720</v>
      </c>
      <c r="E32" s="11" t="s">
        <v>792</v>
      </c>
      <c r="F32" s="11" t="s">
        <v>1396</v>
      </c>
      <c r="G32" s="12" t="s">
        <v>76</v>
      </c>
      <c r="H32" s="11" t="s">
        <v>1327</v>
      </c>
      <c r="I32" s="12" t="s">
        <v>76</v>
      </c>
    </row>
    <row r="33" spans="1:9" ht="15" customHeight="1">
      <c r="A33" s="11" t="s">
        <v>1397</v>
      </c>
      <c r="B33" s="11" t="s">
        <v>246</v>
      </c>
      <c r="C33" s="11">
        <v>2025</v>
      </c>
      <c r="D33" s="11" t="s">
        <v>761</v>
      </c>
      <c r="E33" s="11" t="s">
        <v>793</v>
      </c>
      <c r="F33" s="11" t="s">
        <v>1398</v>
      </c>
      <c r="G33" s="12" t="s">
        <v>76</v>
      </c>
      <c r="H33" s="11" t="s">
        <v>1327</v>
      </c>
      <c r="I33" s="12" t="s">
        <v>76</v>
      </c>
    </row>
    <row r="34" spans="1:9" ht="15" customHeight="1">
      <c r="A34" s="11" t="s">
        <v>1399</v>
      </c>
      <c r="B34" s="11" t="s">
        <v>1400</v>
      </c>
      <c r="C34" s="11">
        <v>2025</v>
      </c>
      <c r="D34" s="11" t="s">
        <v>1344</v>
      </c>
      <c r="E34" s="11" t="s">
        <v>1401</v>
      </c>
      <c r="F34" s="11" t="s">
        <v>1402</v>
      </c>
      <c r="G34" s="13" t="s">
        <v>91</v>
      </c>
      <c r="H34" s="11" t="s">
        <v>1347</v>
      </c>
      <c r="I34" s="13" t="s">
        <v>91</v>
      </c>
    </row>
    <row r="35" spans="1:9" ht="15" customHeight="1">
      <c r="A35" s="11" t="s">
        <v>1403</v>
      </c>
      <c r="B35" s="11" t="s">
        <v>794</v>
      </c>
      <c r="C35" s="11">
        <v>2025</v>
      </c>
      <c r="D35" s="11" t="s">
        <v>795</v>
      </c>
      <c r="E35" s="11" t="s">
        <v>796</v>
      </c>
      <c r="F35" s="11" t="s">
        <v>1404</v>
      </c>
      <c r="G35" s="12" t="s">
        <v>76</v>
      </c>
      <c r="H35" s="11" t="s">
        <v>1327</v>
      </c>
      <c r="I35" s="12" t="s">
        <v>76</v>
      </c>
    </row>
    <row r="36" spans="1:9" ht="15" customHeight="1">
      <c r="A36" s="11" t="s">
        <v>1405</v>
      </c>
      <c r="B36" s="11" t="s">
        <v>797</v>
      </c>
      <c r="C36" s="11">
        <v>2025</v>
      </c>
      <c r="D36" s="11" t="s">
        <v>798</v>
      </c>
      <c r="E36" s="11" t="s">
        <v>799</v>
      </c>
      <c r="F36" s="11" t="s">
        <v>1406</v>
      </c>
      <c r="G36" s="12" t="s">
        <v>76</v>
      </c>
      <c r="H36" s="11" t="s">
        <v>1327</v>
      </c>
      <c r="I36" s="12" t="s">
        <v>76</v>
      </c>
    </row>
    <row r="37" spans="1:9" ht="15" customHeight="1">
      <c r="A37" s="11" t="s">
        <v>1407</v>
      </c>
      <c r="B37" s="11" t="s">
        <v>800</v>
      </c>
      <c r="C37" s="11">
        <v>2025</v>
      </c>
      <c r="D37" s="11" t="s">
        <v>746</v>
      </c>
      <c r="E37" s="11" t="s">
        <v>801</v>
      </c>
      <c r="F37" s="11" t="s">
        <v>1408</v>
      </c>
      <c r="G37" s="12" t="s">
        <v>76</v>
      </c>
      <c r="H37" s="11" t="s">
        <v>1327</v>
      </c>
      <c r="I37" s="12" t="s">
        <v>76</v>
      </c>
    </row>
    <row r="38" spans="1:9" ht="15" customHeight="1">
      <c r="A38" s="11" t="s">
        <v>1409</v>
      </c>
      <c r="B38" s="11" t="s">
        <v>802</v>
      </c>
      <c r="C38" s="11">
        <v>2025</v>
      </c>
      <c r="D38" s="11" t="s">
        <v>761</v>
      </c>
      <c r="E38" s="11" t="s">
        <v>803</v>
      </c>
      <c r="F38" s="11" t="s">
        <v>1410</v>
      </c>
      <c r="G38" s="12" t="s">
        <v>76</v>
      </c>
      <c r="H38" s="11" t="s">
        <v>1327</v>
      </c>
      <c r="I38" s="12" t="s">
        <v>76</v>
      </c>
    </row>
    <row r="39" spans="1:9" ht="15" customHeight="1">
      <c r="A39" s="11" t="s">
        <v>1411</v>
      </c>
      <c r="B39" s="11" t="s">
        <v>1412</v>
      </c>
      <c r="C39" s="11">
        <v>2018</v>
      </c>
      <c r="D39" s="11" t="s">
        <v>776</v>
      </c>
      <c r="E39" s="11" t="s">
        <v>1413</v>
      </c>
      <c r="F39" s="11" t="s">
        <v>1414</v>
      </c>
      <c r="G39" s="13" t="s">
        <v>91</v>
      </c>
      <c r="H39" s="11" t="s">
        <v>1415</v>
      </c>
      <c r="I39" s="13" t="s">
        <v>91</v>
      </c>
    </row>
    <row r="40" spans="1:9" ht="15" customHeight="1">
      <c r="A40" s="11" t="s">
        <v>1416</v>
      </c>
      <c r="B40" s="11" t="s">
        <v>1417</v>
      </c>
      <c r="C40" s="11">
        <v>2025</v>
      </c>
      <c r="D40" s="11" t="s">
        <v>1418</v>
      </c>
      <c r="E40" s="11" t="s">
        <v>1419</v>
      </c>
      <c r="F40" s="11" t="s">
        <v>1420</v>
      </c>
      <c r="G40" s="13" t="s">
        <v>91</v>
      </c>
      <c r="H40" s="11" t="s">
        <v>1415</v>
      </c>
      <c r="I40" s="13" t="s">
        <v>91</v>
      </c>
    </row>
    <row r="41" spans="1:9" ht="15" customHeight="1">
      <c r="A41" s="11" t="s">
        <v>1421</v>
      </c>
      <c r="B41" s="11" t="s">
        <v>804</v>
      </c>
      <c r="C41" s="11">
        <v>2025</v>
      </c>
      <c r="D41" s="11" t="s">
        <v>720</v>
      </c>
      <c r="E41" s="11" t="s">
        <v>805</v>
      </c>
      <c r="F41" s="11" t="s">
        <v>1422</v>
      </c>
      <c r="G41" s="12" t="s">
        <v>76</v>
      </c>
      <c r="H41" s="11" t="s">
        <v>1327</v>
      </c>
      <c r="I41" s="12" t="s">
        <v>76</v>
      </c>
    </row>
    <row r="42" spans="1:9" ht="15" customHeight="1">
      <c r="A42" s="11" t="s">
        <v>1423</v>
      </c>
      <c r="B42" s="11" t="s">
        <v>806</v>
      </c>
      <c r="C42" s="11">
        <v>2026</v>
      </c>
      <c r="D42" s="11" t="s">
        <v>807</v>
      </c>
      <c r="E42" s="11" t="s">
        <v>808</v>
      </c>
      <c r="F42" s="11" t="s">
        <v>1424</v>
      </c>
      <c r="G42" s="12" t="s">
        <v>76</v>
      </c>
      <c r="H42" s="11" t="s">
        <v>1327</v>
      </c>
      <c r="I42" s="12" t="s">
        <v>76</v>
      </c>
    </row>
    <row r="43" spans="1:9" ht="15" customHeight="1">
      <c r="A43" s="11" t="s">
        <v>1425</v>
      </c>
      <c r="B43" s="11" t="s">
        <v>809</v>
      </c>
      <c r="C43" s="11">
        <v>2013</v>
      </c>
      <c r="D43" s="11" t="s">
        <v>811</v>
      </c>
      <c r="E43" s="11" t="s">
        <v>812</v>
      </c>
      <c r="F43" s="11" t="s">
        <v>1426</v>
      </c>
      <c r="G43" s="12" t="s">
        <v>76</v>
      </c>
      <c r="H43" s="11" t="s">
        <v>1327</v>
      </c>
      <c r="I43" s="12" t="s">
        <v>76</v>
      </c>
    </row>
    <row r="44" spans="1:9" ht="15" customHeight="1">
      <c r="A44" s="11" t="s">
        <v>1427</v>
      </c>
      <c r="B44" s="11" t="s">
        <v>1428</v>
      </c>
      <c r="C44" s="11">
        <v>2022</v>
      </c>
      <c r="D44" s="11" t="s">
        <v>1429</v>
      </c>
      <c r="E44" s="11" t="s">
        <v>1430</v>
      </c>
      <c r="F44" s="11" t="s">
        <v>1431</v>
      </c>
      <c r="G44" s="13" t="s">
        <v>91</v>
      </c>
      <c r="H44" s="11" t="s">
        <v>1415</v>
      </c>
      <c r="I44" s="13" t="s">
        <v>91</v>
      </c>
    </row>
    <row r="45" spans="1:9" ht="15" customHeight="1">
      <c r="A45" s="11" t="s">
        <v>1432</v>
      </c>
      <c r="B45" s="11" t="s">
        <v>813</v>
      </c>
      <c r="C45" s="11">
        <v>2026</v>
      </c>
      <c r="D45" s="11" t="s">
        <v>814</v>
      </c>
      <c r="E45" s="11" t="s">
        <v>815</v>
      </c>
      <c r="F45" s="11" t="s">
        <v>1433</v>
      </c>
      <c r="G45" s="12" t="s">
        <v>76</v>
      </c>
      <c r="H45" s="11" t="s">
        <v>1327</v>
      </c>
      <c r="I45" s="12" t="s">
        <v>76</v>
      </c>
    </row>
    <row r="46" spans="1:9" ht="15" customHeight="1">
      <c r="A46" s="11" t="s">
        <v>1434</v>
      </c>
      <c r="B46" s="11" t="s">
        <v>816</v>
      </c>
      <c r="C46" s="11">
        <v>2026</v>
      </c>
      <c r="D46" s="11" t="s">
        <v>755</v>
      </c>
      <c r="E46" s="11" t="s">
        <v>817</v>
      </c>
      <c r="F46" s="11" t="s">
        <v>1435</v>
      </c>
      <c r="G46" s="12" t="s">
        <v>76</v>
      </c>
      <c r="H46" s="11" t="s">
        <v>1327</v>
      </c>
      <c r="I46" s="12" t="s">
        <v>76</v>
      </c>
    </row>
    <row r="47" spans="1:9" ht="15" customHeight="1">
      <c r="A47" s="11" t="s">
        <v>1436</v>
      </c>
      <c r="B47" s="11" t="s">
        <v>818</v>
      </c>
      <c r="C47" s="11">
        <v>2024</v>
      </c>
      <c r="D47" s="11" t="s">
        <v>819</v>
      </c>
      <c r="E47" s="11" t="s">
        <v>820</v>
      </c>
      <c r="F47" s="11" t="s">
        <v>1437</v>
      </c>
      <c r="G47" s="12" t="s">
        <v>76</v>
      </c>
      <c r="H47" s="11" t="s">
        <v>1327</v>
      </c>
      <c r="I47" s="12" t="s">
        <v>76</v>
      </c>
    </row>
    <row r="48" spans="1:9" ht="15" customHeight="1">
      <c r="A48" s="11" t="s">
        <v>1438</v>
      </c>
      <c r="B48" s="11" t="s">
        <v>1439</v>
      </c>
      <c r="C48" s="11">
        <v>2024</v>
      </c>
      <c r="D48" s="11" t="s">
        <v>1440</v>
      </c>
      <c r="E48" s="11" t="s">
        <v>1441</v>
      </c>
      <c r="F48" s="11" t="s">
        <v>1442</v>
      </c>
      <c r="G48" s="13" t="s">
        <v>91</v>
      </c>
      <c r="H48" s="11" t="s">
        <v>1415</v>
      </c>
      <c r="I48" s="13" t="s">
        <v>91</v>
      </c>
    </row>
    <row r="49" spans="1:9" ht="15" customHeight="1">
      <c r="A49" s="11" t="s">
        <v>1443</v>
      </c>
      <c r="B49" s="11" t="s">
        <v>821</v>
      </c>
      <c r="C49" s="11">
        <v>2017</v>
      </c>
      <c r="D49" s="11" t="s">
        <v>823</v>
      </c>
      <c r="E49" s="11" t="s">
        <v>824</v>
      </c>
      <c r="F49" s="11" t="s">
        <v>1444</v>
      </c>
      <c r="G49" s="12" t="s">
        <v>76</v>
      </c>
      <c r="H49" s="11" t="s">
        <v>1327</v>
      </c>
      <c r="I49" s="12" t="s">
        <v>76</v>
      </c>
    </row>
    <row r="50" spans="1:9" ht="15" customHeight="1">
      <c r="A50" s="11" t="s">
        <v>1445</v>
      </c>
      <c r="B50" s="11" t="s">
        <v>1446</v>
      </c>
      <c r="C50" s="11">
        <v>2025</v>
      </c>
      <c r="D50" s="11" t="s">
        <v>720</v>
      </c>
      <c r="E50" s="11" t="s">
        <v>1447</v>
      </c>
      <c r="F50" s="11" t="s">
        <v>1448</v>
      </c>
      <c r="G50" s="13" t="s">
        <v>91</v>
      </c>
      <c r="H50" s="11" t="s">
        <v>1360</v>
      </c>
      <c r="I50" s="13" t="s">
        <v>91</v>
      </c>
    </row>
    <row r="51" spans="1:9" ht="15" customHeight="1">
      <c r="A51" s="11" t="s">
        <v>1449</v>
      </c>
      <c r="B51" s="11" t="s">
        <v>825</v>
      </c>
      <c r="C51" s="11">
        <v>2014</v>
      </c>
      <c r="D51" s="11" t="s">
        <v>827</v>
      </c>
      <c r="E51" s="11" t="s">
        <v>828</v>
      </c>
      <c r="F51" s="11" t="s">
        <v>1450</v>
      </c>
      <c r="G51" s="12" t="s">
        <v>76</v>
      </c>
      <c r="H51" s="11" t="s">
        <v>1327</v>
      </c>
      <c r="I51" s="12" t="s">
        <v>76</v>
      </c>
    </row>
    <row r="52" spans="1:9" ht="15" customHeight="1">
      <c r="A52" s="11" t="s">
        <v>1451</v>
      </c>
      <c r="B52" s="11" t="s">
        <v>829</v>
      </c>
      <c r="C52" s="11">
        <v>2014</v>
      </c>
      <c r="D52" s="11" t="s">
        <v>830</v>
      </c>
      <c r="E52" s="11" t="s">
        <v>831</v>
      </c>
      <c r="F52" s="11" t="s">
        <v>1452</v>
      </c>
      <c r="G52" s="12" t="s">
        <v>76</v>
      </c>
      <c r="H52" s="11" t="s">
        <v>1327</v>
      </c>
      <c r="I52" s="12" t="s">
        <v>76</v>
      </c>
    </row>
    <row r="53" spans="1:9" ht="15" customHeight="1">
      <c r="A53" s="11" t="s">
        <v>1453</v>
      </c>
      <c r="B53" s="11" t="s">
        <v>832</v>
      </c>
      <c r="C53" s="11">
        <v>2026</v>
      </c>
      <c r="D53" s="11" t="s">
        <v>833</v>
      </c>
      <c r="E53" s="11" t="s">
        <v>834</v>
      </c>
      <c r="F53" s="11" t="s">
        <v>1454</v>
      </c>
      <c r="G53" s="12" t="s">
        <v>76</v>
      </c>
      <c r="H53" s="11" t="s">
        <v>1327</v>
      </c>
      <c r="I53" s="12" t="s">
        <v>76</v>
      </c>
    </row>
    <row r="54" spans="1:9" ht="15" customHeight="1">
      <c r="A54" s="11" t="s">
        <v>1455</v>
      </c>
      <c r="B54" s="11" t="s">
        <v>835</v>
      </c>
      <c r="C54" s="11">
        <v>2024</v>
      </c>
      <c r="D54" s="11" t="s">
        <v>836</v>
      </c>
      <c r="E54" s="11" t="s">
        <v>837</v>
      </c>
      <c r="F54" s="11" t="s">
        <v>1456</v>
      </c>
      <c r="G54" s="12" t="s">
        <v>76</v>
      </c>
      <c r="H54" s="11" t="s">
        <v>1327</v>
      </c>
      <c r="I54" s="12" t="s">
        <v>76</v>
      </c>
    </row>
    <row r="55" spans="1:9" ht="15" customHeight="1">
      <c r="A55" s="11" t="s">
        <v>1457</v>
      </c>
      <c r="B55" s="11" t="s">
        <v>838</v>
      </c>
      <c r="C55" s="11">
        <v>2023</v>
      </c>
      <c r="D55" s="11" t="s">
        <v>839</v>
      </c>
      <c r="E55" s="11" t="s">
        <v>840</v>
      </c>
      <c r="F55" s="11" t="s">
        <v>1458</v>
      </c>
      <c r="G55" s="12" t="s">
        <v>76</v>
      </c>
      <c r="H55" s="11" t="s">
        <v>1327</v>
      </c>
      <c r="I55" s="12" t="s">
        <v>76</v>
      </c>
    </row>
    <row r="56" spans="1:9" ht="15" customHeight="1">
      <c r="A56" s="11" t="s">
        <v>1459</v>
      </c>
      <c r="B56" s="11" t="s">
        <v>841</v>
      </c>
      <c r="C56" s="11">
        <v>2025</v>
      </c>
      <c r="D56" s="11" t="s">
        <v>761</v>
      </c>
      <c r="E56" s="11" t="s">
        <v>842</v>
      </c>
      <c r="F56" s="11" t="s">
        <v>1460</v>
      </c>
      <c r="G56" s="12" t="s">
        <v>76</v>
      </c>
      <c r="H56" s="11" t="s">
        <v>1327</v>
      </c>
      <c r="I56" s="12" t="s">
        <v>76</v>
      </c>
    </row>
    <row r="57" spans="1:9" ht="15" customHeight="1">
      <c r="A57" s="11" t="s">
        <v>1461</v>
      </c>
      <c r="B57" s="11" t="s">
        <v>843</v>
      </c>
      <c r="C57" s="11">
        <v>2012</v>
      </c>
      <c r="D57" s="11" t="s">
        <v>845</v>
      </c>
      <c r="E57" s="11" t="s">
        <v>846</v>
      </c>
      <c r="F57" s="11" t="s">
        <v>1462</v>
      </c>
      <c r="G57" s="12" t="s">
        <v>76</v>
      </c>
      <c r="H57" s="11" t="s">
        <v>1327</v>
      </c>
      <c r="I57" s="12" t="s">
        <v>76</v>
      </c>
    </row>
    <row r="58" spans="1:9" ht="15" customHeight="1">
      <c r="A58" s="11" t="s">
        <v>1463</v>
      </c>
      <c r="B58" s="11" t="s">
        <v>847</v>
      </c>
      <c r="C58" s="11">
        <v>2025</v>
      </c>
      <c r="D58" s="11" t="s">
        <v>761</v>
      </c>
      <c r="E58" s="11" t="s">
        <v>848</v>
      </c>
      <c r="F58" s="11" t="s">
        <v>1464</v>
      </c>
      <c r="G58" s="12" t="s">
        <v>76</v>
      </c>
      <c r="H58" s="11" t="s">
        <v>1327</v>
      </c>
      <c r="I58" s="12" t="s">
        <v>76</v>
      </c>
    </row>
    <row r="59" spans="1:9" ht="15" customHeight="1">
      <c r="A59" s="11" t="s">
        <v>1465</v>
      </c>
      <c r="B59" s="11" t="s">
        <v>849</v>
      </c>
      <c r="C59" s="11">
        <v>2026</v>
      </c>
      <c r="D59" s="11" t="s">
        <v>761</v>
      </c>
      <c r="E59" s="11" t="s">
        <v>850</v>
      </c>
      <c r="F59" s="11" t="s">
        <v>1466</v>
      </c>
      <c r="G59" s="12" t="s">
        <v>76</v>
      </c>
      <c r="H59" s="11" t="s">
        <v>1327</v>
      </c>
      <c r="I59" s="12" t="s">
        <v>76</v>
      </c>
    </row>
    <row r="60" spans="1:9" ht="15" customHeight="1">
      <c r="A60" s="11" t="s">
        <v>1467</v>
      </c>
      <c r="B60" s="11" t="s">
        <v>852</v>
      </c>
      <c r="C60" s="11">
        <v>2026</v>
      </c>
      <c r="D60" s="11" t="s">
        <v>853</v>
      </c>
      <c r="E60" s="11" t="s">
        <v>854</v>
      </c>
      <c r="F60" s="11" t="s">
        <v>1468</v>
      </c>
      <c r="G60" s="12" t="s">
        <v>76</v>
      </c>
      <c r="H60" s="11" t="s">
        <v>1327</v>
      </c>
      <c r="I60" s="12" t="s">
        <v>76</v>
      </c>
    </row>
    <row r="61" spans="1:9" ht="15" customHeight="1">
      <c r="A61" s="11" t="s">
        <v>1469</v>
      </c>
      <c r="B61" s="11" t="s">
        <v>1470</v>
      </c>
      <c r="C61" s="11">
        <v>2026</v>
      </c>
      <c r="D61" s="11" t="s">
        <v>761</v>
      </c>
      <c r="E61" s="11" t="s">
        <v>1471</v>
      </c>
      <c r="F61" s="11" t="s">
        <v>1472</v>
      </c>
      <c r="G61" s="13" t="s">
        <v>91</v>
      </c>
      <c r="H61" s="11" t="s">
        <v>1473</v>
      </c>
      <c r="I61" s="13" t="s">
        <v>91</v>
      </c>
    </row>
    <row r="62" spans="1:9" ht="15" customHeight="1">
      <c r="A62" s="11" t="s">
        <v>1474</v>
      </c>
      <c r="B62" s="11" t="s">
        <v>855</v>
      </c>
      <c r="C62" s="11">
        <v>2019</v>
      </c>
      <c r="D62" s="11" t="s">
        <v>857</v>
      </c>
      <c r="E62" s="11" t="s">
        <v>858</v>
      </c>
      <c r="F62" s="11" t="s">
        <v>1475</v>
      </c>
      <c r="G62" s="12" t="s">
        <v>76</v>
      </c>
      <c r="H62" s="11" t="s">
        <v>1327</v>
      </c>
      <c r="I62" s="12" t="s">
        <v>76</v>
      </c>
    </row>
    <row r="63" spans="1:9" ht="15" customHeight="1">
      <c r="A63" s="11" t="s">
        <v>1476</v>
      </c>
      <c r="B63" s="11" t="s">
        <v>859</v>
      </c>
      <c r="C63" s="11">
        <v>2025</v>
      </c>
      <c r="D63" s="11" t="s">
        <v>761</v>
      </c>
      <c r="E63" s="11" t="s">
        <v>860</v>
      </c>
      <c r="F63" s="11" t="s">
        <v>1477</v>
      </c>
      <c r="G63" s="12" t="s">
        <v>76</v>
      </c>
      <c r="H63" s="11" t="s">
        <v>1327</v>
      </c>
      <c r="I63" s="12" t="s">
        <v>76</v>
      </c>
    </row>
    <row r="64" spans="1:9" ht="15" customHeight="1">
      <c r="A64" s="11" t="s">
        <v>1478</v>
      </c>
      <c r="B64" s="11" t="s">
        <v>861</v>
      </c>
      <c r="C64" s="11">
        <v>2019</v>
      </c>
      <c r="D64" s="11" t="s">
        <v>862</v>
      </c>
      <c r="E64" s="11" t="s">
        <v>863</v>
      </c>
      <c r="F64" s="11" t="s">
        <v>1479</v>
      </c>
      <c r="G64" s="12" t="s">
        <v>76</v>
      </c>
      <c r="H64" s="11" t="s">
        <v>1327</v>
      </c>
      <c r="I64" s="12" t="s">
        <v>76</v>
      </c>
    </row>
    <row r="65" spans="1:9" ht="15" customHeight="1">
      <c r="A65" s="11" t="s">
        <v>1480</v>
      </c>
      <c r="B65" s="11" t="s">
        <v>524</v>
      </c>
      <c r="C65" s="11">
        <v>2023</v>
      </c>
      <c r="D65" s="11" t="s">
        <v>731</v>
      </c>
      <c r="E65" s="11" t="s">
        <v>864</v>
      </c>
      <c r="F65" s="11" t="s">
        <v>1481</v>
      </c>
      <c r="G65" s="12" t="s">
        <v>76</v>
      </c>
      <c r="H65" s="11" t="s">
        <v>1327</v>
      </c>
      <c r="I65" s="12" t="s">
        <v>76</v>
      </c>
    </row>
    <row r="66" spans="1:9" ht="15" customHeight="1">
      <c r="A66" s="11" t="s">
        <v>1482</v>
      </c>
      <c r="B66" s="11" t="s">
        <v>865</v>
      </c>
      <c r="C66" s="11">
        <v>2026</v>
      </c>
      <c r="D66" s="11" t="s">
        <v>866</v>
      </c>
      <c r="E66" s="11" t="s">
        <v>867</v>
      </c>
      <c r="F66" s="11" t="s">
        <v>1483</v>
      </c>
      <c r="G66" s="12" t="s">
        <v>76</v>
      </c>
      <c r="H66" s="11" t="s">
        <v>1327</v>
      </c>
      <c r="I66" s="12" t="s">
        <v>76</v>
      </c>
    </row>
    <row r="67" spans="1:9" ht="15" customHeight="1">
      <c r="A67" s="11" t="s">
        <v>1484</v>
      </c>
      <c r="B67" s="11" t="s">
        <v>868</v>
      </c>
      <c r="C67" s="11">
        <v>2025</v>
      </c>
      <c r="D67" s="11" t="s">
        <v>761</v>
      </c>
      <c r="E67" s="11" t="s">
        <v>869</v>
      </c>
      <c r="F67" s="11" t="s">
        <v>1485</v>
      </c>
      <c r="G67" s="12" t="s">
        <v>76</v>
      </c>
      <c r="H67" s="11" t="s">
        <v>1327</v>
      </c>
      <c r="I67" s="12" t="s">
        <v>76</v>
      </c>
    </row>
    <row r="68" spans="1:9" ht="15" customHeight="1">
      <c r="A68" s="11" t="s">
        <v>1486</v>
      </c>
      <c r="B68" s="11" t="s">
        <v>870</v>
      </c>
      <c r="C68" s="11">
        <v>2022</v>
      </c>
      <c r="D68" s="11" t="s">
        <v>720</v>
      </c>
      <c r="E68" s="11" t="s">
        <v>871</v>
      </c>
      <c r="F68" s="11" t="s">
        <v>1487</v>
      </c>
      <c r="G68" s="12" t="s">
        <v>76</v>
      </c>
      <c r="H68" s="11" t="s">
        <v>1327</v>
      </c>
      <c r="I68" s="12" t="s">
        <v>76</v>
      </c>
    </row>
    <row r="69" spans="1:9" ht="15" customHeight="1">
      <c r="A69" s="11" t="s">
        <v>1488</v>
      </c>
      <c r="B69" s="11" t="s">
        <v>872</v>
      </c>
      <c r="C69" s="11">
        <v>2024</v>
      </c>
      <c r="D69" s="11" t="s">
        <v>873</v>
      </c>
      <c r="E69" s="11" t="s">
        <v>874</v>
      </c>
      <c r="F69" s="11" t="s">
        <v>1489</v>
      </c>
      <c r="G69" s="12" t="s">
        <v>76</v>
      </c>
      <c r="H69" s="11" t="s">
        <v>1327</v>
      </c>
      <c r="I69" s="12" t="s">
        <v>76</v>
      </c>
    </row>
    <row r="70" spans="1:9" ht="15" customHeight="1">
      <c r="A70" s="11" t="s">
        <v>1490</v>
      </c>
      <c r="B70" s="11" t="s">
        <v>875</v>
      </c>
      <c r="C70" s="11">
        <v>2024</v>
      </c>
      <c r="D70" s="11" t="s">
        <v>737</v>
      </c>
      <c r="E70" s="11" t="s">
        <v>876</v>
      </c>
      <c r="F70" s="11" t="s">
        <v>1491</v>
      </c>
      <c r="G70" s="12" t="s">
        <v>76</v>
      </c>
      <c r="H70" s="11" t="s">
        <v>1327</v>
      </c>
      <c r="I70" s="12" t="s">
        <v>76</v>
      </c>
    </row>
    <row r="71" spans="1:9" ht="15" customHeight="1">
      <c r="A71" s="11" t="s">
        <v>1492</v>
      </c>
      <c r="B71" s="11" t="s">
        <v>877</v>
      </c>
      <c r="C71" s="11">
        <v>2024</v>
      </c>
      <c r="D71" s="11" t="s">
        <v>878</v>
      </c>
      <c r="E71" s="11" t="s">
        <v>879</v>
      </c>
      <c r="F71" s="11" t="s">
        <v>1493</v>
      </c>
      <c r="G71" s="12" t="s">
        <v>76</v>
      </c>
      <c r="H71" s="11" t="s">
        <v>1327</v>
      </c>
      <c r="I71" s="12" t="s">
        <v>76</v>
      </c>
    </row>
    <row r="72" spans="1:9" ht="15" customHeight="1">
      <c r="A72" s="11" t="s">
        <v>1494</v>
      </c>
      <c r="B72" s="11" t="s">
        <v>880</v>
      </c>
      <c r="C72" s="11">
        <v>2022</v>
      </c>
      <c r="D72" s="11" t="s">
        <v>720</v>
      </c>
      <c r="E72" s="11" t="s">
        <v>881</v>
      </c>
      <c r="F72" s="11" t="s">
        <v>1495</v>
      </c>
      <c r="G72" s="12" t="s">
        <v>76</v>
      </c>
      <c r="H72" s="11" t="s">
        <v>1327</v>
      </c>
      <c r="I72" s="12" t="s">
        <v>76</v>
      </c>
    </row>
    <row r="73" spans="1:9" ht="15" customHeight="1">
      <c r="A73" s="11" t="s">
        <v>1496</v>
      </c>
      <c r="B73" s="11" t="s">
        <v>882</v>
      </c>
      <c r="C73" s="11">
        <v>2022</v>
      </c>
      <c r="D73" s="11" t="s">
        <v>878</v>
      </c>
      <c r="E73" s="11" t="s">
        <v>883</v>
      </c>
      <c r="F73" s="11" t="s">
        <v>1497</v>
      </c>
      <c r="G73" s="12" t="s">
        <v>76</v>
      </c>
      <c r="H73" s="11" t="s">
        <v>1327</v>
      </c>
      <c r="I73" s="12" t="s">
        <v>76</v>
      </c>
    </row>
    <row r="74" spans="1:9" ht="15" customHeight="1">
      <c r="A74" s="11" t="s">
        <v>1498</v>
      </c>
      <c r="B74" s="11" t="s">
        <v>884</v>
      </c>
      <c r="C74" s="11">
        <v>2024</v>
      </c>
      <c r="D74" s="11" t="s">
        <v>885</v>
      </c>
      <c r="E74" s="11" t="s">
        <v>886</v>
      </c>
      <c r="F74" s="11" t="s">
        <v>1499</v>
      </c>
      <c r="G74" s="12" t="s">
        <v>76</v>
      </c>
      <c r="H74" s="11" t="s">
        <v>1327</v>
      </c>
      <c r="I74" s="12" t="s">
        <v>76</v>
      </c>
    </row>
    <row r="75" spans="1:9" ht="15" customHeight="1">
      <c r="A75" s="11" t="s">
        <v>1500</v>
      </c>
      <c r="B75" s="11" t="s">
        <v>887</v>
      </c>
      <c r="C75" s="11">
        <v>2024</v>
      </c>
      <c r="D75" s="11" t="s">
        <v>761</v>
      </c>
      <c r="E75" s="11" t="s">
        <v>888</v>
      </c>
      <c r="F75" s="11" t="s">
        <v>1501</v>
      </c>
      <c r="G75" s="12" t="s">
        <v>76</v>
      </c>
      <c r="H75" s="11" t="s">
        <v>1327</v>
      </c>
      <c r="I75" s="12" t="s">
        <v>76</v>
      </c>
    </row>
    <row r="76" spans="1:9" ht="15" customHeight="1">
      <c r="A76" s="11" t="s">
        <v>1502</v>
      </c>
      <c r="B76" s="11" t="s">
        <v>889</v>
      </c>
      <c r="C76" s="11">
        <v>2025</v>
      </c>
      <c r="D76" s="11" t="s">
        <v>890</v>
      </c>
      <c r="E76" s="11" t="s">
        <v>891</v>
      </c>
      <c r="F76" s="11" t="s">
        <v>1503</v>
      </c>
      <c r="G76" s="12" t="s">
        <v>76</v>
      </c>
      <c r="H76" s="11" t="s">
        <v>1327</v>
      </c>
      <c r="I76" s="12" t="s">
        <v>76</v>
      </c>
    </row>
    <row r="77" spans="1:9" ht="15" customHeight="1">
      <c r="A77" s="11" t="s">
        <v>1504</v>
      </c>
      <c r="B77" s="11" t="s">
        <v>892</v>
      </c>
      <c r="C77" s="11">
        <v>2024</v>
      </c>
      <c r="D77" s="11" t="s">
        <v>893</v>
      </c>
      <c r="E77" s="11" t="s">
        <v>894</v>
      </c>
      <c r="F77" s="11" t="s">
        <v>1505</v>
      </c>
      <c r="G77" s="12" t="s">
        <v>76</v>
      </c>
      <c r="H77" s="11" t="s">
        <v>1327</v>
      </c>
      <c r="I77" s="12" t="s">
        <v>76</v>
      </c>
    </row>
    <row r="78" spans="1:9" ht="15" customHeight="1">
      <c r="A78" s="11" t="s">
        <v>1506</v>
      </c>
      <c r="B78" s="11" t="s">
        <v>895</v>
      </c>
      <c r="C78" s="11">
        <v>2022</v>
      </c>
      <c r="D78" s="11" t="s">
        <v>761</v>
      </c>
      <c r="E78" s="11" t="s">
        <v>896</v>
      </c>
      <c r="F78" s="11" t="s">
        <v>1507</v>
      </c>
      <c r="G78" s="12" t="s">
        <v>76</v>
      </c>
      <c r="H78" s="11" t="s">
        <v>1327</v>
      </c>
      <c r="I78" s="12" t="s">
        <v>76</v>
      </c>
    </row>
    <row r="79" spans="1:9" ht="15" customHeight="1">
      <c r="A79" s="11" t="s">
        <v>1508</v>
      </c>
      <c r="B79" s="11" t="s">
        <v>897</v>
      </c>
      <c r="C79" s="11">
        <v>2024</v>
      </c>
      <c r="D79" s="11" t="s">
        <v>898</v>
      </c>
      <c r="E79" s="11" t="s">
        <v>899</v>
      </c>
      <c r="F79" s="11" t="s">
        <v>1509</v>
      </c>
      <c r="G79" s="12" t="s">
        <v>76</v>
      </c>
      <c r="H79" s="11" t="s">
        <v>1327</v>
      </c>
      <c r="I79" s="12" t="s">
        <v>76</v>
      </c>
    </row>
    <row r="80" spans="1:9" ht="15" customHeight="1">
      <c r="A80" s="11" t="s">
        <v>1510</v>
      </c>
      <c r="B80" s="11" t="s">
        <v>900</v>
      </c>
      <c r="C80" s="11">
        <v>2022</v>
      </c>
      <c r="D80" s="11" t="s">
        <v>784</v>
      </c>
      <c r="E80" s="11" t="s">
        <v>901</v>
      </c>
      <c r="F80" s="11" t="s">
        <v>1511</v>
      </c>
      <c r="G80" s="12" t="s">
        <v>76</v>
      </c>
      <c r="H80" s="11" t="s">
        <v>1327</v>
      </c>
      <c r="I80" s="12" t="s">
        <v>76</v>
      </c>
    </row>
    <row r="81" spans="1:9" ht="15" customHeight="1">
      <c r="A81" s="11" t="s">
        <v>1512</v>
      </c>
      <c r="B81" s="11" t="s">
        <v>1513</v>
      </c>
      <c r="C81" s="11">
        <v>2017</v>
      </c>
      <c r="D81" s="11" t="s">
        <v>898</v>
      </c>
      <c r="E81" s="11" t="s">
        <v>1514</v>
      </c>
      <c r="F81" s="11" t="s">
        <v>1515</v>
      </c>
      <c r="G81" s="13" t="s">
        <v>91</v>
      </c>
      <c r="H81" s="11" t="s">
        <v>1473</v>
      </c>
      <c r="I81" s="13" t="s">
        <v>91</v>
      </c>
    </row>
    <row r="82" spans="1:9" ht="15" customHeight="1">
      <c r="A82" s="11" t="s">
        <v>1516</v>
      </c>
      <c r="B82" s="11" t="s">
        <v>902</v>
      </c>
      <c r="C82" s="11">
        <v>2022</v>
      </c>
      <c r="D82" s="11" t="s">
        <v>903</v>
      </c>
      <c r="E82" s="11" t="s">
        <v>904</v>
      </c>
      <c r="F82" s="11" t="s">
        <v>1517</v>
      </c>
      <c r="G82" s="12" t="s">
        <v>76</v>
      </c>
      <c r="H82" s="11" t="s">
        <v>1327</v>
      </c>
      <c r="I82" s="12" t="s">
        <v>76</v>
      </c>
    </row>
    <row r="83" spans="1:9" ht="15" customHeight="1">
      <c r="A83" s="11" t="s">
        <v>1518</v>
      </c>
      <c r="B83" s="11" t="s">
        <v>905</v>
      </c>
      <c r="C83" s="11">
        <v>2026</v>
      </c>
      <c r="D83" s="11" t="s">
        <v>720</v>
      </c>
      <c r="E83" s="11" t="s">
        <v>906</v>
      </c>
      <c r="F83" s="11" t="s">
        <v>1519</v>
      </c>
      <c r="G83" s="12" t="s">
        <v>76</v>
      </c>
      <c r="H83" s="11" t="s">
        <v>1327</v>
      </c>
      <c r="I83" s="12" t="s">
        <v>76</v>
      </c>
    </row>
    <row r="84" spans="1:9" ht="15" customHeight="1">
      <c r="A84" s="11" t="s">
        <v>1520</v>
      </c>
      <c r="B84" s="11" t="s">
        <v>1521</v>
      </c>
      <c r="C84" s="11">
        <v>2019</v>
      </c>
      <c r="D84" s="11" t="s">
        <v>1522</v>
      </c>
      <c r="E84" s="11" t="s">
        <v>1523</v>
      </c>
      <c r="F84" s="11" t="s">
        <v>1524</v>
      </c>
      <c r="G84" s="13" t="s">
        <v>91</v>
      </c>
      <c r="H84" s="11" t="s">
        <v>1347</v>
      </c>
      <c r="I84" s="13" t="s">
        <v>91</v>
      </c>
    </row>
    <row r="85" spans="1:9" ht="15" customHeight="1">
      <c r="A85" s="11" t="s">
        <v>1525</v>
      </c>
      <c r="B85" s="11" t="s">
        <v>491</v>
      </c>
      <c r="C85" s="11">
        <v>2025</v>
      </c>
      <c r="D85" s="11" t="s">
        <v>731</v>
      </c>
      <c r="E85" s="11" t="s">
        <v>907</v>
      </c>
      <c r="F85" s="11" t="s">
        <v>1526</v>
      </c>
      <c r="G85" s="12" t="s">
        <v>76</v>
      </c>
      <c r="H85" s="11" t="s">
        <v>1327</v>
      </c>
      <c r="I85" s="12" t="s">
        <v>76</v>
      </c>
    </row>
    <row r="86" spans="1:9" ht="15" customHeight="1">
      <c r="A86" s="11" t="s">
        <v>1527</v>
      </c>
      <c r="B86" s="11" t="s">
        <v>984</v>
      </c>
      <c r="C86" s="11">
        <v>2023</v>
      </c>
      <c r="D86" s="11" t="s">
        <v>1528</v>
      </c>
      <c r="E86" s="11" t="s">
        <v>1529</v>
      </c>
      <c r="F86" s="11" t="s">
        <v>1530</v>
      </c>
      <c r="G86" s="13" t="s">
        <v>91</v>
      </c>
      <c r="H86" s="11" t="s">
        <v>1347</v>
      </c>
      <c r="I86" s="13" t="s">
        <v>91</v>
      </c>
    </row>
    <row r="87" spans="1:9" ht="15" customHeight="1">
      <c r="A87" s="11" t="s">
        <v>1531</v>
      </c>
      <c r="B87" s="11" t="s">
        <v>908</v>
      </c>
      <c r="C87" s="11">
        <v>2022</v>
      </c>
      <c r="D87" s="11" t="s">
        <v>909</v>
      </c>
      <c r="E87" s="11" t="s">
        <v>910</v>
      </c>
      <c r="F87" s="11" t="s">
        <v>1532</v>
      </c>
      <c r="G87" s="12" t="s">
        <v>76</v>
      </c>
      <c r="H87" s="11" t="s">
        <v>1327</v>
      </c>
      <c r="I87" s="12" t="s">
        <v>76</v>
      </c>
    </row>
    <row r="88" spans="1:9" ht="15" customHeight="1">
      <c r="A88" s="11" t="s">
        <v>1533</v>
      </c>
      <c r="B88" s="11" t="s">
        <v>911</v>
      </c>
      <c r="C88" s="11">
        <v>2017</v>
      </c>
      <c r="D88" s="11" t="s">
        <v>731</v>
      </c>
      <c r="E88" s="11" t="s">
        <v>912</v>
      </c>
      <c r="F88" s="11" t="s">
        <v>1534</v>
      </c>
      <c r="G88" s="12" t="s">
        <v>76</v>
      </c>
      <c r="H88" s="11" t="s">
        <v>1327</v>
      </c>
      <c r="I88" s="12" t="s">
        <v>76</v>
      </c>
    </row>
    <row r="89" spans="1:9" ht="15" customHeight="1">
      <c r="A89" s="11" t="s">
        <v>1535</v>
      </c>
      <c r="B89" s="11" t="s">
        <v>913</v>
      </c>
      <c r="C89" s="11">
        <v>2021</v>
      </c>
      <c r="D89" s="11" t="s">
        <v>915</v>
      </c>
      <c r="E89" s="11" t="s">
        <v>916</v>
      </c>
      <c r="F89" s="11" t="s">
        <v>1536</v>
      </c>
      <c r="G89" s="12" t="s">
        <v>76</v>
      </c>
      <c r="H89" s="11" t="s">
        <v>1327</v>
      </c>
      <c r="I89" s="12" t="s">
        <v>76</v>
      </c>
    </row>
    <row r="90" spans="1:9" ht="15" customHeight="1">
      <c r="A90" s="11" t="s">
        <v>1537</v>
      </c>
      <c r="B90" s="11" t="s">
        <v>1538</v>
      </c>
      <c r="C90" s="11">
        <v>2020</v>
      </c>
      <c r="D90" s="11" t="s">
        <v>1539</v>
      </c>
      <c r="E90" s="11" t="s">
        <v>1540</v>
      </c>
      <c r="F90" s="11" t="s">
        <v>1541</v>
      </c>
      <c r="G90" s="13" t="s">
        <v>91</v>
      </c>
      <c r="H90" s="11" t="s">
        <v>1473</v>
      </c>
      <c r="I90" s="13" t="s">
        <v>91</v>
      </c>
    </row>
    <row r="91" spans="1:9" ht="15" customHeight="1">
      <c r="A91" s="11" t="s">
        <v>1542</v>
      </c>
      <c r="B91" s="11" t="s">
        <v>1543</v>
      </c>
      <c r="C91" s="11">
        <v>2023</v>
      </c>
      <c r="D91" s="11" t="s">
        <v>1544</v>
      </c>
      <c r="E91" s="11" t="s">
        <v>1545</v>
      </c>
      <c r="F91" s="11" t="s">
        <v>1546</v>
      </c>
      <c r="G91" s="13" t="s">
        <v>91</v>
      </c>
      <c r="H91" s="11" t="s">
        <v>1347</v>
      </c>
      <c r="I91" s="13" t="s">
        <v>91</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052"/>
  <sheetViews>
    <sheetView topLeftCell="B562" zoomScaleNormal="100" workbookViewId="0">
      <selection activeCell="G7" sqref="G7"/>
    </sheetView>
  </sheetViews>
  <sheetFormatPr defaultColWidth="8.5703125" defaultRowHeight="14.45"/>
  <cols>
    <col min="3" max="3" width="12" customWidth="1"/>
    <col min="8" max="8" width="17.7109375" customWidth="1"/>
    <col min="9" max="9" width="21.28515625" customWidth="1"/>
    <col min="10" max="10" width="18.140625" customWidth="1"/>
    <col min="11" max="11" width="12.85546875" customWidth="1"/>
    <col min="12" max="12" width="18.140625" customWidth="1"/>
    <col min="13" max="13" width="16.140625" customWidth="1"/>
    <col min="15" max="15" width="16.42578125" customWidth="1"/>
  </cols>
  <sheetData>
    <row r="1" spans="1:16" ht="14.25" customHeight="1">
      <c r="A1" s="18" t="s">
        <v>446</v>
      </c>
      <c r="B1" s="18" t="s">
        <v>55</v>
      </c>
      <c r="C1" s="18" t="s">
        <v>56</v>
      </c>
      <c r="D1" s="18" t="s">
        <v>57</v>
      </c>
      <c r="E1" s="18" t="s">
        <v>58</v>
      </c>
      <c r="F1" s="18" t="s">
        <v>59</v>
      </c>
      <c r="G1" s="18" t="s">
        <v>60</v>
      </c>
      <c r="H1" s="18" t="s">
        <v>61</v>
      </c>
      <c r="I1" s="18" t="s">
        <v>62</v>
      </c>
      <c r="J1" s="18" t="s">
        <v>64</v>
      </c>
      <c r="K1" s="18" t="s">
        <v>66</v>
      </c>
      <c r="L1" s="18" t="s">
        <v>67</v>
      </c>
      <c r="M1" s="18" t="s">
        <v>1547</v>
      </c>
      <c r="N1" s="18" t="s">
        <v>1548</v>
      </c>
      <c r="O1" s="18"/>
      <c r="P1" s="18"/>
    </row>
    <row r="2" spans="1:16" s="19" customFormat="1" ht="14.25" customHeight="1">
      <c r="A2" s="19">
        <v>1</v>
      </c>
      <c r="B2" s="19" t="s">
        <v>9</v>
      </c>
      <c r="C2" s="19" t="s">
        <v>1549</v>
      </c>
      <c r="D2" s="19" t="s">
        <v>1550</v>
      </c>
      <c r="E2" s="19" t="s">
        <v>1551</v>
      </c>
      <c r="F2" s="19">
        <v>2019</v>
      </c>
      <c r="G2" s="19" t="s">
        <v>923</v>
      </c>
      <c r="H2" s="19" t="s">
        <v>1552</v>
      </c>
      <c r="I2" s="19" t="s">
        <v>1553</v>
      </c>
      <c r="J2" s="19" t="s">
        <v>91</v>
      </c>
      <c r="K2" s="19" t="s">
        <v>91</v>
      </c>
      <c r="L2" s="19" t="s">
        <v>91</v>
      </c>
      <c r="M2" s="19" t="s">
        <v>1554</v>
      </c>
      <c r="N2" s="19" t="s">
        <v>1555</v>
      </c>
    </row>
    <row r="3" spans="1:16" ht="14.25" customHeight="1">
      <c r="A3" s="20">
        <v>2</v>
      </c>
      <c r="B3" s="20" t="s">
        <v>9</v>
      </c>
      <c r="C3" s="20" t="s">
        <v>1549</v>
      </c>
      <c r="D3" s="20" t="s">
        <v>917</v>
      </c>
      <c r="E3" s="20" t="s">
        <v>918</v>
      </c>
      <c r="F3" s="20">
        <v>2020</v>
      </c>
      <c r="G3" s="20" t="s">
        <v>920</v>
      </c>
      <c r="H3" s="20" t="s">
        <v>921</v>
      </c>
      <c r="I3" s="20" t="s">
        <v>1556</v>
      </c>
      <c r="J3" s="20" t="s">
        <v>76</v>
      </c>
      <c r="K3" s="20" t="s">
        <v>76</v>
      </c>
      <c r="L3" s="20" t="s">
        <v>76</v>
      </c>
      <c r="M3" s="21" t="s">
        <v>1557</v>
      </c>
      <c r="N3" s="20" t="s">
        <v>1555</v>
      </c>
      <c r="O3" s="20"/>
      <c r="P3" s="20"/>
    </row>
    <row r="4" spans="1:16" ht="14.25" customHeight="1">
      <c r="A4">
        <v>3</v>
      </c>
      <c r="B4" t="s">
        <v>9</v>
      </c>
      <c r="C4" t="s">
        <v>1549</v>
      </c>
      <c r="D4" t="s">
        <v>1558</v>
      </c>
      <c r="E4" t="s">
        <v>1559</v>
      </c>
      <c r="F4">
        <v>2020</v>
      </c>
      <c r="G4" t="s">
        <v>1560</v>
      </c>
      <c r="H4" t="s">
        <v>1561</v>
      </c>
      <c r="I4" t="s">
        <v>1562</v>
      </c>
      <c r="J4" t="s">
        <v>91</v>
      </c>
      <c r="K4" t="s">
        <v>91</v>
      </c>
      <c r="L4" t="s">
        <v>91</v>
      </c>
      <c r="M4" t="s">
        <v>1554</v>
      </c>
      <c r="N4" t="s">
        <v>1555</v>
      </c>
    </row>
    <row r="5" spans="1:16" ht="14.25" customHeight="1">
      <c r="A5">
        <v>4</v>
      </c>
      <c r="B5" t="s">
        <v>9</v>
      </c>
      <c r="C5" t="s">
        <v>1549</v>
      </c>
      <c r="D5" t="s">
        <v>1563</v>
      </c>
      <c r="E5" t="s">
        <v>1564</v>
      </c>
      <c r="F5">
        <v>2020</v>
      </c>
      <c r="G5" t="s">
        <v>969</v>
      </c>
      <c r="H5" t="s">
        <v>1565</v>
      </c>
      <c r="J5" t="s">
        <v>91</v>
      </c>
      <c r="K5" t="s">
        <v>91</v>
      </c>
      <c r="L5" t="s">
        <v>91</v>
      </c>
      <c r="M5" t="s">
        <v>1554</v>
      </c>
      <c r="N5" t="s">
        <v>1555</v>
      </c>
    </row>
    <row r="6" spans="1:16" ht="14.25" customHeight="1">
      <c r="A6">
        <v>5</v>
      </c>
      <c r="B6" t="s">
        <v>9</v>
      </c>
      <c r="C6" t="s">
        <v>1549</v>
      </c>
      <c r="D6" t="s">
        <v>1566</v>
      </c>
      <c r="E6" t="s">
        <v>1567</v>
      </c>
      <c r="F6">
        <v>2020</v>
      </c>
      <c r="G6" t="s">
        <v>1568</v>
      </c>
      <c r="H6" t="s">
        <v>1569</v>
      </c>
      <c r="J6" t="s">
        <v>91</v>
      </c>
      <c r="K6" t="s">
        <v>91</v>
      </c>
      <c r="L6" t="s">
        <v>91</v>
      </c>
      <c r="M6" t="s">
        <v>1570</v>
      </c>
      <c r="N6" t="s">
        <v>1555</v>
      </c>
    </row>
    <row r="7" spans="1:16" ht="14.25" customHeight="1">
      <c r="A7">
        <v>6</v>
      </c>
      <c r="B7" t="s">
        <v>9</v>
      </c>
      <c r="C7" t="s">
        <v>1549</v>
      </c>
      <c r="D7" t="s">
        <v>1571</v>
      </c>
      <c r="E7" t="s">
        <v>1572</v>
      </c>
      <c r="F7">
        <v>2020</v>
      </c>
      <c r="G7" t="s">
        <v>1573</v>
      </c>
      <c r="H7" t="s">
        <v>1574</v>
      </c>
      <c r="J7" t="s">
        <v>91</v>
      </c>
      <c r="K7" t="s">
        <v>91</v>
      </c>
      <c r="L7" t="s">
        <v>91</v>
      </c>
      <c r="M7" t="s">
        <v>1570</v>
      </c>
      <c r="N7" t="s">
        <v>1555</v>
      </c>
    </row>
    <row r="8" spans="1:16" ht="14.25" customHeight="1">
      <c r="A8">
        <v>7</v>
      </c>
      <c r="B8" t="s">
        <v>9</v>
      </c>
      <c r="C8" t="s">
        <v>1549</v>
      </c>
      <c r="D8" t="s">
        <v>1575</v>
      </c>
      <c r="E8" t="s">
        <v>1576</v>
      </c>
      <c r="F8">
        <v>2020</v>
      </c>
      <c r="G8" t="s">
        <v>923</v>
      </c>
      <c r="H8" t="s">
        <v>1577</v>
      </c>
      <c r="I8" t="s">
        <v>1578</v>
      </c>
      <c r="J8" t="s">
        <v>91</v>
      </c>
      <c r="K8" t="s">
        <v>91</v>
      </c>
      <c r="L8" t="s">
        <v>91</v>
      </c>
      <c r="M8" t="s">
        <v>1554</v>
      </c>
      <c r="N8" t="s">
        <v>1555</v>
      </c>
    </row>
    <row r="9" spans="1:16" ht="14.25" customHeight="1">
      <c r="A9">
        <v>8</v>
      </c>
      <c r="B9" t="s">
        <v>9</v>
      </c>
      <c r="C9" t="s">
        <v>1549</v>
      </c>
      <c r="D9" t="s">
        <v>1579</v>
      </c>
      <c r="E9" t="s">
        <v>1580</v>
      </c>
      <c r="F9">
        <v>2020</v>
      </c>
      <c r="G9" t="s">
        <v>923</v>
      </c>
      <c r="H9" t="s">
        <v>1581</v>
      </c>
      <c r="I9" t="s">
        <v>1582</v>
      </c>
      <c r="J9" t="s">
        <v>91</v>
      </c>
      <c r="K9" t="s">
        <v>91</v>
      </c>
      <c r="L9" t="s">
        <v>91</v>
      </c>
      <c r="M9" t="s">
        <v>1570</v>
      </c>
      <c r="N9" t="s">
        <v>1555</v>
      </c>
    </row>
    <row r="10" spans="1:16" ht="14.25" customHeight="1">
      <c r="A10">
        <v>9</v>
      </c>
      <c r="B10" t="s">
        <v>9</v>
      </c>
      <c r="C10" t="s">
        <v>1549</v>
      </c>
      <c r="D10" t="s">
        <v>1583</v>
      </c>
      <c r="E10" t="s">
        <v>1584</v>
      </c>
      <c r="F10">
        <v>2020</v>
      </c>
      <c r="G10" t="s">
        <v>1585</v>
      </c>
      <c r="H10" t="s">
        <v>1586</v>
      </c>
      <c r="J10" t="s">
        <v>91</v>
      </c>
      <c r="K10" t="s">
        <v>91</v>
      </c>
      <c r="L10" t="s">
        <v>91</v>
      </c>
      <c r="M10" t="s">
        <v>1587</v>
      </c>
      <c r="N10" t="s">
        <v>1588</v>
      </c>
    </row>
    <row r="11" spans="1:16" ht="14.25" customHeight="1">
      <c r="A11">
        <v>10</v>
      </c>
      <c r="B11" t="s">
        <v>9</v>
      </c>
      <c r="C11" t="s">
        <v>1549</v>
      </c>
      <c r="D11" t="s">
        <v>1589</v>
      </c>
      <c r="E11" t="s">
        <v>1590</v>
      </c>
      <c r="F11">
        <v>2020</v>
      </c>
      <c r="G11" t="s">
        <v>1591</v>
      </c>
      <c r="H11" t="s">
        <v>1592</v>
      </c>
      <c r="J11" t="s">
        <v>91</v>
      </c>
      <c r="K11" t="s">
        <v>91</v>
      </c>
      <c r="L11" t="s">
        <v>91</v>
      </c>
      <c r="M11" t="s">
        <v>1593</v>
      </c>
      <c r="N11" t="s">
        <v>1555</v>
      </c>
    </row>
    <row r="12" spans="1:16" ht="14.25" customHeight="1">
      <c r="A12">
        <v>11</v>
      </c>
      <c r="B12" t="s">
        <v>9</v>
      </c>
      <c r="C12" t="s">
        <v>1549</v>
      </c>
      <c r="D12" t="s">
        <v>1594</v>
      </c>
      <c r="E12" t="s">
        <v>1595</v>
      </c>
      <c r="F12">
        <v>2020</v>
      </c>
      <c r="G12" t="s">
        <v>1591</v>
      </c>
      <c r="H12" t="s">
        <v>1596</v>
      </c>
      <c r="J12" t="s">
        <v>91</v>
      </c>
      <c r="K12" t="s">
        <v>91</v>
      </c>
      <c r="L12" t="s">
        <v>91</v>
      </c>
      <c r="M12" t="s">
        <v>1570</v>
      </c>
      <c r="N12" t="s">
        <v>1555</v>
      </c>
    </row>
    <row r="13" spans="1:16" ht="14.25" customHeight="1">
      <c r="A13">
        <v>12</v>
      </c>
      <c r="B13" t="s">
        <v>9</v>
      </c>
      <c r="C13" t="s">
        <v>1549</v>
      </c>
      <c r="D13" t="s">
        <v>1597</v>
      </c>
      <c r="E13" t="s">
        <v>1598</v>
      </c>
      <c r="F13">
        <v>2021</v>
      </c>
      <c r="G13" t="s">
        <v>923</v>
      </c>
      <c r="H13" t="s">
        <v>1599</v>
      </c>
      <c r="I13" t="s">
        <v>1600</v>
      </c>
      <c r="J13" t="s">
        <v>91</v>
      </c>
      <c r="K13" t="s">
        <v>91</v>
      </c>
      <c r="L13" t="s">
        <v>91</v>
      </c>
      <c r="M13" t="s">
        <v>1601</v>
      </c>
      <c r="N13" t="s">
        <v>1555</v>
      </c>
    </row>
    <row r="14" spans="1:16" ht="14.25" customHeight="1">
      <c r="A14">
        <v>13</v>
      </c>
      <c r="B14" t="s">
        <v>9</v>
      </c>
      <c r="C14" t="s">
        <v>1549</v>
      </c>
      <c r="D14" t="s">
        <v>1602</v>
      </c>
      <c r="E14" t="s">
        <v>1603</v>
      </c>
      <c r="F14">
        <v>2021</v>
      </c>
      <c r="G14" t="s">
        <v>923</v>
      </c>
      <c r="H14" t="s">
        <v>1604</v>
      </c>
      <c r="I14" t="s">
        <v>1605</v>
      </c>
      <c r="J14" t="s">
        <v>91</v>
      </c>
      <c r="K14" t="s">
        <v>91</v>
      </c>
      <c r="L14" t="s">
        <v>91</v>
      </c>
      <c r="M14" t="s">
        <v>1554</v>
      </c>
      <c r="N14" t="s">
        <v>1555</v>
      </c>
    </row>
    <row r="15" spans="1:16" ht="14.25" customHeight="1">
      <c r="A15">
        <v>14</v>
      </c>
      <c r="B15" t="s">
        <v>9</v>
      </c>
      <c r="C15" t="s">
        <v>1549</v>
      </c>
      <c r="D15" t="s">
        <v>1606</v>
      </c>
      <c r="E15" t="s">
        <v>1607</v>
      </c>
      <c r="F15">
        <v>2021</v>
      </c>
      <c r="G15" t="s">
        <v>923</v>
      </c>
      <c r="H15" t="s">
        <v>1608</v>
      </c>
      <c r="I15" t="s">
        <v>1609</v>
      </c>
      <c r="J15" t="s">
        <v>91</v>
      </c>
      <c r="K15" t="s">
        <v>91</v>
      </c>
      <c r="L15" t="s">
        <v>91</v>
      </c>
      <c r="M15" t="s">
        <v>1554</v>
      </c>
      <c r="N15" t="s">
        <v>1555</v>
      </c>
    </row>
    <row r="16" spans="1:16" ht="14.25" customHeight="1">
      <c r="A16">
        <v>15</v>
      </c>
      <c r="B16" t="s">
        <v>9</v>
      </c>
      <c r="C16" t="s">
        <v>1549</v>
      </c>
      <c r="D16" t="s">
        <v>1610</v>
      </c>
      <c r="E16" t="s">
        <v>1611</v>
      </c>
      <c r="F16">
        <v>2021</v>
      </c>
      <c r="G16" t="s">
        <v>1612</v>
      </c>
      <c r="H16" t="s">
        <v>1613</v>
      </c>
      <c r="I16" t="s">
        <v>1614</v>
      </c>
      <c r="J16" t="s">
        <v>91</v>
      </c>
      <c r="K16" t="s">
        <v>91</v>
      </c>
      <c r="L16" t="s">
        <v>91</v>
      </c>
      <c r="M16" t="s">
        <v>1570</v>
      </c>
      <c r="N16" t="s">
        <v>1555</v>
      </c>
    </row>
    <row r="17" spans="1:16" ht="14.25" customHeight="1">
      <c r="A17">
        <v>16</v>
      </c>
      <c r="B17" t="s">
        <v>9</v>
      </c>
      <c r="C17" t="s">
        <v>1549</v>
      </c>
      <c r="D17" t="s">
        <v>1615</v>
      </c>
      <c r="E17" t="s">
        <v>1616</v>
      </c>
      <c r="F17">
        <v>2021</v>
      </c>
      <c r="G17" t="s">
        <v>1617</v>
      </c>
      <c r="H17" t="s">
        <v>1618</v>
      </c>
      <c r="I17" s="22" t="s">
        <v>1619</v>
      </c>
      <c r="J17" t="s">
        <v>91</v>
      </c>
      <c r="K17" t="s">
        <v>91</v>
      </c>
      <c r="L17" t="s">
        <v>91</v>
      </c>
      <c r="M17" t="s">
        <v>1593</v>
      </c>
      <c r="N17" t="s">
        <v>1555</v>
      </c>
    </row>
    <row r="18" spans="1:16" ht="122.25" customHeight="1">
      <c r="A18">
        <v>17</v>
      </c>
      <c r="B18" t="s">
        <v>9</v>
      </c>
      <c r="C18" t="s">
        <v>1549</v>
      </c>
      <c r="D18" t="s">
        <v>1620</v>
      </c>
      <c r="E18" t="s">
        <v>1621</v>
      </c>
      <c r="F18">
        <v>2021</v>
      </c>
      <c r="G18" t="s">
        <v>1622</v>
      </c>
      <c r="H18" t="s">
        <v>1623</v>
      </c>
      <c r="J18" t="s">
        <v>91</v>
      </c>
      <c r="K18" t="s">
        <v>91</v>
      </c>
      <c r="L18" t="s">
        <v>91</v>
      </c>
      <c r="M18" t="s">
        <v>1570</v>
      </c>
      <c r="N18" t="s">
        <v>1588</v>
      </c>
    </row>
    <row r="19" spans="1:16" ht="14.25" customHeight="1">
      <c r="A19" s="20">
        <v>18</v>
      </c>
      <c r="B19" s="20" t="s">
        <v>9</v>
      </c>
      <c r="C19" s="20" t="s">
        <v>1549</v>
      </c>
      <c r="D19" s="20" t="s">
        <v>870</v>
      </c>
      <c r="E19" s="20" t="s">
        <v>922</v>
      </c>
      <c r="F19" s="20">
        <v>2021</v>
      </c>
      <c r="G19" s="20" t="s">
        <v>923</v>
      </c>
      <c r="H19" s="20" t="s">
        <v>924</v>
      </c>
      <c r="I19" s="20" t="s">
        <v>1624</v>
      </c>
      <c r="J19" s="20" t="s">
        <v>76</v>
      </c>
      <c r="K19" s="20" t="s">
        <v>76</v>
      </c>
      <c r="L19" s="20" t="s">
        <v>76</v>
      </c>
      <c r="M19" s="20" t="s">
        <v>1625</v>
      </c>
      <c r="N19" s="20" t="s">
        <v>1555</v>
      </c>
      <c r="O19" s="20"/>
      <c r="P19" s="20"/>
    </row>
    <row r="20" spans="1:16" ht="14.25" customHeight="1">
      <c r="A20">
        <v>19</v>
      </c>
      <c r="B20" t="s">
        <v>9</v>
      </c>
      <c r="C20" t="s">
        <v>1549</v>
      </c>
      <c r="D20" t="s">
        <v>1626</v>
      </c>
      <c r="E20" t="s">
        <v>1627</v>
      </c>
      <c r="F20">
        <v>2021</v>
      </c>
      <c r="G20" t="s">
        <v>1628</v>
      </c>
      <c r="H20" t="s">
        <v>1629</v>
      </c>
      <c r="I20" t="s">
        <v>1630</v>
      </c>
      <c r="J20" t="s">
        <v>91</v>
      </c>
      <c r="K20" t="s">
        <v>91</v>
      </c>
      <c r="L20" t="s">
        <v>91</v>
      </c>
      <c r="M20" t="s">
        <v>1593</v>
      </c>
      <c r="N20" t="s">
        <v>1555</v>
      </c>
    </row>
    <row r="21" spans="1:16" ht="14.25" customHeight="1">
      <c r="A21" s="20">
        <v>20</v>
      </c>
      <c r="B21" s="20" t="s">
        <v>9</v>
      </c>
      <c r="C21" s="20" t="s">
        <v>1549</v>
      </c>
      <c r="D21" s="20" t="s">
        <v>925</v>
      </c>
      <c r="E21" s="20" t="s">
        <v>926</v>
      </c>
      <c r="F21" s="20">
        <v>2021</v>
      </c>
      <c r="G21" s="20" t="s">
        <v>923</v>
      </c>
      <c r="H21" s="20" t="s">
        <v>927</v>
      </c>
      <c r="I21" s="20" t="s">
        <v>1631</v>
      </c>
      <c r="J21" s="20" t="s">
        <v>76</v>
      </c>
      <c r="K21" s="20" t="s">
        <v>76</v>
      </c>
      <c r="L21" s="20" t="s">
        <v>76</v>
      </c>
      <c r="M21" s="20" t="s">
        <v>1632</v>
      </c>
      <c r="N21" s="20" t="s">
        <v>1555</v>
      </c>
      <c r="O21" s="20"/>
      <c r="P21" s="20"/>
    </row>
    <row r="22" spans="1:16" ht="14.25" customHeight="1">
      <c r="A22">
        <v>21</v>
      </c>
      <c r="B22" t="s">
        <v>9</v>
      </c>
      <c r="C22" t="s">
        <v>1549</v>
      </c>
      <c r="D22" t="s">
        <v>1633</v>
      </c>
      <c r="E22" t="s">
        <v>1634</v>
      </c>
      <c r="F22">
        <v>2021</v>
      </c>
      <c r="G22" t="s">
        <v>1635</v>
      </c>
      <c r="H22" t="s">
        <v>1636</v>
      </c>
      <c r="J22" t="s">
        <v>91</v>
      </c>
      <c r="K22" t="s">
        <v>91</v>
      </c>
      <c r="L22" t="s">
        <v>91</v>
      </c>
      <c r="M22" t="s">
        <v>1587</v>
      </c>
      <c r="N22" t="s">
        <v>1588</v>
      </c>
    </row>
    <row r="23" spans="1:16" ht="14.25" customHeight="1">
      <c r="A23" s="20">
        <v>22</v>
      </c>
      <c r="B23" s="20" t="s">
        <v>9</v>
      </c>
      <c r="C23" s="20" t="s">
        <v>1549</v>
      </c>
      <c r="D23" s="20" t="s">
        <v>928</v>
      </c>
      <c r="E23" s="20" t="s">
        <v>929</v>
      </c>
      <c r="F23" s="20">
        <v>2021</v>
      </c>
      <c r="G23" s="20" t="s">
        <v>923</v>
      </c>
      <c r="H23" s="20" t="s">
        <v>930</v>
      </c>
      <c r="I23" s="20" t="s">
        <v>1637</v>
      </c>
      <c r="J23" s="20" t="s">
        <v>76</v>
      </c>
      <c r="K23" s="20" t="s">
        <v>76</v>
      </c>
      <c r="L23" s="20" t="s">
        <v>76</v>
      </c>
      <c r="M23" s="20" t="s">
        <v>1638</v>
      </c>
      <c r="N23" s="20" t="s">
        <v>1555</v>
      </c>
      <c r="O23" s="20"/>
      <c r="P23" s="20"/>
    </row>
    <row r="24" spans="1:16" ht="14.25" customHeight="1">
      <c r="A24">
        <v>23</v>
      </c>
      <c r="B24" t="s">
        <v>9</v>
      </c>
      <c r="C24" t="s">
        <v>1549</v>
      </c>
      <c r="D24" t="s">
        <v>1639</v>
      </c>
      <c r="E24" t="s">
        <v>1640</v>
      </c>
      <c r="F24">
        <v>2021</v>
      </c>
      <c r="G24" t="s">
        <v>923</v>
      </c>
      <c r="H24" t="s">
        <v>1641</v>
      </c>
      <c r="I24" t="s">
        <v>1642</v>
      </c>
      <c r="J24" t="s">
        <v>91</v>
      </c>
      <c r="K24" t="s">
        <v>91</v>
      </c>
      <c r="L24" t="s">
        <v>91</v>
      </c>
      <c r="M24" t="s">
        <v>1570</v>
      </c>
      <c r="N24" t="s">
        <v>1555</v>
      </c>
    </row>
    <row r="25" spans="1:16" ht="14.25" customHeight="1">
      <c r="A25" s="20">
        <v>24</v>
      </c>
      <c r="B25" s="20" t="s">
        <v>9</v>
      </c>
      <c r="C25" s="20" t="s">
        <v>1549</v>
      </c>
      <c r="D25" s="20" t="s">
        <v>931</v>
      </c>
      <c r="E25" s="20" t="s">
        <v>932</v>
      </c>
      <c r="F25" s="20">
        <v>2021</v>
      </c>
      <c r="G25" s="20" t="s">
        <v>933</v>
      </c>
      <c r="H25" s="20" t="s">
        <v>934</v>
      </c>
      <c r="I25" s="21" t="s">
        <v>1643</v>
      </c>
      <c r="J25" s="20" t="s">
        <v>76</v>
      </c>
      <c r="K25" s="20" t="s">
        <v>76</v>
      </c>
      <c r="L25" s="20" t="s">
        <v>76</v>
      </c>
      <c r="M25" s="20" t="s">
        <v>1644</v>
      </c>
      <c r="N25" s="20" t="s">
        <v>1555</v>
      </c>
      <c r="O25" s="20"/>
      <c r="P25" s="20"/>
    </row>
    <row r="26" spans="1:16" ht="14.25" customHeight="1">
      <c r="A26">
        <v>25</v>
      </c>
      <c r="B26" t="s">
        <v>9</v>
      </c>
      <c r="C26" t="s">
        <v>1549</v>
      </c>
      <c r="D26" t="s">
        <v>1645</v>
      </c>
      <c r="E26" t="s">
        <v>1646</v>
      </c>
      <c r="F26">
        <v>2021</v>
      </c>
      <c r="G26" t="s">
        <v>923</v>
      </c>
      <c r="H26" t="s">
        <v>1647</v>
      </c>
      <c r="I26" t="s">
        <v>1648</v>
      </c>
      <c r="J26" t="s">
        <v>91</v>
      </c>
      <c r="K26" t="s">
        <v>91</v>
      </c>
      <c r="L26" t="s">
        <v>91</v>
      </c>
      <c r="M26" t="s">
        <v>1601</v>
      </c>
      <c r="N26" t="s">
        <v>1555</v>
      </c>
    </row>
    <row r="27" spans="1:16" ht="14.25" customHeight="1">
      <c r="A27">
        <v>26</v>
      </c>
      <c r="B27" t="s">
        <v>9</v>
      </c>
      <c r="C27" t="s">
        <v>1549</v>
      </c>
      <c r="D27" t="s">
        <v>1649</v>
      </c>
      <c r="E27" t="s">
        <v>1650</v>
      </c>
      <c r="F27">
        <v>2021</v>
      </c>
      <c r="G27" t="s">
        <v>1651</v>
      </c>
      <c r="H27" t="s">
        <v>1652</v>
      </c>
      <c r="J27" t="s">
        <v>91</v>
      </c>
      <c r="K27" t="s">
        <v>91</v>
      </c>
      <c r="L27" t="s">
        <v>91</v>
      </c>
      <c r="M27" t="s">
        <v>1587</v>
      </c>
      <c r="N27" t="s">
        <v>1555</v>
      </c>
    </row>
    <row r="28" spans="1:16" ht="14.25" customHeight="1">
      <c r="A28">
        <v>27</v>
      </c>
      <c r="B28" t="s">
        <v>9</v>
      </c>
      <c r="C28" t="s">
        <v>1549</v>
      </c>
      <c r="D28" t="s">
        <v>1653</v>
      </c>
      <c r="E28" t="s">
        <v>1654</v>
      </c>
      <c r="F28">
        <v>2021</v>
      </c>
      <c r="G28" t="s">
        <v>920</v>
      </c>
      <c r="H28" t="s">
        <v>1655</v>
      </c>
      <c r="I28" t="s">
        <v>1656</v>
      </c>
      <c r="J28" t="s">
        <v>91</v>
      </c>
      <c r="K28" t="s">
        <v>91</v>
      </c>
      <c r="L28" t="s">
        <v>91</v>
      </c>
      <c r="M28" t="s">
        <v>1601</v>
      </c>
      <c r="N28" t="s">
        <v>1555</v>
      </c>
    </row>
    <row r="29" spans="1:16" ht="14.25" customHeight="1">
      <c r="A29">
        <v>28</v>
      </c>
      <c r="B29" t="s">
        <v>9</v>
      </c>
      <c r="C29" t="s">
        <v>1549</v>
      </c>
      <c r="D29" t="s">
        <v>1657</v>
      </c>
      <c r="E29" t="s">
        <v>1658</v>
      </c>
      <c r="F29">
        <v>2021</v>
      </c>
      <c r="G29" t="s">
        <v>1659</v>
      </c>
      <c r="H29" t="s">
        <v>1660</v>
      </c>
      <c r="J29" t="s">
        <v>91</v>
      </c>
      <c r="K29" t="s">
        <v>91</v>
      </c>
      <c r="L29" t="s">
        <v>91</v>
      </c>
      <c r="M29" t="s">
        <v>1570</v>
      </c>
      <c r="N29" t="s">
        <v>1588</v>
      </c>
    </row>
    <row r="30" spans="1:16" ht="14.25" customHeight="1">
      <c r="A30" s="20">
        <v>29</v>
      </c>
      <c r="B30" s="20" t="s">
        <v>9</v>
      </c>
      <c r="C30" s="20" t="s">
        <v>1549</v>
      </c>
      <c r="D30" s="20" t="s">
        <v>935</v>
      </c>
      <c r="E30" s="20" t="s">
        <v>936</v>
      </c>
      <c r="F30" s="20">
        <v>2021</v>
      </c>
      <c r="G30" s="20" t="s">
        <v>937</v>
      </c>
      <c r="H30" s="20" t="s">
        <v>938</v>
      </c>
      <c r="I30" s="20"/>
      <c r="J30" s="20" t="s">
        <v>76</v>
      </c>
      <c r="K30" s="20" t="s">
        <v>76</v>
      </c>
      <c r="L30" s="20" t="s">
        <v>76</v>
      </c>
      <c r="M30" s="20" t="s">
        <v>1661</v>
      </c>
      <c r="N30" s="20" t="s">
        <v>1588</v>
      </c>
      <c r="O30" s="20"/>
      <c r="P30" s="20"/>
    </row>
    <row r="31" spans="1:16" ht="14.25" customHeight="1">
      <c r="A31">
        <v>30</v>
      </c>
      <c r="B31" t="s">
        <v>9</v>
      </c>
      <c r="C31" t="s">
        <v>1549</v>
      </c>
      <c r="D31" t="s">
        <v>1662</v>
      </c>
      <c r="E31" t="s">
        <v>1663</v>
      </c>
      <c r="F31">
        <v>2021</v>
      </c>
      <c r="G31" t="s">
        <v>1664</v>
      </c>
      <c r="H31" t="s">
        <v>1665</v>
      </c>
      <c r="I31" t="s">
        <v>1666</v>
      </c>
      <c r="J31" t="s">
        <v>91</v>
      </c>
      <c r="K31" t="s">
        <v>91</v>
      </c>
      <c r="L31" t="s">
        <v>91</v>
      </c>
      <c r="M31" t="s">
        <v>1554</v>
      </c>
      <c r="N31" t="s">
        <v>1555</v>
      </c>
    </row>
    <row r="32" spans="1:16" ht="14.25" customHeight="1">
      <c r="A32">
        <v>31</v>
      </c>
      <c r="B32" t="s">
        <v>9</v>
      </c>
      <c r="C32" t="s">
        <v>1549</v>
      </c>
      <c r="D32" t="s">
        <v>1667</v>
      </c>
      <c r="E32" t="s">
        <v>1668</v>
      </c>
      <c r="F32">
        <v>2021</v>
      </c>
      <c r="G32" t="s">
        <v>923</v>
      </c>
      <c r="H32" t="s">
        <v>1669</v>
      </c>
      <c r="J32" t="s">
        <v>91</v>
      </c>
      <c r="K32" t="s">
        <v>91</v>
      </c>
      <c r="L32" t="s">
        <v>91</v>
      </c>
      <c r="M32" t="s">
        <v>1554</v>
      </c>
      <c r="N32" t="s">
        <v>1555</v>
      </c>
    </row>
    <row r="33" spans="1:16" ht="14.25" customHeight="1">
      <c r="A33">
        <v>32</v>
      </c>
      <c r="B33" t="s">
        <v>9</v>
      </c>
      <c r="C33" t="s">
        <v>1549</v>
      </c>
      <c r="D33" t="s">
        <v>1670</v>
      </c>
      <c r="E33" t="s">
        <v>1671</v>
      </c>
      <c r="F33">
        <v>2021</v>
      </c>
      <c r="G33" t="s">
        <v>1672</v>
      </c>
      <c r="H33" t="s">
        <v>1673</v>
      </c>
      <c r="J33" t="s">
        <v>91</v>
      </c>
      <c r="K33" t="s">
        <v>91</v>
      </c>
      <c r="L33" t="s">
        <v>91</v>
      </c>
      <c r="M33" t="s">
        <v>1570</v>
      </c>
      <c r="N33" t="s">
        <v>1588</v>
      </c>
    </row>
    <row r="34" spans="1:16" ht="14.25" customHeight="1">
      <c r="A34">
        <v>33</v>
      </c>
      <c r="B34" t="s">
        <v>9</v>
      </c>
      <c r="C34" t="s">
        <v>1549</v>
      </c>
      <c r="D34" t="s">
        <v>1674</v>
      </c>
      <c r="E34" t="s">
        <v>1675</v>
      </c>
      <c r="F34">
        <v>2021</v>
      </c>
      <c r="G34" t="s">
        <v>1676</v>
      </c>
      <c r="H34" t="s">
        <v>1677</v>
      </c>
      <c r="J34" t="s">
        <v>91</v>
      </c>
      <c r="K34" t="s">
        <v>91</v>
      </c>
      <c r="L34" t="s">
        <v>91</v>
      </c>
      <c r="M34" t="s">
        <v>1570</v>
      </c>
      <c r="N34" t="s">
        <v>1588</v>
      </c>
    </row>
    <row r="35" spans="1:16" ht="14.25" customHeight="1">
      <c r="A35">
        <v>34</v>
      </c>
      <c r="B35" t="s">
        <v>9</v>
      </c>
      <c r="C35" t="s">
        <v>1549</v>
      </c>
      <c r="D35" t="s">
        <v>1678</v>
      </c>
      <c r="E35" t="s">
        <v>1679</v>
      </c>
      <c r="F35">
        <v>2021</v>
      </c>
      <c r="G35" t="s">
        <v>1023</v>
      </c>
      <c r="H35" t="s">
        <v>1680</v>
      </c>
      <c r="J35" t="s">
        <v>91</v>
      </c>
      <c r="K35" t="s">
        <v>91</v>
      </c>
      <c r="L35" t="s">
        <v>91</v>
      </c>
      <c r="M35" t="s">
        <v>1593</v>
      </c>
      <c r="N35" t="s">
        <v>1555</v>
      </c>
    </row>
    <row r="36" spans="1:16" ht="14.25" customHeight="1">
      <c r="A36">
        <v>35</v>
      </c>
      <c r="B36" t="s">
        <v>9</v>
      </c>
      <c r="C36" t="s">
        <v>1549</v>
      </c>
      <c r="D36" t="s">
        <v>1681</v>
      </c>
      <c r="E36" t="s">
        <v>1682</v>
      </c>
      <c r="F36">
        <v>2021</v>
      </c>
      <c r="G36" t="s">
        <v>1683</v>
      </c>
      <c r="H36" t="s">
        <v>1684</v>
      </c>
      <c r="J36" t="s">
        <v>91</v>
      </c>
      <c r="K36" t="s">
        <v>91</v>
      </c>
      <c r="L36" t="s">
        <v>91</v>
      </c>
      <c r="M36" t="s">
        <v>1570</v>
      </c>
      <c r="N36" t="s">
        <v>1588</v>
      </c>
    </row>
    <row r="37" spans="1:16" ht="14.25" customHeight="1">
      <c r="A37">
        <v>36</v>
      </c>
      <c r="B37" t="s">
        <v>9</v>
      </c>
      <c r="C37" t="s">
        <v>1549</v>
      </c>
      <c r="D37" t="s">
        <v>1685</v>
      </c>
      <c r="E37" t="s">
        <v>1686</v>
      </c>
      <c r="F37">
        <v>2021</v>
      </c>
      <c r="G37" t="s">
        <v>923</v>
      </c>
      <c r="H37" t="s">
        <v>1687</v>
      </c>
      <c r="I37" t="s">
        <v>1688</v>
      </c>
      <c r="J37" t="s">
        <v>91</v>
      </c>
      <c r="K37" t="s">
        <v>91</v>
      </c>
      <c r="L37" t="s">
        <v>91</v>
      </c>
      <c r="M37" t="s">
        <v>1570</v>
      </c>
      <c r="N37" t="s">
        <v>1555</v>
      </c>
    </row>
    <row r="38" spans="1:16" ht="14.25" customHeight="1">
      <c r="A38">
        <v>37</v>
      </c>
      <c r="B38" t="s">
        <v>9</v>
      </c>
      <c r="C38" t="s">
        <v>1549</v>
      </c>
      <c r="D38" t="s">
        <v>1689</v>
      </c>
      <c r="E38" t="s">
        <v>1690</v>
      </c>
      <c r="F38">
        <v>2021</v>
      </c>
      <c r="G38" t="s">
        <v>933</v>
      </c>
      <c r="H38" t="s">
        <v>1691</v>
      </c>
      <c r="I38" s="22" t="s">
        <v>1692</v>
      </c>
      <c r="J38" t="s">
        <v>91</v>
      </c>
      <c r="K38" t="s">
        <v>91</v>
      </c>
      <c r="L38" t="s">
        <v>91</v>
      </c>
      <c r="M38" t="s">
        <v>1570</v>
      </c>
      <c r="N38" t="s">
        <v>1555</v>
      </c>
    </row>
    <row r="39" spans="1:16" ht="189" customHeight="1">
      <c r="A39">
        <v>38</v>
      </c>
      <c r="B39" t="s">
        <v>9</v>
      </c>
      <c r="C39" t="s">
        <v>1549</v>
      </c>
      <c r="D39" t="s">
        <v>1693</v>
      </c>
      <c r="E39" t="s">
        <v>1694</v>
      </c>
      <c r="F39">
        <v>2021</v>
      </c>
      <c r="G39" t="s">
        <v>923</v>
      </c>
      <c r="H39" t="s">
        <v>1695</v>
      </c>
      <c r="J39" t="s">
        <v>91</v>
      </c>
      <c r="K39" t="s">
        <v>91</v>
      </c>
      <c r="L39" t="s">
        <v>91</v>
      </c>
      <c r="M39" t="s">
        <v>1570</v>
      </c>
      <c r="N39" t="s">
        <v>1555</v>
      </c>
    </row>
    <row r="40" spans="1:16" ht="14.25" customHeight="1">
      <c r="A40">
        <v>39</v>
      </c>
      <c r="B40" t="s">
        <v>9</v>
      </c>
      <c r="C40" t="s">
        <v>1549</v>
      </c>
      <c r="D40" t="s">
        <v>1696</v>
      </c>
      <c r="E40" t="s">
        <v>1697</v>
      </c>
      <c r="F40">
        <v>2021</v>
      </c>
      <c r="G40" t="s">
        <v>1628</v>
      </c>
      <c r="H40" t="s">
        <v>1698</v>
      </c>
      <c r="I40" t="s">
        <v>1699</v>
      </c>
      <c r="J40" t="s">
        <v>91</v>
      </c>
      <c r="K40" t="s">
        <v>91</v>
      </c>
      <c r="L40" t="s">
        <v>91</v>
      </c>
      <c r="M40" t="s">
        <v>1570</v>
      </c>
      <c r="N40" t="s">
        <v>1555</v>
      </c>
    </row>
    <row r="41" spans="1:16" ht="14.25" customHeight="1">
      <c r="A41" s="20">
        <v>40</v>
      </c>
      <c r="B41" s="20" t="s">
        <v>9</v>
      </c>
      <c r="C41" s="20" t="s">
        <v>1549</v>
      </c>
      <c r="D41" s="20" t="s">
        <v>939</v>
      </c>
      <c r="E41" s="20" t="s">
        <v>940</v>
      </c>
      <c r="F41" s="20">
        <v>2021</v>
      </c>
      <c r="G41" s="20" t="s">
        <v>941</v>
      </c>
      <c r="H41" s="20" t="s">
        <v>942</v>
      </c>
      <c r="I41" s="20" t="s">
        <v>1700</v>
      </c>
      <c r="J41" s="20" t="s">
        <v>76</v>
      </c>
      <c r="K41" s="20" t="s">
        <v>76</v>
      </c>
      <c r="L41" s="20" t="s">
        <v>76</v>
      </c>
      <c r="M41" s="20" t="s">
        <v>1701</v>
      </c>
      <c r="N41" s="20" t="s">
        <v>1588</v>
      </c>
      <c r="O41" s="20"/>
      <c r="P41" s="20"/>
    </row>
    <row r="42" spans="1:16" ht="14.25" customHeight="1">
      <c r="A42" s="20">
        <v>41</v>
      </c>
      <c r="B42" s="20" t="s">
        <v>9</v>
      </c>
      <c r="C42" s="20" t="s">
        <v>1549</v>
      </c>
      <c r="D42" s="20" t="s">
        <v>943</v>
      </c>
      <c r="E42" s="20" t="s">
        <v>944</v>
      </c>
      <c r="F42" s="20">
        <v>2021</v>
      </c>
      <c r="G42" s="20" t="s">
        <v>945</v>
      </c>
      <c r="H42" s="20" t="s">
        <v>946</v>
      </c>
      <c r="I42" s="20"/>
      <c r="J42" s="20" t="s">
        <v>76</v>
      </c>
      <c r="K42" s="20" t="s">
        <v>76</v>
      </c>
      <c r="L42" s="20" t="s">
        <v>76</v>
      </c>
      <c r="M42" s="20" t="s">
        <v>1702</v>
      </c>
      <c r="N42" s="20" t="s">
        <v>1588</v>
      </c>
      <c r="O42" s="20"/>
      <c r="P42" s="20"/>
    </row>
    <row r="43" spans="1:16" ht="14.25" customHeight="1">
      <c r="A43">
        <v>42</v>
      </c>
      <c r="B43" t="s">
        <v>9</v>
      </c>
      <c r="C43" t="s">
        <v>1549</v>
      </c>
      <c r="D43" t="s">
        <v>1703</v>
      </c>
      <c r="E43" t="s">
        <v>1704</v>
      </c>
      <c r="F43">
        <v>2021</v>
      </c>
      <c r="G43" t="s">
        <v>923</v>
      </c>
      <c r="H43" t="s">
        <v>1705</v>
      </c>
      <c r="I43" t="s">
        <v>1706</v>
      </c>
      <c r="J43" t="s">
        <v>91</v>
      </c>
      <c r="K43" t="s">
        <v>91</v>
      </c>
      <c r="L43" t="s">
        <v>91</v>
      </c>
      <c r="M43" t="s">
        <v>1554</v>
      </c>
      <c r="N43" t="s">
        <v>1555</v>
      </c>
    </row>
    <row r="44" spans="1:16" ht="14.25" customHeight="1">
      <c r="A44">
        <v>43</v>
      </c>
      <c r="B44" t="s">
        <v>9</v>
      </c>
      <c r="C44" t="s">
        <v>1549</v>
      </c>
      <c r="D44" t="s">
        <v>1707</v>
      </c>
      <c r="E44" t="s">
        <v>1708</v>
      </c>
      <c r="F44">
        <v>2021</v>
      </c>
      <c r="G44" t="s">
        <v>1709</v>
      </c>
      <c r="H44" t="s">
        <v>1710</v>
      </c>
      <c r="J44" t="s">
        <v>91</v>
      </c>
      <c r="K44" t="s">
        <v>91</v>
      </c>
      <c r="L44" t="s">
        <v>91</v>
      </c>
      <c r="M44" t="s">
        <v>1593</v>
      </c>
      <c r="N44" t="s">
        <v>1588</v>
      </c>
    </row>
    <row r="45" spans="1:16" ht="14.25" customHeight="1">
      <c r="A45">
        <v>44</v>
      </c>
      <c r="B45" t="s">
        <v>9</v>
      </c>
      <c r="C45" t="s">
        <v>1549</v>
      </c>
      <c r="D45" t="s">
        <v>1711</v>
      </c>
      <c r="E45" t="s">
        <v>1712</v>
      </c>
      <c r="F45">
        <v>2021</v>
      </c>
      <c r="G45" t="s">
        <v>923</v>
      </c>
      <c r="H45" t="s">
        <v>1713</v>
      </c>
      <c r="I45" t="s">
        <v>1714</v>
      </c>
      <c r="J45" t="s">
        <v>91</v>
      </c>
      <c r="K45" t="s">
        <v>91</v>
      </c>
      <c r="L45" t="s">
        <v>91</v>
      </c>
      <c r="M45" t="s">
        <v>1554</v>
      </c>
      <c r="N45" t="s">
        <v>1555</v>
      </c>
    </row>
    <row r="46" spans="1:16" ht="14.25" customHeight="1">
      <c r="A46">
        <v>45</v>
      </c>
      <c r="B46" t="s">
        <v>9</v>
      </c>
      <c r="C46" t="s">
        <v>1549</v>
      </c>
      <c r="D46" t="s">
        <v>1715</v>
      </c>
      <c r="E46" t="s">
        <v>1716</v>
      </c>
      <c r="F46">
        <v>2021</v>
      </c>
      <c r="G46" t="s">
        <v>1717</v>
      </c>
      <c r="H46" t="s">
        <v>1718</v>
      </c>
      <c r="J46" t="s">
        <v>91</v>
      </c>
      <c r="K46" t="s">
        <v>91</v>
      </c>
      <c r="L46" t="s">
        <v>91</v>
      </c>
      <c r="M46" t="s">
        <v>1570</v>
      </c>
      <c r="N46" t="s">
        <v>1588</v>
      </c>
    </row>
    <row r="47" spans="1:16" ht="14.25" customHeight="1">
      <c r="A47">
        <v>46</v>
      </c>
      <c r="B47" t="s">
        <v>9</v>
      </c>
      <c r="C47" t="s">
        <v>1549</v>
      </c>
      <c r="D47" t="s">
        <v>1719</v>
      </c>
      <c r="E47" t="s">
        <v>1720</v>
      </c>
      <c r="F47">
        <v>2021</v>
      </c>
      <c r="G47" t="s">
        <v>1721</v>
      </c>
      <c r="H47" t="s">
        <v>1722</v>
      </c>
      <c r="I47" t="s">
        <v>1723</v>
      </c>
      <c r="J47" t="s">
        <v>91</v>
      </c>
      <c r="K47" t="s">
        <v>91</v>
      </c>
      <c r="L47" t="s">
        <v>91</v>
      </c>
      <c r="M47" t="s">
        <v>1587</v>
      </c>
      <c r="N47" t="s">
        <v>1555</v>
      </c>
    </row>
    <row r="48" spans="1:16" ht="14.25" customHeight="1">
      <c r="A48">
        <v>47</v>
      </c>
      <c r="B48" t="s">
        <v>9</v>
      </c>
      <c r="C48" t="s">
        <v>1549</v>
      </c>
      <c r="D48" t="s">
        <v>1724</v>
      </c>
      <c r="E48" t="s">
        <v>1725</v>
      </c>
      <c r="F48">
        <v>2021</v>
      </c>
      <c r="G48" t="s">
        <v>923</v>
      </c>
      <c r="H48" t="s">
        <v>1726</v>
      </c>
      <c r="J48" t="s">
        <v>91</v>
      </c>
      <c r="K48" t="s">
        <v>91</v>
      </c>
      <c r="L48" t="s">
        <v>91</v>
      </c>
      <c r="M48" t="s">
        <v>1570</v>
      </c>
      <c r="N48" t="s">
        <v>1555</v>
      </c>
    </row>
    <row r="49" spans="1:16" ht="14.25" customHeight="1">
      <c r="A49">
        <v>48</v>
      </c>
      <c r="B49" t="s">
        <v>9</v>
      </c>
      <c r="C49" t="s">
        <v>1549</v>
      </c>
      <c r="D49" t="s">
        <v>1727</v>
      </c>
      <c r="E49" t="s">
        <v>1728</v>
      </c>
      <c r="F49">
        <v>2021</v>
      </c>
      <c r="G49" t="s">
        <v>1729</v>
      </c>
      <c r="H49" t="s">
        <v>1730</v>
      </c>
      <c r="J49" t="s">
        <v>91</v>
      </c>
      <c r="K49" t="s">
        <v>91</v>
      </c>
      <c r="L49" t="s">
        <v>91</v>
      </c>
      <c r="M49" t="s">
        <v>1593</v>
      </c>
      <c r="N49" t="s">
        <v>1588</v>
      </c>
    </row>
    <row r="50" spans="1:16" ht="14.25" customHeight="1">
      <c r="A50">
        <v>49</v>
      </c>
      <c r="B50" t="s">
        <v>9</v>
      </c>
      <c r="C50" t="s">
        <v>1549</v>
      </c>
      <c r="D50" t="s">
        <v>1731</v>
      </c>
      <c r="E50" t="s">
        <v>1732</v>
      </c>
      <c r="F50">
        <v>2021</v>
      </c>
      <c r="G50" t="s">
        <v>1733</v>
      </c>
      <c r="H50" t="s">
        <v>1734</v>
      </c>
      <c r="I50" t="s">
        <v>1735</v>
      </c>
      <c r="J50" t="s">
        <v>91</v>
      </c>
      <c r="K50" t="s">
        <v>91</v>
      </c>
      <c r="L50" t="s">
        <v>91</v>
      </c>
      <c r="M50" t="s">
        <v>1570</v>
      </c>
      <c r="N50" t="s">
        <v>1555</v>
      </c>
    </row>
    <row r="51" spans="1:16" ht="14.25" customHeight="1">
      <c r="A51">
        <v>50</v>
      </c>
      <c r="B51" t="s">
        <v>9</v>
      </c>
      <c r="C51" t="s">
        <v>1549</v>
      </c>
      <c r="D51" t="s">
        <v>1736</v>
      </c>
      <c r="E51" t="s">
        <v>1737</v>
      </c>
      <c r="F51">
        <v>2021</v>
      </c>
      <c r="G51" t="s">
        <v>1738</v>
      </c>
      <c r="H51" t="s">
        <v>1739</v>
      </c>
      <c r="J51" t="s">
        <v>91</v>
      </c>
      <c r="K51" t="s">
        <v>91</v>
      </c>
      <c r="L51" t="s">
        <v>91</v>
      </c>
      <c r="M51" t="s">
        <v>1570</v>
      </c>
      <c r="N51" t="s">
        <v>1588</v>
      </c>
    </row>
    <row r="52" spans="1:16" ht="14.25" customHeight="1">
      <c r="A52">
        <v>51</v>
      </c>
      <c r="B52" t="s">
        <v>9</v>
      </c>
      <c r="C52" t="s">
        <v>1549</v>
      </c>
      <c r="D52" t="s">
        <v>1740</v>
      </c>
      <c r="E52" t="s">
        <v>1741</v>
      </c>
      <c r="F52">
        <v>2021</v>
      </c>
      <c r="G52" t="s">
        <v>1001</v>
      </c>
      <c r="H52" t="s">
        <v>1742</v>
      </c>
      <c r="I52" t="s">
        <v>1743</v>
      </c>
      <c r="J52" t="s">
        <v>91</v>
      </c>
      <c r="K52" t="s">
        <v>91</v>
      </c>
      <c r="L52" t="s">
        <v>91</v>
      </c>
      <c r="M52" t="s">
        <v>1587</v>
      </c>
      <c r="N52" t="s">
        <v>1555</v>
      </c>
    </row>
    <row r="53" spans="1:16" ht="14.25" customHeight="1">
      <c r="A53">
        <v>52</v>
      </c>
      <c r="B53" t="s">
        <v>9</v>
      </c>
      <c r="C53" t="s">
        <v>1549</v>
      </c>
      <c r="D53" t="s">
        <v>1744</v>
      </c>
      <c r="E53" t="s">
        <v>1745</v>
      </c>
      <c r="F53">
        <v>2022</v>
      </c>
      <c r="G53" t="s">
        <v>920</v>
      </c>
      <c r="H53" t="s">
        <v>1746</v>
      </c>
      <c r="I53" t="s">
        <v>1747</v>
      </c>
      <c r="J53" t="s">
        <v>91</v>
      </c>
      <c r="K53" t="s">
        <v>91</v>
      </c>
      <c r="L53" t="s">
        <v>91</v>
      </c>
      <c r="M53" t="s">
        <v>1570</v>
      </c>
      <c r="N53" t="s">
        <v>1555</v>
      </c>
    </row>
    <row r="54" spans="1:16" ht="14.25" customHeight="1">
      <c r="A54">
        <v>53</v>
      </c>
      <c r="B54" t="s">
        <v>9</v>
      </c>
      <c r="C54" t="s">
        <v>1549</v>
      </c>
      <c r="D54" t="s">
        <v>1748</v>
      </c>
      <c r="E54" t="s">
        <v>1749</v>
      </c>
      <c r="F54">
        <v>2022</v>
      </c>
      <c r="G54" t="s">
        <v>1750</v>
      </c>
      <c r="H54" t="s">
        <v>1751</v>
      </c>
      <c r="I54" t="s">
        <v>1752</v>
      </c>
      <c r="J54" t="s">
        <v>91</v>
      </c>
      <c r="K54" t="s">
        <v>91</v>
      </c>
      <c r="L54" t="s">
        <v>91</v>
      </c>
      <c r="M54" t="s">
        <v>1570</v>
      </c>
      <c r="N54" t="s">
        <v>1555</v>
      </c>
    </row>
    <row r="55" spans="1:16" ht="14.25" customHeight="1">
      <c r="A55">
        <v>54</v>
      </c>
      <c r="B55" t="s">
        <v>9</v>
      </c>
      <c r="C55" t="s">
        <v>1549</v>
      </c>
      <c r="D55" t="s">
        <v>1753</v>
      </c>
      <c r="E55" t="s">
        <v>1754</v>
      </c>
      <c r="F55">
        <v>2022</v>
      </c>
      <c r="G55" t="s">
        <v>1755</v>
      </c>
      <c r="H55" t="s">
        <v>1756</v>
      </c>
      <c r="I55" t="s">
        <v>1757</v>
      </c>
      <c r="J55" t="s">
        <v>91</v>
      </c>
      <c r="K55" t="s">
        <v>91</v>
      </c>
      <c r="L55" t="s">
        <v>91</v>
      </c>
      <c r="M55" t="s">
        <v>1570</v>
      </c>
      <c r="N55" t="s">
        <v>1555</v>
      </c>
    </row>
    <row r="56" spans="1:16" ht="14.25" customHeight="1">
      <c r="A56">
        <v>55</v>
      </c>
      <c r="B56" t="s">
        <v>9</v>
      </c>
      <c r="C56" t="s">
        <v>1549</v>
      </c>
      <c r="D56" t="s">
        <v>1758</v>
      </c>
      <c r="E56" t="s">
        <v>1759</v>
      </c>
      <c r="F56">
        <v>2022</v>
      </c>
      <c r="G56" t="s">
        <v>1760</v>
      </c>
      <c r="H56" t="s">
        <v>1761</v>
      </c>
      <c r="J56" t="s">
        <v>91</v>
      </c>
      <c r="K56" t="s">
        <v>91</v>
      </c>
      <c r="L56" t="s">
        <v>91</v>
      </c>
      <c r="M56" t="s">
        <v>1570</v>
      </c>
      <c r="N56" t="s">
        <v>1555</v>
      </c>
    </row>
    <row r="57" spans="1:16" ht="14.25" customHeight="1">
      <c r="A57">
        <v>56</v>
      </c>
      <c r="B57" t="s">
        <v>9</v>
      </c>
      <c r="C57" t="s">
        <v>1549</v>
      </c>
      <c r="D57" t="s">
        <v>1762</v>
      </c>
      <c r="E57" t="s">
        <v>1763</v>
      </c>
      <c r="F57">
        <v>2022</v>
      </c>
      <c r="G57" t="s">
        <v>920</v>
      </c>
      <c r="H57" t="s">
        <v>1764</v>
      </c>
      <c r="I57" t="s">
        <v>1765</v>
      </c>
      <c r="J57" t="s">
        <v>91</v>
      </c>
      <c r="K57" t="s">
        <v>91</v>
      </c>
      <c r="L57" t="s">
        <v>91</v>
      </c>
      <c r="M57" t="s">
        <v>1570</v>
      </c>
      <c r="N57" t="s">
        <v>1555</v>
      </c>
    </row>
    <row r="58" spans="1:16" ht="14.25" customHeight="1">
      <c r="A58">
        <v>57</v>
      </c>
      <c r="B58" t="s">
        <v>9</v>
      </c>
      <c r="C58" t="s">
        <v>1549</v>
      </c>
      <c r="D58" t="s">
        <v>1766</v>
      </c>
      <c r="E58" t="s">
        <v>1767</v>
      </c>
      <c r="F58">
        <v>2022</v>
      </c>
      <c r="G58" t="s">
        <v>923</v>
      </c>
      <c r="H58" t="s">
        <v>1768</v>
      </c>
      <c r="J58" t="s">
        <v>91</v>
      </c>
      <c r="K58" t="s">
        <v>91</v>
      </c>
      <c r="L58" t="s">
        <v>91</v>
      </c>
      <c r="M58" t="s">
        <v>1554</v>
      </c>
      <c r="N58" t="s">
        <v>1555</v>
      </c>
    </row>
    <row r="59" spans="1:16" ht="14.25" customHeight="1">
      <c r="A59">
        <v>58</v>
      </c>
      <c r="B59" t="s">
        <v>9</v>
      </c>
      <c r="C59" t="s">
        <v>1549</v>
      </c>
      <c r="D59" t="s">
        <v>1769</v>
      </c>
      <c r="E59" t="s">
        <v>1770</v>
      </c>
      <c r="F59">
        <v>2022</v>
      </c>
      <c r="G59" t="s">
        <v>923</v>
      </c>
      <c r="H59" t="s">
        <v>1771</v>
      </c>
      <c r="I59" t="s">
        <v>1772</v>
      </c>
      <c r="J59" t="s">
        <v>91</v>
      </c>
      <c r="K59" t="s">
        <v>91</v>
      </c>
      <c r="L59" t="s">
        <v>91</v>
      </c>
      <c r="M59" t="s">
        <v>1570</v>
      </c>
      <c r="N59" t="s">
        <v>1555</v>
      </c>
    </row>
    <row r="60" spans="1:16" ht="14.25" customHeight="1">
      <c r="A60" s="20">
        <v>59</v>
      </c>
      <c r="B60" s="20" t="s">
        <v>9</v>
      </c>
      <c r="C60" s="20" t="s">
        <v>1549</v>
      </c>
      <c r="D60" s="20" t="s">
        <v>947</v>
      </c>
      <c r="E60" s="20" t="s">
        <v>948</v>
      </c>
      <c r="F60" s="20">
        <v>2022</v>
      </c>
      <c r="G60" s="20" t="s">
        <v>923</v>
      </c>
      <c r="H60" s="20" t="s">
        <v>949</v>
      </c>
      <c r="I60" s="20" t="s">
        <v>1773</v>
      </c>
      <c r="J60" s="20" t="s">
        <v>76</v>
      </c>
      <c r="K60" s="20" t="s">
        <v>76</v>
      </c>
      <c r="L60" s="20" t="s">
        <v>76</v>
      </c>
      <c r="M60" s="20" t="s">
        <v>1774</v>
      </c>
      <c r="N60" s="20" t="s">
        <v>1555</v>
      </c>
      <c r="O60" s="20"/>
      <c r="P60" s="20"/>
    </row>
    <row r="61" spans="1:16" ht="14.25" customHeight="1">
      <c r="A61">
        <v>60</v>
      </c>
      <c r="B61" t="s">
        <v>9</v>
      </c>
      <c r="C61" t="s">
        <v>1549</v>
      </c>
      <c r="D61" t="s">
        <v>1775</v>
      </c>
      <c r="E61" t="s">
        <v>1776</v>
      </c>
      <c r="F61">
        <v>2022</v>
      </c>
      <c r="G61" t="s">
        <v>1777</v>
      </c>
      <c r="H61" t="s">
        <v>1778</v>
      </c>
      <c r="J61" t="s">
        <v>91</v>
      </c>
      <c r="K61" t="s">
        <v>91</v>
      </c>
      <c r="L61" t="s">
        <v>91</v>
      </c>
      <c r="M61" t="s">
        <v>1587</v>
      </c>
      <c r="N61" t="s">
        <v>1555</v>
      </c>
    </row>
    <row r="62" spans="1:16" ht="14.25" customHeight="1">
      <c r="A62">
        <v>61</v>
      </c>
      <c r="B62" t="s">
        <v>9</v>
      </c>
      <c r="C62" t="s">
        <v>1549</v>
      </c>
      <c r="D62" t="s">
        <v>1779</v>
      </c>
      <c r="E62" t="s">
        <v>1780</v>
      </c>
      <c r="F62">
        <v>2022</v>
      </c>
      <c r="G62" t="s">
        <v>1094</v>
      </c>
      <c r="H62" t="s">
        <v>1781</v>
      </c>
      <c r="J62" t="s">
        <v>91</v>
      </c>
      <c r="K62" t="s">
        <v>91</v>
      </c>
      <c r="L62" t="s">
        <v>91</v>
      </c>
      <c r="M62" t="s">
        <v>1587</v>
      </c>
      <c r="N62" t="s">
        <v>1555</v>
      </c>
    </row>
    <row r="63" spans="1:16" ht="14.25" customHeight="1">
      <c r="A63">
        <v>62</v>
      </c>
      <c r="B63" t="s">
        <v>9</v>
      </c>
      <c r="C63" t="s">
        <v>1549</v>
      </c>
      <c r="D63" t="s">
        <v>1782</v>
      </c>
      <c r="E63" t="s">
        <v>1783</v>
      </c>
      <c r="F63">
        <v>2022</v>
      </c>
      <c r="G63" t="s">
        <v>1755</v>
      </c>
      <c r="H63" t="s">
        <v>1784</v>
      </c>
      <c r="I63" t="s">
        <v>1785</v>
      </c>
      <c r="J63" t="s">
        <v>91</v>
      </c>
      <c r="K63" t="s">
        <v>91</v>
      </c>
      <c r="L63" t="s">
        <v>91</v>
      </c>
      <c r="M63" t="s">
        <v>1593</v>
      </c>
      <c r="N63" t="s">
        <v>1555</v>
      </c>
    </row>
    <row r="64" spans="1:16" ht="14.25" customHeight="1">
      <c r="A64">
        <v>63</v>
      </c>
      <c r="B64" t="s">
        <v>9</v>
      </c>
      <c r="C64" t="s">
        <v>1549</v>
      </c>
      <c r="D64" t="s">
        <v>1786</v>
      </c>
      <c r="E64" t="s">
        <v>1787</v>
      </c>
      <c r="F64">
        <v>2022</v>
      </c>
      <c r="G64" t="s">
        <v>923</v>
      </c>
      <c r="H64" t="s">
        <v>1788</v>
      </c>
      <c r="J64" t="s">
        <v>91</v>
      </c>
      <c r="K64" t="s">
        <v>91</v>
      </c>
      <c r="L64" t="s">
        <v>91</v>
      </c>
      <c r="M64" t="s">
        <v>1554</v>
      </c>
      <c r="N64" t="s">
        <v>1555</v>
      </c>
    </row>
    <row r="65" spans="1:16" ht="14.25" customHeight="1">
      <c r="A65">
        <v>64</v>
      </c>
      <c r="B65" t="s">
        <v>9</v>
      </c>
      <c r="C65" t="s">
        <v>1549</v>
      </c>
      <c r="D65" t="s">
        <v>1789</v>
      </c>
      <c r="E65" t="s">
        <v>1790</v>
      </c>
      <c r="F65">
        <v>2022</v>
      </c>
      <c r="G65" t="s">
        <v>1791</v>
      </c>
      <c r="H65" t="s">
        <v>1792</v>
      </c>
      <c r="I65" t="s">
        <v>1793</v>
      </c>
      <c r="J65" t="s">
        <v>91</v>
      </c>
      <c r="K65" t="s">
        <v>91</v>
      </c>
      <c r="L65" t="s">
        <v>91</v>
      </c>
      <c r="M65" t="s">
        <v>1554</v>
      </c>
      <c r="N65" t="s">
        <v>1555</v>
      </c>
    </row>
    <row r="66" spans="1:16" ht="14.25" customHeight="1">
      <c r="A66">
        <v>65</v>
      </c>
      <c r="B66" t="s">
        <v>9</v>
      </c>
      <c r="C66" t="s">
        <v>1549</v>
      </c>
      <c r="D66" t="s">
        <v>1794</v>
      </c>
      <c r="E66" t="s">
        <v>1795</v>
      </c>
      <c r="F66">
        <v>2022</v>
      </c>
      <c r="G66" t="s">
        <v>1796</v>
      </c>
      <c r="H66" t="s">
        <v>1797</v>
      </c>
      <c r="J66" t="s">
        <v>91</v>
      </c>
      <c r="K66" t="s">
        <v>91</v>
      </c>
      <c r="L66" t="s">
        <v>91</v>
      </c>
      <c r="M66" t="s">
        <v>1587</v>
      </c>
      <c r="N66" t="s">
        <v>1555</v>
      </c>
    </row>
    <row r="67" spans="1:16" ht="14.25" customHeight="1">
      <c r="A67" s="20">
        <v>66</v>
      </c>
      <c r="B67" s="20" t="s">
        <v>9</v>
      </c>
      <c r="C67" s="20" t="s">
        <v>1549</v>
      </c>
      <c r="D67" s="20" t="s">
        <v>950</v>
      </c>
      <c r="E67" s="20" t="s">
        <v>951</v>
      </c>
      <c r="F67" s="20">
        <v>2022</v>
      </c>
      <c r="G67" s="20" t="s">
        <v>952</v>
      </c>
      <c r="H67" s="20" t="s">
        <v>953</v>
      </c>
      <c r="I67" s="20"/>
      <c r="J67" s="20" t="s">
        <v>76</v>
      </c>
      <c r="K67" s="20" t="s">
        <v>76</v>
      </c>
      <c r="L67" s="20" t="s">
        <v>76</v>
      </c>
      <c r="M67" s="20" t="s">
        <v>1798</v>
      </c>
      <c r="N67" s="20" t="s">
        <v>1588</v>
      </c>
      <c r="O67" s="20"/>
      <c r="P67" s="20"/>
    </row>
    <row r="68" spans="1:16" ht="14.25" customHeight="1">
      <c r="A68" s="20">
        <v>67</v>
      </c>
      <c r="B68" s="20" t="s">
        <v>9</v>
      </c>
      <c r="C68" s="20" t="s">
        <v>1549</v>
      </c>
      <c r="D68" s="20" t="s">
        <v>954</v>
      </c>
      <c r="E68" s="20" t="s">
        <v>955</v>
      </c>
      <c r="F68" s="20">
        <v>2022</v>
      </c>
      <c r="G68" s="20" t="s">
        <v>923</v>
      </c>
      <c r="H68" s="20" t="s">
        <v>956</v>
      </c>
      <c r="I68" s="20"/>
      <c r="J68" s="20" t="s">
        <v>76</v>
      </c>
      <c r="K68" s="20" t="s">
        <v>76</v>
      </c>
      <c r="L68" s="20" t="s">
        <v>76</v>
      </c>
      <c r="M68" s="20" t="s">
        <v>1799</v>
      </c>
      <c r="N68" s="20" t="s">
        <v>1555</v>
      </c>
      <c r="O68" s="20"/>
      <c r="P68" s="20"/>
    </row>
    <row r="69" spans="1:16" ht="14.25" customHeight="1">
      <c r="A69">
        <v>68</v>
      </c>
      <c r="B69" t="s">
        <v>9</v>
      </c>
      <c r="C69" t="s">
        <v>1549</v>
      </c>
      <c r="D69" t="s">
        <v>1800</v>
      </c>
      <c r="E69" t="s">
        <v>1801</v>
      </c>
      <c r="F69">
        <v>2022</v>
      </c>
      <c r="G69" t="s">
        <v>1612</v>
      </c>
      <c r="H69" t="s">
        <v>1802</v>
      </c>
      <c r="J69" t="s">
        <v>91</v>
      </c>
      <c r="K69" t="s">
        <v>91</v>
      </c>
      <c r="L69" t="s">
        <v>91</v>
      </c>
      <c r="M69" t="s">
        <v>1570</v>
      </c>
      <c r="N69" t="s">
        <v>1555</v>
      </c>
    </row>
    <row r="70" spans="1:16" ht="14.25" customHeight="1">
      <c r="A70">
        <v>69</v>
      </c>
      <c r="B70" t="s">
        <v>9</v>
      </c>
      <c r="C70" t="s">
        <v>1549</v>
      </c>
      <c r="D70" t="s">
        <v>1803</v>
      </c>
      <c r="E70" t="s">
        <v>1804</v>
      </c>
      <c r="F70">
        <v>2022</v>
      </c>
      <c r="G70" t="s">
        <v>1591</v>
      </c>
      <c r="H70" t="s">
        <v>1805</v>
      </c>
      <c r="J70" t="s">
        <v>91</v>
      </c>
      <c r="K70" t="s">
        <v>91</v>
      </c>
      <c r="L70" t="s">
        <v>91</v>
      </c>
      <c r="M70" t="s">
        <v>1593</v>
      </c>
      <c r="N70" t="s">
        <v>1555</v>
      </c>
    </row>
    <row r="71" spans="1:16" ht="14.25" customHeight="1">
      <c r="A71" s="20">
        <v>70</v>
      </c>
      <c r="B71" s="20" t="s">
        <v>9</v>
      </c>
      <c r="C71" s="20" t="s">
        <v>1549</v>
      </c>
      <c r="D71" s="20" t="s">
        <v>957</v>
      </c>
      <c r="E71" s="20" t="s">
        <v>958</v>
      </c>
      <c r="F71" s="20">
        <v>2022</v>
      </c>
      <c r="G71" s="20" t="s">
        <v>923</v>
      </c>
      <c r="H71" s="20" t="s">
        <v>959</v>
      </c>
      <c r="I71" s="20"/>
      <c r="J71" s="20" t="s">
        <v>76</v>
      </c>
      <c r="K71" s="20" t="s">
        <v>76</v>
      </c>
      <c r="L71" s="20" t="s">
        <v>76</v>
      </c>
      <c r="M71" s="20" t="s">
        <v>1806</v>
      </c>
      <c r="N71" s="20" t="s">
        <v>1555</v>
      </c>
      <c r="O71" s="20"/>
      <c r="P71" s="20"/>
    </row>
    <row r="72" spans="1:16" ht="14.25" customHeight="1">
      <c r="A72" s="20">
        <v>71</v>
      </c>
      <c r="B72" s="20" t="s">
        <v>9</v>
      </c>
      <c r="C72" s="20" t="s">
        <v>1549</v>
      </c>
      <c r="D72" s="20" t="s">
        <v>960</v>
      </c>
      <c r="E72" s="20" t="s">
        <v>961</v>
      </c>
      <c r="F72" s="20">
        <v>2022</v>
      </c>
      <c r="G72" s="20" t="s">
        <v>923</v>
      </c>
      <c r="H72" s="20" t="s">
        <v>962</v>
      </c>
      <c r="I72" s="20"/>
      <c r="J72" s="20" t="s">
        <v>76</v>
      </c>
      <c r="K72" s="20" t="s">
        <v>76</v>
      </c>
      <c r="L72" s="20" t="s">
        <v>76</v>
      </c>
      <c r="M72" s="20" t="s">
        <v>1807</v>
      </c>
      <c r="N72" s="20" t="s">
        <v>1555</v>
      </c>
      <c r="O72" s="20"/>
      <c r="P72" s="20"/>
    </row>
    <row r="73" spans="1:16" ht="14.25" customHeight="1">
      <c r="A73">
        <v>72</v>
      </c>
      <c r="B73" t="s">
        <v>9</v>
      </c>
      <c r="C73" t="s">
        <v>1549</v>
      </c>
      <c r="D73" t="s">
        <v>1808</v>
      </c>
      <c r="E73" t="s">
        <v>1809</v>
      </c>
      <c r="F73">
        <v>2022</v>
      </c>
      <c r="G73" t="s">
        <v>1810</v>
      </c>
      <c r="H73" t="s">
        <v>1811</v>
      </c>
      <c r="J73" t="s">
        <v>91</v>
      </c>
      <c r="K73" t="s">
        <v>91</v>
      </c>
      <c r="L73" t="s">
        <v>91</v>
      </c>
      <c r="M73" t="s">
        <v>1570</v>
      </c>
      <c r="N73" t="s">
        <v>1588</v>
      </c>
    </row>
    <row r="74" spans="1:16" ht="14.25" customHeight="1">
      <c r="A74">
        <v>73</v>
      </c>
      <c r="B74" t="s">
        <v>9</v>
      </c>
      <c r="C74" t="s">
        <v>1549</v>
      </c>
      <c r="D74" t="s">
        <v>1812</v>
      </c>
      <c r="E74" t="s">
        <v>1813</v>
      </c>
      <c r="F74">
        <v>2022</v>
      </c>
      <c r="G74" t="s">
        <v>1019</v>
      </c>
      <c r="H74" t="s">
        <v>1814</v>
      </c>
      <c r="J74" t="s">
        <v>91</v>
      </c>
      <c r="K74" t="s">
        <v>91</v>
      </c>
      <c r="L74" t="s">
        <v>91</v>
      </c>
      <c r="M74" t="s">
        <v>1570</v>
      </c>
      <c r="N74" t="s">
        <v>1555</v>
      </c>
    </row>
    <row r="75" spans="1:16" ht="14.25" customHeight="1">
      <c r="A75">
        <v>74</v>
      </c>
      <c r="B75" t="s">
        <v>9</v>
      </c>
      <c r="C75" t="s">
        <v>1549</v>
      </c>
      <c r="D75" t="s">
        <v>1815</v>
      </c>
      <c r="E75" t="s">
        <v>1816</v>
      </c>
      <c r="F75">
        <v>2022</v>
      </c>
      <c r="G75" t="s">
        <v>1817</v>
      </c>
      <c r="H75" t="s">
        <v>1818</v>
      </c>
      <c r="J75" t="s">
        <v>91</v>
      </c>
      <c r="K75" t="s">
        <v>91</v>
      </c>
      <c r="L75" t="s">
        <v>91</v>
      </c>
      <c r="M75" t="s">
        <v>1587</v>
      </c>
      <c r="N75" t="s">
        <v>1588</v>
      </c>
    </row>
    <row r="76" spans="1:16" ht="14.25" customHeight="1">
      <c r="A76">
        <v>75</v>
      </c>
      <c r="B76" t="s">
        <v>9</v>
      </c>
      <c r="C76" t="s">
        <v>1549</v>
      </c>
      <c r="D76" t="s">
        <v>1819</v>
      </c>
      <c r="E76" t="s">
        <v>1820</v>
      </c>
      <c r="F76">
        <v>2022</v>
      </c>
      <c r="G76" t="s">
        <v>1821</v>
      </c>
      <c r="H76" t="s">
        <v>1822</v>
      </c>
      <c r="J76" t="s">
        <v>91</v>
      </c>
      <c r="K76" t="s">
        <v>91</v>
      </c>
      <c r="L76" t="s">
        <v>91</v>
      </c>
      <c r="M76" t="s">
        <v>1593</v>
      </c>
      <c r="N76" t="s">
        <v>1588</v>
      </c>
    </row>
    <row r="77" spans="1:16" ht="14.25" customHeight="1">
      <c r="A77">
        <v>76</v>
      </c>
      <c r="B77" t="s">
        <v>9</v>
      </c>
      <c r="C77" t="s">
        <v>1549</v>
      </c>
      <c r="D77" t="s">
        <v>1823</v>
      </c>
      <c r="E77" t="s">
        <v>1824</v>
      </c>
      <c r="F77">
        <v>2022</v>
      </c>
      <c r="G77" t="s">
        <v>1825</v>
      </c>
      <c r="H77" t="s">
        <v>1826</v>
      </c>
      <c r="J77" t="s">
        <v>91</v>
      </c>
      <c r="K77" t="s">
        <v>91</v>
      </c>
      <c r="L77" t="s">
        <v>91</v>
      </c>
      <c r="M77" t="s">
        <v>1570</v>
      </c>
      <c r="N77" t="s">
        <v>1555</v>
      </c>
    </row>
    <row r="78" spans="1:16" ht="14.25" customHeight="1">
      <c r="A78">
        <v>77</v>
      </c>
      <c r="B78" t="s">
        <v>9</v>
      </c>
      <c r="C78" t="s">
        <v>1549</v>
      </c>
      <c r="D78" t="s">
        <v>1827</v>
      </c>
      <c r="E78" t="s">
        <v>1828</v>
      </c>
      <c r="F78">
        <v>2022</v>
      </c>
      <c r="G78" t="s">
        <v>1829</v>
      </c>
      <c r="H78" t="s">
        <v>1830</v>
      </c>
      <c r="J78" t="s">
        <v>91</v>
      </c>
      <c r="K78" t="s">
        <v>91</v>
      </c>
      <c r="L78" t="s">
        <v>91</v>
      </c>
      <c r="M78" t="s">
        <v>1570</v>
      </c>
      <c r="N78" t="s">
        <v>1588</v>
      </c>
    </row>
    <row r="79" spans="1:16" ht="14.25" customHeight="1">
      <c r="A79">
        <v>78</v>
      </c>
      <c r="B79" t="s">
        <v>9</v>
      </c>
      <c r="C79" t="s">
        <v>1549</v>
      </c>
      <c r="D79" t="s">
        <v>1831</v>
      </c>
      <c r="E79" t="s">
        <v>1832</v>
      </c>
      <c r="F79">
        <v>2022</v>
      </c>
      <c r="G79" t="s">
        <v>1833</v>
      </c>
      <c r="H79" t="s">
        <v>1834</v>
      </c>
      <c r="J79" t="s">
        <v>91</v>
      </c>
      <c r="K79" t="s">
        <v>91</v>
      </c>
      <c r="L79" t="s">
        <v>91</v>
      </c>
      <c r="M79" t="s">
        <v>1570</v>
      </c>
      <c r="N79" t="s">
        <v>1588</v>
      </c>
    </row>
    <row r="80" spans="1:16" ht="14.25" customHeight="1">
      <c r="A80">
        <v>79</v>
      </c>
      <c r="B80" t="s">
        <v>9</v>
      </c>
      <c r="C80" t="s">
        <v>1549</v>
      </c>
      <c r="D80" t="s">
        <v>1835</v>
      </c>
      <c r="E80" t="s">
        <v>1836</v>
      </c>
      <c r="F80">
        <v>2022</v>
      </c>
      <c r="G80" t="s">
        <v>1829</v>
      </c>
      <c r="H80" t="s">
        <v>1837</v>
      </c>
      <c r="J80" t="s">
        <v>91</v>
      </c>
      <c r="K80" t="s">
        <v>91</v>
      </c>
      <c r="L80" t="s">
        <v>91</v>
      </c>
      <c r="M80" t="s">
        <v>1570</v>
      </c>
      <c r="N80" t="s">
        <v>1588</v>
      </c>
    </row>
    <row r="81" spans="1:16" ht="14.25" customHeight="1">
      <c r="A81">
        <v>80</v>
      </c>
      <c r="B81" t="s">
        <v>9</v>
      </c>
      <c r="C81" t="s">
        <v>1549</v>
      </c>
      <c r="D81" t="s">
        <v>1838</v>
      </c>
      <c r="E81" t="s">
        <v>1839</v>
      </c>
      <c r="F81">
        <v>2022</v>
      </c>
      <c r="G81" t="s">
        <v>1840</v>
      </c>
      <c r="H81" t="s">
        <v>1841</v>
      </c>
      <c r="J81" t="s">
        <v>91</v>
      </c>
      <c r="K81" t="s">
        <v>91</v>
      </c>
      <c r="L81" t="s">
        <v>91</v>
      </c>
      <c r="M81" t="s">
        <v>1593</v>
      </c>
      <c r="N81" t="s">
        <v>1588</v>
      </c>
    </row>
    <row r="82" spans="1:16" ht="14.25" customHeight="1">
      <c r="A82" s="20">
        <v>81</v>
      </c>
      <c r="B82" s="20" t="s">
        <v>9</v>
      </c>
      <c r="C82" s="20" t="s">
        <v>1549</v>
      </c>
      <c r="D82" s="20" t="s">
        <v>963</v>
      </c>
      <c r="E82" s="20" t="s">
        <v>964</v>
      </c>
      <c r="F82" s="20">
        <v>2022</v>
      </c>
      <c r="G82" s="20" t="s">
        <v>965</v>
      </c>
      <c r="H82" s="20" t="s">
        <v>966</v>
      </c>
      <c r="I82" s="20"/>
      <c r="J82" s="20" t="s">
        <v>76</v>
      </c>
      <c r="K82" s="20" t="s">
        <v>76</v>
      </c>
      <c r="L82" s="20" t="s">
        <v>76</v>
      </c>
      <c r="M82" s="20" t="s">
        <v>1842</v>
      </c>
      <c r="N82" s="20" t="s">
        <v>1588</v>
      </c>
      <c r="O82" s="20"/>
      <c r="P82" s="20"/>
    </row>
    <row r="83" spans="1:16" ht="14.25" customHeight="1">
      <c r="A83">
        <v>82</v>
      </c>
      <c r="B83" t="s">
        <v>9</v>
      </c>
      <c r="C83" t="s">
        <v>1549</v>
      </c>
      <c r="D83" t="s">
        <v>1843</v>
      </c>
      <c r="E83" t="s">
        <v>1844</v>
      </c>
      <c r="F83">
        <v>2022</v>
      </c>
      <c r="G83" t="s">
        <v>1845</v>
      </c>
      <c r="H83" t="s">
        <v>1846</v>
      </c>
      <c r="J83" t="s">
        <v>91</v>
      </c>
      <c r="K83" t="s">
        <v>91</v>
      </c>
      <c r="L83" t="s">
        <v>91</v>
      </c>
      <c r="M83" t="s">
        <v>1570</v>
      </c>
      <c r="N83" t="s">
        <v>1588</v>
      </c>
    </row>
    <row r="84" spans="1:16" ht="14.25" customHeight="1">
      <c r="A84">
        <v>83</v>
      </c>
      <c r="B84" t="s">
        <v>9</v>
      </c>
      <c r="C84" t="s">
        <v>1549</v>
      </c>
      <c r="D84" t="s">
        <v>1847</v>
      </c>
      <c r="E84" t="s">
        <v>1848</v>
      </c>
      <c r="F84">
        <v>2022</v>
      </c>
      <c r="G84" t="s">
        <v>1140</v>
      </c>
      <c r="H84" t="s">
        <v>1849</v>
      </c>
      <c r="J84" t="s">
        <v>91</v>
      </c>
      <c r="K84" t="s">
        <v>91</v>
      </c>
      <c r="L84" t="s">
        <v>91</v>
      </c>
      <c r="M84" t="s">
        <v>1570</v>
      </c>
      <c r="N84" t="s">
        <v>1588</v>
      </c>
    </row>
    <row r="85" spans="1:16" ht="14.25" customHeight="1">
      <c r="A85" s="20">
        <v>84</v>
      </c>
      <c r="B85" s="20" t="s">
        <v>9</v>
      </c>
      <c r="C85" s="20" t="s">
        <v>1549</v>
      </c>
      <c r="D85" s="20" t="s">
        <v>967</v>
      </c>
      <c r="E85" s="20" t="s">
        <v>968</v>
      </c>
      <c r="F85" s="20">
        <v>2022</v>
      </c>
      <c r="G85" s="20" t="s">
        <v>969</v>
      </c>
      <c r="H85" s="20" t="s">
        <v>970</v>
      </c>
      <c r="I85" s="20"/>
      <c r="J85" s="20" t="s">
        <v>76</v>
      </c>
      <c r="K85" s="20" t="s">
        <v>76</v>
      </c>
      <c r="L85" s="20" t="s">
        <v>76</v>
      </c>
      <c r="M85" s="20" t="s">
        <v>1850</v>
      </c>
      <c r="N85" s="20" t="s">
        <v>1555</v>
      </c>
      <c r="O85" s="20"/>
      <c r="P85" s="20"/>
    </row>
    <row r="86" spans="1:16" ht="14.25" customHeight="1">
      <c r="A86">
        <v>85</v>
      </c>
      <c r="B86" t="s">
        <v>9</v>
      </c>
      <c r="C86" t="s">
        <v>1549</v>
      </c>
      <c r="D86" t="s">
        <v>1851</v>
      </c>
      <c r="E86" t="s">
        <v>1852</v>
      </c>
      <c r="F86">
        <v>2022</v>
      </c>
      <c r="G86" t="s">
        <v>1117</v>
      </c>
      <c r="H86" t="s">
        <v>1853</v>
      </c>
      <c r="J86" t="s">
        <v>91</v>
      </c>
      <c r="K86" t="s">
        <v>91</v>
      </c>
      <c r="L86" t="s">
        <v>91</v>
      </c>
      <c r="M86" t="s">
        <v>1570</v>
      </c>
      <c r="N86" t="s">
        <v>1588</v>
      </c>
    </row>
    <row r="87" spans="1:16" ht="14.25" customHeight="1">
      <c r="A87">
        <v>86</v>
      </c>
      <c r="B87" t="s">
        <v>9</v>
      </c>
      <c r="C87" t="s">
        <v>1549</v>
      </c>
      <c r="D87" t="s">
        <v>1854</v>
      </c>
      <c r="E87" t="s">
        <v>1855</v>
      </c>
      <c r="F87">
        <v>2022</v>
      </c>
      <c r="G87" t="s">
        <v>1856</v>
      </c>
      <c r="H87" t="s">
        <v>1857</v>
      </c>
      <c r="J87" t="s">
        <v>91</v>
      </c>
      <c r="K87" t="s">
        <v>91</v>
      </c>
      <c r="L87" t="s">
        <v>91</v>
      </c>
      <c r="M87" t="s">
        <v>1587</v>
      </c>
      <c r="N87" t="s">
        <v>1588</v>
      </c>
    </row>
    <row r="88" spans="1:16" ht="14.25" customHeight="1">
      <c r="A88">
        <v>87</v>
      </c>
      <c r="B88" t="s">
        <v>9</v>
      </c>
      <c r="C88" t="s">
        <v>1549</v>
      </c>
      <c r="D88" t="s">
        <v>1858</v>
      </c>
      <c r="E88" t="s">
        <v>1859</v>
      </c>
      <c r="F88">
        <v>2022</v>
      </c>
      <c r="G88" t="s">
        <v>923</v>
      </c>
      <c r="H88" t="s">
        <v>1860</v>
      </c>
      <c r="J88" t="s">
        <v>91</v>
      </c>
      <c r="K88" t="s">
        <v>91</v>
      </c>
      <c r="L88" t="s">
        <v>91</v>
      </c>
      <c r="M88" t="s">
        <v>1554</v>
      </c>
      <c r="N88" t="s">
        <v>1555</v>
      </c>
    </row>
    <row r="89" spans="1:16" ht="14.25" customHeight="1">
      <c r="A89">
        <v>88</v>
      </c>
      <c r="B89" t="s">
        <v>9</v>
      </c>
      <c r="C89" t="s">
        <v>1549</v>
      </c>
      <c r="D89" t="s">
        <v>1861</v>
      </c>
      <c r="E89" t="s">
        <v>1862</v>
      </c>
      <c r="F89">
        <v>2022</v>
      </c>
      <c r="G89" t="s">
        <v>1863</v>
      </c>
      <c r="H89" t="s">
        <v>1864</v>
      </c>
      <c r="J89" t="s">
        <v>91</v>
      </c>
      <c r="K89" t="s">
        <v>91</v>
      </c>
      <c r="L89" t="s">
        <v>91</v>
      </c>
      <c r="M89" t="s">
        <v>1593</v>
      </c>
      <c r="N89" t="s">
        <v>1588</v>
      </c>
    </row>
    <row r="90" spans="1:16" ht="14.25" customHeight="1">
      <c r="A90">
        <v>89</v>
      </c>
      <c r="B90" t="s">
        <v>9</v>
      </c>
      <c r="C90" t="s">
        <v>1549</v>
      </c>
      <c r="D90" t="s">
        <v>1865</v>
      </c>
      <c r="E90" t="s">
        <v>1866</v>
      </c>
      <c r="F90">
        <v>2022</v>
      </c>
      <c r="G90" t="s">
        <v>1867</v>
      </c>
      <c r="H90" t="s">
        <v>1868</v>
      </c>
      <c r="J90" t="s">
        <v>91</v>
      </c>
      <c r="K90" t="s">
        <v>91</v>
      </c>
      <c r="L90" t="s">
        <v>91</v>
      </c>
      <c r="M90" t="s">
        <v>1570</v>
      </c>
      <c r="N90" t="s">
        <v>1588</v>
      </c>
    </row>
    <row r="91" spans="1:16" ht="14.25" customHeight="1">
      <c r="A91">
        <v>90</v>
      </c>
      <c r="B91" t="s">
        <v>9</v>
      </c>
      <c r="C91" t="s">
        <v>1549</v>
      </c>
      <c r="D91" t="s">
        <v>1869</v>
      </c>
      <c r="E91" t="s">
        <v>1870</v>
      </c>
      <c r="F91">
        <v>2022</v>
      </c>
      <c r="G91" t="s">
        <v>923</v>
      </c>
      <c r="H91" t="s">
        <v>1871</v>
      </c>
      <c r="J91" t="s">
        <v>91</v>
      </c>
      <c r="K91" t="s">
        <v>91</v>
      </c>
      <c r="L91" t="s">
        <v>91</v>
      </c>
      <c r="M91" t="s">
        <v>1570</v>
      </c>
      <c r="N91" t="s">
        <v>1555</v>
      </c>
    </row>
    <row r="92" spans="1:16" ht="14.25" customHeight="1">
      <c r="A92" s="20">
        <v>91</v>
      </c>
      <c r="B92" s="20" t="s">
        <v>9</v>
      </c>
      <c r="C92" s="20" t="s">
        <v>1549</v>
      </c>
      <c r="D92" s="20" t="s">
        <v>971</v>
      </c>
      <c r="E92" s="20" t="s">
        <v>972</v>
      </c>
      <c r="F92" s="20">
        <v>2022</v>
      </c>
      <c r="G92" s="20" t="s">
        <v>973</v>
      </c>
      <c r="H92" s="20" t="s">
        <v>974</v>
      </c>
      <c r="I92" s="20"/>
      <c r="J92" s="20" t="s">
        <v>76</v>
      </c>
      <c r="K92" s="20" t="s">
        <v>76</v>
      </c>
      <c r="L92" s="20" t="s">
        <v>76</v>
      </c>
      <c r="M92" s="20" t="s">
        <v>1625</v>
      </c>
      <c r="N92" s="20" t="s">
        <v>1588</v>
      </c>
      <c r="O92" s="20"/>
      <c r="P92" s="20"/>
    </row>
    <row r="93" spans="1:16" ht="14.25" customHeight="1">
      <c r="A93">
        <v>92</v>
      </c>
      <c r="B93" t="s">
        <v>9</v>
      </c>
      <c r="C93" t="s">
        <v>1549</v>
      </c>
      <c r="D93" t="s">
        <v>1872</v>
      </c>
      <c r="E93" t="s">
        <v>1873</v>
      </c>
      <c r="F93">
        <v>2022</v>
      </c>
      <c r="G93" t="s">
        <v>1874</v>
      </c>
      <c r="H93" t="s">
        <v>1875</v>
      </c>
      <c r="J93" t="s">
        <v>91</v>
      </c>
      <c r="K93" t="s">
        <v>91</v>
      </c>
      <c r="L93" t="s">
        <v>91</v>
      </c>
      <c r="M93" t="s">
        <v>1587</v>
      </c>
      <c r="N93" t="s">
        <v>1588</v>
      </c>
    </row>
    <row r="94" spans="1:16" ht="14.25" customHeight="1">
      <c r="A94" s="20">
        <v>93</v>
      </c>
      <c r="B94" s="20" t="s">
        <v>9</v>
      </c>
      <c r="C94" s="20" t="s">
        <v>1549</v>
      </c>
      <c r="D94" s="20" t="s">
        <v>975</v>
      </c>
      <c r="E94" s="20" t="s">
        <v>976</v>
      </c>
      <c r="F94" s="20">
        <v>2022</v>
      </c>
      <c r="G94" s="20" t="s">
        <v>923</v>
      </c>
      <c r="H94" s="20" t="s">
        <v>977</v>
      </c>
      <c r="I94" s="20"/>
      <c r="J94" s="20" t="s">
        <v>76</v>
      </c>
      <c r="K94" s="20" t="s">
        <v>76</v>
      </c>
      <c r="L94" s="20" t="s">
        <v>76</v>
      </c>
      <c r="M94" s="20" t="s">
        <v>1625</v>
      </c>
      <c r="N94" s="20" t="s">
        <v>1555</v>
      </c>
      <c r="O94" s="20"/>
      <c r="P94" s="20"/>
    </row>
    <row r="95" spans="1:16" ht="14.25" customHeight="1">
      <c r="A95">
        <v>94</v>
      </c>
      <c r="B95" t="s">
        <v>9</v>
      </c>
      <c r="C95" t="s">
        <v>1549</v>
      </c>
      <c r="D95" t="s">
        <v>1876</v>
      </c>
      <c r="E95" t="s">
        <v>1877</v>
      </c>
      <c r="F95">
        <v>2022</v>
      </c>
      <c r="G95" t="s">
        <v>923</v>
      </c>
      <c r="H95" t="s">
        <v>1878</v>
      </c>
      <c r="J95" t="s">
        <v>91</v>
      </c>
      <c r="K95" t="s">
        <v>91</v>
      </c>
      <c r="L95" t="s">
        <v>91</v>
      </c>
      <c r="M95" t="s">
        <v>1570</v>
      </c>
      <c r="N95" t="s">
        <v>1555</v>
      </c>
    </row>
    <row r="96" spans="1:16" ht="14.25" customHeight="1">
      <c r="A96">
        <v>95</v>
      </c>
      <c r="B96" t="s">
        <v>9</v>
      </c>
      <c r="C96" t="s">
        <v>1549</v>
      </c>
      <c r="D96" t="s">
        <v>1879</v>
      </c>
      <c r="E96" t="s">
        <v>1880</v>
      </c>
      <c r="F96">
        <v>2022</v>
      </c>
      <c r="G96" t="s">
        <v>1881</v>
      </c>
      <c r="H96" t="s">
        <v>1882</v>
      </c>
      <c r="J96" t="s">
        <v>91</v>
      </c>
      <c r="K96" t="s">
        <v>91</v>
      </c>
      <c r="L96" t="s">
        <v>91</v>
      </c>
      <c r="M96" t="s">
        <v>1570</v>
      </c>
      <c r="N96" t="s">
        <v>1555</v>
      </c>
    </row>
    <row r="97" spans="1:14" ht="14.25" customHeight="1">
      <c r="A97">
        <v>96</v>
      </c>
      <c r="B97" t="s">
        <v>9</v>
      </c>
      <c r="C97" t="s">
        <v>1549</v>
      </c>
      <c r="D97" t="s">
        <v>1883</v>
      </c>
      <c r="E97" t="s">
        <v>1884</v>
      </c>
      <c r="F97">
        <v>2022</v>
      </c>
      <c r="G97" t="s">
        <v>1885</v>
      </c>
      <c r="H97" t="s">
        <v>1886</v>
      </c>
      <c r="J97" t="s">
        <v>91</v>
      </c>
      <c r="K97" t="s">
        <v>91</v>
      </c>
      <c r="L97" t="s">
        <v>91</v>
      </c>
      <c r="M97" t="s">
        <v>1593</v>
      </c>
      <c r="N97" t="s">
        <v>1588</v>
      </c>
    </row>
    <row r="98" spans="1:14" ht="14.25" customHeight="1">
      <c r="A98">
        <v>97</v>
      </c>
      <c r="B98" t="s">
        <v>9</v>
      </c>
      <c r="C98" t="s">
        <v>1549</v>
      </c>
      <c r="D98" t="s">
        <v>1887</v>
      </c>
      <c r="E98" t="s">
        <v>1888</v>
      </c>
      <c r="F98">
        <v>2022</v>
      </c>
      <c r="G98" t="s">
        <v>1889</v>
      </c>
      <c r="H98" t="s">
        <v>1890</v>
      </c>
      <c r="J98" t="s">
        <v>91</v>
      </c>
      <c r="K98" t="s">
        <v>91</v>
      </c>
      <c r="L98" t="s">
        <v>91</v>
      </c>
      <c r="M98" t="s">
        <v>1593</v>
      </c>
      <c r="N98" t="s">
        <v>1588</v>
      </c>
    </row>
    <row r="99" spans="1:14" ht="14.25" customHeight="1">
      <c r="A99">
        <v>98</v>
      </c>
      <c r="B99" t="s">
        <v>9</v>
      </c>
      <c r="C99" t="s">
        <v>1549</v>
      </c>
      <c r="D99" t="s">
        <v>1891</v>
      </c>
      <c r="E99" t="s">
        <v>1892</v>
      </c>
      <c r="F99">
        <v>2022</v>
      </c>
      <c r="G99" t="s">
        <v>923</v>
      </c>
      <c r="H99" t="s">
        <v>1893</v>
      </c>
      <c r="J99" t="s">
        <v>91</v>
      </c>
      <c r="K99" t="s">
        <v>91</v>
      </c>
      <c r="L99" t="s">
        <v>91</v>
      </c>
      <c r="M99" t="s">
        <v>1570</v>
      </c>
      <c r="N99" t="s">
        <v>1555</v>
      </c>
    </row>
    <row r="100" spans="1:14" ht="14.25" customHeight="1">
      <c r="A100">
        <v>99</v>
      </c>
      <c r="B100" t="s">
        <v>9</v>
      </c>
      <c r="C100" t="s">
        <v>1549</v>
      </c>
      <c r="D100" t="s">
        <v>1894</v>
      </c>
      <c r="E100" t="s">
        <v>1895</v>
      </c>
      <c r="F100">
        <v>2022</v>
      </c>
      <c r="G100" t="s">
        <v>923</v>
      </c>
      <c r="H100" t="s">
        <v>1896</v>
      </c>
      <c r="J100" t="s">
        <v>91</v>
      </c>
      <c r="K100" t="s">
        <v>91</v>
      </c>
      <c r="L100" t="s">
        <v>91</v>
      </c>
      <c r="M100" t="s">
        <v>1570</v>
      </c>
      <c r="N100" t="s">
        <v>1555</v>
      </c>
    </row>
    <row r="101" spans="1:14" ht="14.25" customHeight="1">
      <c r="A101">
        <v>100</v>
      </c>
      <c r="B101" t="s">
        <v>9</v>
      </c>
      <c r="C101" t="s">
        <v>1549</v>
      </c>
      <c r="D101" t="s">
        <v>1897</v>
      </c>
      <c r="E101" t="s">
        <v>1898</v>
      </c>
      <c r="F101">
        <v>2022</v>
      </c>
      <c r="G101" t="s">
        <v>1899</v>
      </c>
      <c r="H101" t="s">
        <v>1900</v>
      </c>
      <c r="J101" t="s">
        <v>91</v>
      </c>
      <c r="K101" t="s">
        <v>91</v>
      </c>
      <c r="L101" t="s">
        <v>91</v>
      </c>
      <c r="M101" t="s">
        <v>1570</v>
      </c>
      <c r="N101" t="s">
        <v>1555</v>
      </c>
    </row>
    <row r="102" spans="1:14" ht="14.25" customHeight="1">
      <c r="A102">
        <v>101</v>
      </c>
      <c r="B102" t="s">
        <v>9</v>
      </c>
      <c r="C102" t="s">
        <v>1549</v>
      </c>
      <c r="D102" t="s">
        <v>1901</v>
      </c>
      <c r="E102" t="s">
        <v>1902</v>
      </c>
      <c r="F102">
        <v>2022</v>
      </c>
      <c r="G102" t="s">
        <v>923</v>
      </c>
      <c r="H102" t="s">
        <v>1903</v>
      </c>
      <c r="J102" t="s">
        <v>91</v>
      </c>
      <c r="K102" t="s">
        <v>91</v>
      </c>
      <c r="L102" t="s">
        <v>91</v>
      </c>
      <c r="M102" t="s">
        <v>1570</v>
      </c>
      <c r="N102" t="s">
        <v>1555</v>
      </c>
    </row>
    <row r="103" spans="1:14" ht="14.25" customHeight="1">
      <c r="A103">
        <v>102</v>
      </c>
      <c r="B103" t="s">
        <v>9</v>
      </c>
      <c r="C103" t="s">
        <v>1549</v>
      </c>
      <c r="D103" t="s">
        <v>1904</v>
      </c>
      <c r="E103" t="s">
        <v>1905</v>
      </c>
      <c r="F103">
        <v>2022</v>
      </c>
      <c r="G103" t="s">
        <v>1906</v>
      </c>
      <c r="H103" t="s">
        <v>1907</v>
      </c>
      <c r="J103" t="s">
        <v>91</v>
      </c>
      <c r="K103" t="s">
        <v>91</v>
      </c>
      <c r="L103" t="s">
        <v>91</v>
      </c>
      <c r="M103" t="s">
        <v>1593</v>
      </c>
      <c r="N103" t="s">
        <v>1555</v>
      </c>
    </row>
    <row r="104" spans="1:14" ht="14.25" customHeight="1">
      <c r="A104">
        <v>103</v>
      </c>
      <c r="B104" t="s">
        <v>9</v>
      </c>
      <c r="C104" t="s">
        <v>1549</v>
      </c>
      <c r="D104" t="s">
        <v>1908</v>
      </c>
      <c r="E104" t="s">
        <v>1909</v>
      </c>
      <c r="F104">
        <v>2022</v>
      </c>
      <c r="G104" t="s">
        <v>1733</v>
      </c>
      <c r="H104" t="s">
        <v>1910</v>
      </c>
      <c r="J104" t="s">
        <v>91</v>
      </c>
      <c r="K104" t="s">
        <v>91</v>
      </c>
      <c r="L104" t="s">
        <v>91</v>
      </c>
      <c r="M104" t="s">
        <v>1570</v>
      </c>
      <c r="N104" t="s">
        <v>1555</v>
      </c>
    </row>
    <row r="105" spans="1:14" ht="14.25" customHeight="1">
      <c r="A105">
        <v>104</v>
      </c>
      <c r="B105" t="s">
        <v>9</v>
      </c>
      <c r="C105" t="s">
        <v>1549</v>
      </c>
      <c r="D105" t="s">
        <v>1911</v>
      </c>
      <c r="E105" t="s">
        <v>1912</v>
      </c>
      <c r="F105">
        <v>2022</v>
      </c>
      <c r="G105" t="s">
        <v>923</v>
      </c>
      <c r="H105" t="s">
        <v>1913</v>
      </c>
      <c r="J105" t="s">
        <v>91</v>
      </c>
      <c r="K105" t="s">
        <v>91</v>
      </c>
      <c r="L105" t="s">
        <v>91</v>
      </c>
      <c r="M105" t="s">
        <v>1554</v>
      </c>
      <c r="N105" t="s">
        <v>1555</v>
      </c>
    </row>
    <row r="106" spans="1:14" ht="14.25" customHeight="1">
      <c r="A106">
        <v>105</v>
      </c>
      <c r="B106" t="s">
        <v>9</v>
      </c>
      <c r="C106" t="s">
        <v>1549</v>
      </c>
      <c r="D106" t="s">
        <v>1914</v>
      </c>
      <c r="E106" t="s">
        <v>1915</v>
      </c>
      <c r="F106">
        <v>2022</v>
      </c>
      <c r="G106" t="s">
        <v>923</v>
      </c>
      <c r="H106" t="s">
        <v>1916</v>
      </c>
      <c r="J106" t="s">
        <v>91</v>
      </c>
      <c r="K106" t="s">
        <v>91</v>
      </c>
      <c r="L106" t="s">
        <v>91</v>
      </c>
      <c r="M106" t="s">
        <v>1570</v>
      </c>
      <c r="N106" t="s">
        <v>1555</v>
      </c>
    </row>
    <row r="107" spans="1:14" ht="14.25" customHeight="1">
      <c r="A107">
        <v>106</v>
      </c>
      <c r="B107" t="s">
        <v>9</v>
      </c>
      <c r="C107" t="s">
        <v>1549</v>
      </c>
      <c r="D107" t="s">
        <v>1917</v>
      </c>
      <c r="E107" t="s">
        <v>1918</v>
      </c>
      <c r="F107">
        <v>2022</v>
      </c>
      <c r="G107" t="s">
        <v>923</v>
      </c>
      <c r="H107" t="s">
        <v>1919</v>
      </c>
      <c r="J107" t="s">
        <v>91</v>
      </c>
      <c r="K107" t="s">
        <v>91</v>
      </c>
      <c r="L107" t="s">
        <v>91</v>
      </c>
      <c r="M107" t="s">
        <v>1570</v>
      </c>
      <c r="N107" t="s">
        <v>1555</v>
      </c>
    </row>
    <row r="108" spans="1:14" ht="14.25" customHeight="1">
      <c r="A108">
        <v>107</v>
      </c>
      <c r="B108" t="s">
        <v>9</v>
      </c>
      <c r="C108" t="s">
        <v>1549</v>
      </c>
      <c r="D108" t="s">
        <v>1920</v>
      </c>
      <c r="E108" t="s">
        <v>1921</v>
      </c>
      <c r="F108">
        <v>2022</v>
      </c>
      <c r="G108" t="s">
        <v>1094</v>
      </c>
      <c r="H108" t="s">
        <v>1922</v>
      </c>
      <c r="J108" t="s">
        <v>91</v>
      </c>
      <c r="K108" t="s">
        <v>91</v>
      </c>
      <c r="L108" t="s">
        <v>91</v>
      </c>
      <c r="M108" t="s">
        <v>1570</v>
      </c>
      <c r="N108" t="s">
        <v>1555</v>
      </c>
    </row>
    <row r="109" spans="1:14" ht="14.25" customHeight="1">
      <c r="A109">
        <v>108</v>
      </c>
      <c r="B109" t="s">
        <v>9</v>
      </c>
      <c r="C109" t="s">
        <v>1549</v>
      </c>
      <c r="D109" t="s">
        <v>1923</v>
      </c>
      <c r="E109" t="s">
        <v>1924</v>
      </c>
      <c r="F109">
        <v>2022</v>
      </c>
      <c r="G109" t="s">
        <v>982</v>
      </c>
      <c r="H109" t="s">
        <v>1925</v>
      </c>
      <c r="J109" t="s">
        <v>91</v>
      </c>
      <c r="K109" t="s">
        <v>91</v>
      </c>
      <c r="L109" t="s">
        <v>91</v>
      </c>
      <c r="M109" t="s">
        <v>1570</v>
      </c>
      <c r="N109" t="s">
        <v>1588</v>
      </c>
    </row>
    <row r="110" spans="1:14" ht="14.25" customHeight="1">
      <c r="A110">
        <v>109</v>
      </c>
      <c r="B110" t="s">
        <v>9</v>
      </c>
      <c r="C110" t="s">
        <v>1549</v>
      </c>
      <c r="D110" t="s">
        <v>1926</v>
      </c>
      <c r="E110" t="s">
        <v>1927</v>
      </c>
      <c r="F110">
        <v>2022</v>
      </c>
      <c r="G110" t="s">
        <v>1019</v>
      </c>
      <c r="H110" t="s">
        <v>1928</v>
      </c>
      <c r="J110" t="s">
        <v>91</v>
      </c>
      <c r="K110" t="s">
        <v>91</v>
      </c>
      <c r="L110" t="s">
        <v>91</v>
      </c>
      <c r="M110" t="s">
        <v>1570</v>
      </c>
      <c r="N110" t="s">
        <v>1555</v>
      </c>
    </row>
    <row r="111" spans="1:14" ht="14.25" customHeight="1">
      <c r="A111">
        <v>110</v>
      </c>
      <c r="B111" t="s">
        <v>9</v>
      </c>
      <c r="C111" t="s">
        <v>1549</v>
      </c>
      <c r="D111" t="s">
        <v>1929</v>
      </c>
      <c r="E111" t="s">
        <v>1930</v>
      </c>
      <c r="F111">
        <v>2022</v>
      </c>
      <c r="G111" t="s">
        <v>1931</v>
      </c>
      <c r="H111" t="s">
        <v>1932</v>
      </c>
      <c r="J111" t="s">
        <v>91</v>
      </c>
      <c r="K111" t="s">
        <v>91</v>
      </c>
      <c r="L111" t="s">
        <v>91</v>
      </c>
      <c r="M111" t="s">
        <v>1570</v>
      </c>
      <c r="N111" t="s">
        <v>1555</v>
      </c>
    </row>
    <row r="112" spans="1:14" ht="14.25" customHeight="1">
      <c r="A112">
        <v>111</v>
      </c>
      <c r="B112" t="s">
        <v>9</v>
      </c>
      <c r="C112" t="s">
        <v>1549</v>
      </c>
      <c r="D112" t="s">
        <v>1933</v>
      </c>
      <c r="E112" t="s">
        <v>1934</v>
      </c>
      <c r="F112">
        <v>2022</v>
      </c>
      <c r="G112" t="s">
        <v>1935</v>
      </c>
      <c r="H112" t="s">
        <v>1936</v>
      </c>
      <c r="J112" t="s">
        <v>91</v>
      </c>
      <c r="K112" t="s">
        <v>91</v>
      </c>
      <c r="L112" t="s">
        <v>91</v>
      </c>
      <c r="M112" t="s">
        <v>1587</v>
      </c>
      <c r="N112" t="s">
        <v>1555</v>
      </c>
    </row>
    <row r="113" spans="1:14" ht="14.25" customHeight="1">
      <c r="A113">
        <v>112</v>
      </c>
      <c r="B113" t="s">
        <v>9</v>
      </c>
      <c r="C113" t="s">
        <v>1549</v>
      </c>
      <c r="D113" t="s">
        <v>1937</v>
      </c>
      <c r="E113" t="s">
        <v>1938</v>
      </c>
      <c r="F113">
        <v>2022</v>
      </c>
      <c r="G113" t="s">
        <v>1140</v>
      </c>
      <c r="H113" t="s">
        <v>1939</v>
      </c>
      <c r="J113" t="s">
        <v>91</v>
      </c>
      <c r="K113" t="s">
        <v>91</v>
      </c>
      <c r="L113" t="s">
        <v>91</v>
      </c>
      <c r="M113" t="s">
        <v>1570</v>
      </c>
      <c r="N113" t="s">
        <v>1588</v>
      </c>
    </row>
    <row r="114" spans="1:14" ht="14.25" customHeight="1">
      <c r="A114">
        <v>113</v>
      </c>
      <c r="B114" t="s">
        <v>9</v>
      </c>
      <c r="C114" t="s">
        <v>1549</v>
      </c>
      <c r="D114" t="s">
        <v>1940</v>
      </c>
      <c r="E114" t="s">
        <v>1941</v>
      </c>
      <c r="F114">
        <v>2022</v>
      </c>
      <c r="G114" t="s">
        <v>1942</v>
      </c>
      <c r="H114" t="s">
        <v>1943</v>
      </c>
      <c r="J114" t="s">
        <v>91</v>
      </c>
      <c r="K114" t="s">
        <v>91</v>
      </c>
      <c r="L114" t="s">
        <v>91</v>
      </c>
      <c r="M114" t="s">
        <v>1570</v>
      </c>
      <c r="N114" t="s">
        <v>1555</v>
      </c>
    </row>
    <row r="115" spans="1:14" ht="14.25" customHeight="1">
      <c r="A115">
        <v>114</v>
      </c>
      <c r="B115" t="s">
        <v>9</v>
      </c>
      <c r="C115" t="s">
        <v>1549</v>
      </c>
      <c r="D115" t="s">
        <v>1944</v>
      </c>
      <c r="E115" t="s">
        <v>1945</v>
      </c>
      <c r="F115">
        <v>2022</v>
      </c>
      <c r="G115" t="s">
        <v>1825</v>
      </c>
      <c r="H115" t="s">
        <v>1946</v>
      </c>
      <c r="J115" t="s">
        <v>91</v>
      </c>
      <c r="K115" t="s">
        <v>91</v>
      </c>
      <c r="L115" t="s">
        <v>91</v>
      </c>
      <c r="M115" t="s">
        <v>1570</v>
      </c>
      <c r="N115" t="s">
        <v>1555</v>
      </c>
    </row>
    <row r="116" spans="1:14" ht="14.25" customHeight="1">
      <c r="A116">
        <v>115</v>
      </c>
      <c r="B116" t="s">
        <v>9</v>
      </c>
      <c r="C116" t="s">
        <v>1549</v>
      </c>
      <c r="D116" t="s">
        <v>1947</v>
      </c>
      <c r="E116" t="s">
        <v>1948</v>
      </c>
      <c r="F116">
        <v>2022</v>
      </c>
      <c r="G116" t="s">
        <v>1949</v>
      </c>
      <c r="H116" t="s">
        <v>1950</v>
      </c>
      <c r="J116" t="s">
        <v>91</v>
      </c>
      <c r="K116" t="s">
        <v>91</v>
      </c>
      <c r="L116" t="s">
        <v>91</v>
      </c>
      <c r="M116" t="s">
        <v>1570</v>
      </c>
      <c r="N116" t="s">
        <v>1555</v>
      </c>
    </row>
    <row r="117" spans="1:14" ht="14.25" customHeight="1">
      <c r="A117">
        <v>116</v>
      </c>
      <c r="B117" t="s">
        <v>9</v>
      </c>
      <c r="C117" t="s">
        <v>1549</v>
      </c>
      <c r="D117" t="s">
        <v>1951</v>
      </c>
      <c r="E117" t="s">
        <v>1952</v>
      </c>
      <c r="F117">
        <v>2022</v>
      </c>
      <c r="G117" t="s">
        <v>1867</v>
      </c>
      <c r="H117" t="s">
        <v>1953</v>
      </c>
      <c r="J117" t="s">
        <v>91</v>
      </c>
      <c r="K117" t="s">
        <v>91</v>
      </c>
      <c r="L117" t="s">
        <v>91</v>
      </c>
      <c r="M117" t="s">
        <v>1570</v>
      </c>
      <c r="N117" t="s">
        <v>1588</v>
      </c>
    </row>
    <row r="118" spans="1:14" ht="14.25" customHeight="1">
      <c r="A118">
        <v>117</v>
      </c>
      <c r="B118" t="s">
        <v>9</v>
      </c>
      <c r="C118" t="s">
        <v>1549</v>
      </c>
      <c r="D118" t="s">
        <v>1954</v>
      </c>
      <c r="E118" t="s">
        <v>1955</v>
      </c>
      <c r="F118">
        <v>2022</v>
      </c>
      <c r="G118" t="s">
        <v>1825</v>
      </c>
      <c r="H118" t="s">
        <v>1956</v>
      </c>
      <c r="J118" t="s">
        <v>91</v>
      </c>
      <c r="K118" t="s">
        <v>91</v>
      </c>
      <c r="L118" t="s">
        <v>91</v>
      </c>
      <c r="M118" t="s">
        <v>1587</v>
      </c>
      <c r="N118" t="s">
        <v>1555</v>
      </c>
    </row>
    <row r="119" spans="1:14" ht="14.25" customHeight="1">
      <c r="A119">
        <v>118</v>
      </c>
      <c r="B119" t="s">
        <v>9</v>
      </c>
      <c r="C119" t="s">
        <v>1549</v>
      </c>
      <c r="D119" t="s">
        <v>1957</v>
      </c>
      <c r="E119" t="s">
        <v>1958</v>
      </c>
      <c r="F119">
        <v>2022</v>
      </c>
      <c r="G119" t="s">
        <v>923</v>
      </c>
      <c r="H119" t="s">
        <v>1959</v>
      </c>
      <c r="J119" t="s">
        <v>91</v>
      </c>
      <c r="K119" t="s">
        <v>91</v>
      </c>
      <c r="L119" t="s">
        <v>91</v>
      </c>
      <c r="M119" t="s">
        <v>1570</v>
      </c>
      <c r="N119" t="s">
        <v>1555</v>
      </c>
    </row>
    <row r="120" spans="1:14" ht="14.25" customHeight="1">
      <c r="A120">
        <v>119</v>
      </c>
      <c r="B120" t="s">
        <v>9</v>
      </c>
      <c r="C120" t="s">
        <v>1549</v>
      </c>
      <c r="D120" t="s">
        <v>1960</v>
      </c>
      <c r="E120" t="s">
        <v>1961</v>
      </c>
      <c r="F120">
        <v>2022</v>
      </c>
      <c r="G120" t="s">
        <v>1889</v>
      </c>
      <c r="H120" t="s">
        <v>1962</v>
      </c>
      <c r="J120" t="s">
        <v>91</v>
      </c>
      <c r="K120" t="s">
        <v>91</v>
      </c>
      <c r="L120" t="s">
        <v>91</v>
      </c>
      <c r="M120" t="s">
        <v>1593</v>
      </c>
      <c r="N120" t="s">
        <v>1588</v>
      </c>
    </row>
    <row r="121" spans="1:14" ht="14.25" customHeight="1">
      <c r="A121">
        <v>120</v>
      </c>
      <c r="B121" t="s">
        <v>9</v>
      </c>
      <c r="C121" t="s">
        <v>1549</v>
      </c>
      <c r="D121" t="s">
        <v>1963</v>
      </c>
      <c r="E121" t="s">
        <v>1964</v>
      </c>
      <c r="F121">
        <v>2022</v>
      </c>
      <c r="G121" t="s">
        <v>1965</v>
      </c>
      <c r="H121" t="s">
        <v>1966</v>
      </c>
      <c r="J121" t="s">
        <v>91</v>
      </c>
      <c r="K121" t="s">
        <v>91</v>
      </c>
      <c r="L121" t="s">
        <v>91</v>
      </c>
      <c r="M121" t="s">
        <v>1570</v>
      </c>
      <c r="N121" t="s">
        <v>1555</v>
      </c>
    </row>
    <row r="122" spans="1:14" ht="14.25" customHeight="1">
      <c r="A122">
        <v>121</v>
      </c>
      <c r="B122" t="s">
        <v>9</v>
      </c>
      <c r="C122" t="s">
        <v>1549</v>
      </c>
      <c r="D122" t="s">
        <v>1967</v>
      </c>
      <c r="E122" t="s">
        <v>1968</v>
      </c>
      <c r="F122">
        <v>2022</v>
      </c>
      <c r="G122" t="s">
        <v>1969</v>
      </c>
      <c r="H122" t="s">
        <v>1970</v>
      </c>
      <c r="J122" t="s">
        <v>91</v>
      </c>
      <c r="K122" t="s">
        <v>91</v>
      </c>
      <c r="L122" t="s">
        <v>91</v>
      </c>
      <c r="M122" t="s">
        <v>1593</v>
      </c>
      <c r="N122" t="s">
        <v>1588</v>
      </c>
    </row>
    <row r="123" spans="1:14" ht="14.25" customHeight="1">
      <c r="A123">
        <v>122</v>
      </c>
      <c r="B123" t="s">
        <v>9</v>
      </c>
      <c r="C123" t="s">
        <v>1549</v>
      </c>
      <c r="D123" t="s">
        <v>1971</v>
      </c>
      <c r="E123" t="s">
        <v>1972</v>
      </c>
      <c r="F123">
        <v>2022</v>
      </c>
      <c r="G123" t="s">
        <v>923</v>
      </c>
      <c r="H123" t="s">
        <v>1973</v>
      </c>
      <c r="J123" t="s">
        <v>91</v>
      </c>
      <c r="K123" t="s">
        <v>91</v>
      </c>
      <c r="L123" t="s">
        <v>91</v>
      </c>
      <c r="M123" t="s">
        <v>1570</v>
      </c>
      <c r="N123" t="s">
        <v>1555</v>
      </c>
    </row>
    <row r="124" spans="1:14" ht="14.25" customHeight="1">
      <c r="A124">
        <v>123</v>
      </c>
      <c r="B124" t="s">
        <v>9</v>
      </c>
      <c r="C124" t="s">
        <v>1549</v>
      </c>
      <c r="D124" t="s">
        <v>1974</v>
      </c>
      <c r="E124" t="s">
        <v>1975</v>
      </c>
      <c r="F124">
        <v>2022</v>
      </c>
      <c r="G124" t="s">
        <v>1976</v>
      </c>
      <c r="H124" t="s">
        <v>1977</v>
      </c>
      <c r="J124" t="s">
        <v>91</v>
      </c>
      <c r="K124" t="s">
        <v>91</v>
      </c>
      <c r="L124" t="s">
        <v>91</v>
      </c>
      <c r="M124" t="s">
        <v>1593</v>
      </c>
      <c r="N124" t="s">
        <v>1588</v>
      </c>
    </row>
    <row r="125" spans="1:14" ht="14.25" customHeight="1">
      <c r="A125">
        <v>124</v>
      </c>
      <c r="B125" t="s">
        <v>9</v>
      </c>
      <c r="C125" t="s">
        <v>1549</v>
      </c>
      <c r="D125" t="s">
        <v>1978</v>
      </c>
      <c r="E125" t="s">
        <v>1979</v>
      </c>
      <c r="F125">
        <v>2022</v>
      </c>
      <c r="G125" t="s">
        <v>1094</v>
      </c>
      <c r="H125" t="s">
        <v>1980</v>
      </c>
      <c r="J125" t="s">
        <v>91</v>
      </c>
      <c r="K125" t="s">
        <v>91</v>
      </c>
      <c r="L125" t="s">
        <v>91</v>
      </c>
      <c r="M125" t="s">
        <v>1593</v>
      </c>
      <c r="N125" t="s">
        <v>1555</v>
      </c>
    </row>
    <row r="126" spans="1:14" ht="14.25" customHeight="1">
      <c r="A126">
        <v>125</v>
      </c>
      <c r="B126" t="s">
        <v>9</v>
      </c>
      <c r="C126" t="s">
        <v>1549</v>
      </c>
      <c r="D126" t="s">
        <v>1981</v>
      </c>
      <c r="E126" t="s">
        <v>1982</v>
      </c>
      <c r="F126">
        <v>2022</v>
      </c>
      <c r="G126" t="s">
        <v>969</v>
      </c>
      <c r="H126" t="s">
        <v>1983</v>
      </c>
      <c r="J126" t="s">
        <v>91</v>
      </c>
      <c r="K126" t="s">
        <v>91</v>
      </c>
      <c r="L126" t="s">
        <v>91</v>
      </c>
      <c r="M126" t="s">
        <v>1570</v>
      </c>
      <c r="N126" t="s">
        <v>1555</v>
      </c>
    </row>
    <row r="127" spans="1:14" ht="14.25" customHeight="1">
      <c r="A127">
        <v>126</v>
      </c>
      <c r="B127" t="s">
        <v>9</v>
      </c>
      <c r="C127" t="s">
        <v>1549</v>
      </c>
      <c r="D127" t="s">
        <v>1984</v>
      </c>
      <c r="E127" t="s">
        <v>1985</v>
      </c>
      <c r="F127">
        <v>2022</v>
      </c>
      <c r="G127" t="s">
        <v>1755</v>
      </c>
      <c r="H127" t="s">
        <v>1986</v>
      </c>
      <c r="J127" t="s">
        <v>91</v>
      </c>
      <c r="K127" t="s">
        <v>91</v>
      </c>
      <c r="L127" t="s">
        <v>91</v>
      </c>
      <c r="M127" t="s">
        <v>1570</v>
      </c>
      <c r="N127" t="s">
        <v>1555</v>
      </c>
    </row>
    <row r="128" spans="1:14" ht="14.25" customHeight="1">
      <c r="A128">
        <v>127</v>
      </c>
      <c r="B128" t="s">
        <v>9</v>
      </c>
      <c r="C128" t="s">
        <v>1549</v>
      </c>
      <c r="D128" t="s">
        <v>1987</v>
      </c>
      <c r="E128" t="s">
        <v>1988</v>
      </c>
      <c r="F128">
        <v>2022</v>
      </c>
      <c r="G128" t="s">
        <v>1989</v>
      </c>
      <c r="H128" t="s">
        <v>1990</v>
      </c>
      <c r="J128" t="s">
        <v>91</v>
      </c>
      <c r="K128" t="s">
        <v>91</v>
      </c>
      <c r="L128" t="s">
        <v>91</v>
      </c>
      <c r="M128" t="s">
        <v>1570</v>
      </c>
      <c r="N128" t="s">
        <v>1588</v>
      </c>
    </row>
    <row r="129" spans="1:16" ht="14.25" customHeight="1">
      <c r="A129">
        <v>128</v>
      </c>
      <c r="B129" t="s">
        <v>9</v>
      </c>
      <c r="C129" t="s">
        <v>1549</v>
      </c>
      <c r="D129" t="s">
        <v>1991</v>
      </c>
      <c r="E129" t="s">
        <v>1992</v>
      </c>
      <c r="F129">
        <v>2022</v>
      </c>
      <c r="G129" t="s">
        <v>1046</v>
      </c>
      <c r="H129" t="s">
        <v>1993</v>
      </c>
      <c r="J129" t="s">
        <v>91</v>
      </c>
      <c r="K129" t="s">
        <v>91</v>
      </c>
      <c r="L129" t="s">
        <v>91</v>
      </c>
      <c r="M129" t="s">
        <v>1570</v>
      </c>
      <c r="N129" t="s">
        <v>1588</v>
      </c>
    </row>
    <row r="130" spans="1:16" ht="14.25" customHeight="1">
      <c r="A130">
        <v>129</v>
      </c>
      <c r="B130" t="s">
        <v>9</v>
      </c>
      <c r="C130" t="s">
        <v>1549</v>
      </c>
      <c r="D130" t="s">
        <v>1994</v>
      </c>
      <c r="E130" t="s">
        <v>1995</v>
      </c>
      <c r="F130">
        <v>2022</v>
      </c>
      <c r="G130" t="s">
        <v>1996</v>
      </c>
      <c r="H130" t="s">
        <v>1997</v>
      </c>
      <c r="J130" t="s">
        <v>91</v>
      </c>
      <c r="K130" t="s">
        <v>91</v>
      </c>
      <c r="L130" t="s">
        <v>91</v>
      </c>
      <c r="M130" t="s">
        <v>1570</v>
      </c>
      <c r="N130" t="s">
        <v>1588</v>
      </c>
    </row>
    <row r="131" spans="1:16" ht="14.25" customHeight="1">
      <c r="A131">
        <v>130</v>
      </c>
      <c r="B131" t="s">
        <v>9</v>
      </c>
      <c r="C131" t="s">
        <v>1549</v>
      </c>
      <c r="D131" t="s">
        <v>1998</v>
      </c>
      <c r="E131" t="s">
        <v>1999</v>
      </c>
      <c r="F131">
        <v>2023</v>
      </c>
      <c r="G131" t="s">
        <v>1023</v>
      </c>
      <c r="H131" t="s">
        <v>2000</v>
      </c>
      <c r="J131" t="s">
        <v>91</v>
      </c>
      <c r="K131" t="s">
        <v>91</v>
      </c>
      <c r="L131" t="s">
        <v>91</v>
      </c>
      <c r="M131" t="s">
        <v>1587</v>
      </c>
      <c r="N131" t="s">
        <v>1555</v>
      </c>
    </row>
    <row r="132" spans="1:16" ht="14.25" customHeight="1">
      <c r="A132">
        <v>131</v>
      </c>
      <c r="B132" t="s">
        <v>9</v>
      </c>
      <c r="C132" t="s">
        <v>1549</v>
      </c>
      <c r="D132" t="s">
        <v>2001</v>
      </c>
      <c r="E132" t="s">
        <v>2002</v>
      </c>
      <c r="F132">
        <v>2023</v>
      </c>
      <c r="G132" t="s">
        <v>1077</v>
      </c>
      <c r="H132" t="s">
        <v>2003</v>
      </c>
      <c r="J132" t="s">
        <v>91</v>
      </c>
      <c r="K132" t="s">
        <v>91</v>
      </c>
      <c r="L132" t="s">
        <v>91</v>
      </c>
      <c r="M132" t="s">
        <v>1587</v>
      </c>
      <c r="N132" t="s">
        <v>1555</v>
      </c>
    </row>
    <row r="133" spans="1:16" ht="14.25" customHeight="1">
      <c r="A133" s="20">
        <v>132</v>
      </c>
      <c r="B133" s="20" t="s">
        <v>9</v>
      </c>
      <c r="C133" s="20" t="s">
        <v>1549</v>
      </c>
      <c r="D133" s="20" t="s">
        <v>718</v>
      </c>
      <c r="E133" s="20" t="s">
        <v>978</v>
      </c>
      <c r="F133" s="20">
        <v>2023</v>
      </c>
      <c r="G133" s="20" t="s">
        <v>923</v>
      </c>
      <c r="H133" s="20" t="s">
        <v>979</v>
      </c>
      <c r="I133" s="20"/>
      <c r="J133" s="20" t="s">
        <v>76</v>
      </c>
      <c r="K133" s="20" t="s">
        <v>76</v>
      </c>
      <c r="L133" s="20" t="s">
        <v>76</v>
      </c>
      <c r="M133" s="20" t="s">
        <v>1625</v>
      </c>
      <c r="N133" s="20" t="s">
        <v>1555</v>
      </c>
      <c r="O133" s="20"/>
      <c r="P133" s="20"/>
    </row>
    <row r="134" spans="1:16" ht="14.25" customHeight="1">
      <c r="A134">
        <v>133</v>
      </c>
      <c r="B134" t="s">
        <v>9</v>
      </c>
      <c r="C134" t="s">
        <v>1549</v>
      </c>
      <c r="D134" t="s">
        <v>2004</v>
      </c>
      <c r="E134" t="s">
        <v>2005</v>
      </c>
      <c r="F134">
        <v>2023</v>
      </c>
      <c r="G134" t="s">
        <v>923</v>
      </c>
      <c r="H134" t="s">
        <v>2006</v>
      </c>
      <c r="J134" t="s">
        <v>91</v>
      </c>
      <c r="K134" t="s">
        <v>91</v>
      </c>
      <c r="L134" t="s">
        <v>91</v>
      </c>
      <c r="M134" t="s">
        <v>1554</v>
      </c>
      <c r="N134" t="s">
        <v>1555</v>
      </c>
    </row>
    <row r="135" spans="1:16" ht="14.25" customHeight="1">
      <c r="A135">
        <v>134</v>
      </c>
      <c r="B135" t="s">
        <v>9</v>
      </c>
      <c r="C135" t="s">
        <v>1549</v>
      </c>
      <c r="D135" t="s">
        <v>2007</v>
      </c>
      <c r="E135" t="s">
        <v>2008</v>
      </c>
      <c r="F135">
        <v>2023</v>
      </c>
      <c r="G135" t="s">
        <v>2009</v>
      </c>
      <c r="H135" t="s">
        <v>2010</v>
      </c>
      <c r="J135" t="s">
        <v>91</v>
      </c>
      <c r="K135" t="s">
        <v>91</v>
      </c>
      <c r="L135" t="s">
        <v>91</v>
      </c>
      <c r="M135" t="s">
        <v>1593</v>
      </c>
      <c r="N135" t="s">
        <v>1555</v>
      </c>
    </row>
    <row r="136" spans="1:16" ht="14.25" customHeight="1">
      <c r="A136">
        <v>135</v>
      </c>
      <c r="B136" t="s">
        <v>9</v>
      </c>
      <c r="C136" t="s">
        <v>1549</v>
      </c>
      <c r="D136" t="s">
        <v>2011</v>
      </c>
      <c r="E136" t="s">
        <v>2012</v>
      </c>
      <c r="F136">
        <v>2023</v>
      </c>
      <c r="G136" t="s">
        <v>2013</v>
      </c>
      <c r="H136" t="s">
        <v>2014</v>
      </c>
      <c r="J136" t="s">
        <v>91</v>
      </c>
      <c r="K136" t="s">
        <v>91</v>
      </c>
      <c r="L136" t="s">
        <v>91</v>
      </c>
      <c r="M136" t="s">
        <v>1587</v>
      </c>
      <c r="N136" t="s">
        <v>1588</v>
      </c>
    </row>
    <row r="137" spans="1:16" ht="14.25" customHeight="1">
      <c r="A137">
        <v>136</v>
      </c>
      <c r="B137" t="s">
        <v>9</v>
      </c>
      <c r="C137" t="s">
        <v>1549</v>
      </c>
      <c r="D137" t="s">
        <v>2015</v>
      </c>
      <c r="E137" t="s">
        <v>2016</v>
      </c>
      <c r="F137">
        <v>2023</v>
      </c>
      <c r="G137" t="s">
        <v>969</v>
      </c>
      <c r="H137" t="s">
        <v>2017</v>
      </c>
      <c r="J137" t="s">
        <v>91</v>
      </c>
      <c r="K137" t="s">
        <v>91</v>
      </c>
      <c r="L137" t="s">
        <v>91</v>
      </c>
      <c r="M137" t="s">
        <v>1570</v>
      </c>
      <c r="N137" t="s">
        <v>1555</v>
      </c>
    </row>
    <row r="138" spans="1:16" ht="14.25" customHeight="1">
      <c r="A138">
        <v>137</v>
      </c>
      <c r="B138" t="s">
        <v>9</v>
      </c>
      <c r="C138" t="s">
        <v>1549</v>
      </c>
      <c r="D138" t="s">
        <v>2018</v>
      </c>
      <c r="E138" t="s">
        <v>2019</v>
      </c>
      <c r="F138">
        <v>2023</v>
      </c>
      <c r="G138" t="s">
        <v>1077</v>
      </c>
      <c r="H138" t="s">
        <v>2020</v>
      </c>
      <c r="J138" t="s">
        <v>91</v>
      </c>
      <c r="K138" t="s">
        <v>91</v>
      </c>
      <c r="L138" t="s">
        <v>91</v>
      </c>
      <c r="M138" t="s">
        <v>1570</v>
      </c>
      <c r="N138" t="s">
        <v>1555</v>
      </c>
    </row>
    <row r="139" spans="1:16" ht="14.25" customHeight="1">
      <c r="A139">
        <v>138</v>
      </c>
      <c r="B139" t="s">
        <v>9</v>
      </c>
      <c r="C139" t="s">
        <v>1549</v>
      </c>
      <c r="D139" t="s">
        <v>2021</v>
      </c>
      <c r="E139" t="s">
        <v>2022</v>
      </c>
      <c r="F139">
        <v>2023</v>
      </c>
      <c r="G139" t="s">
        <v>2023</v>
      </c>
      <c r="H139" t="s">
        <v>2024</v>
      </c>
      <c r="J139" t="s">
        <v>91</v>
      </c>
      <c r="K139" t="s">
        <v>91</v>
      </c>
      <c r="L139" t="s">
        <v>91</v>
      </c>
      <c r="M139" t="s">
        <v>1587</v>
      </c>
      <c r="N139" t="s">
        <v>1555</v>
      </c>
    </row>
    <row r="140" spans="1:16" ht="14.25" customHeight="1">
      <c r="A140">
        <v>139</v>
      </c>
      <c r="B140" t="s">
        <v>9</v>
      </c>
      <c r="C140" t="s">
        <v>1549</v>
      </c>
      <c r="D140" t="s">
        <v>2025</v>
      </c>
      <c r="E140" t="s">
        <v>2026</v>
      </c>
      <c r="F140">
        <v>2023</v>
      </c>
      <c r="G140" t="s">
        <v>923</v>
      </c>
      <c r="H140" t="s">
        <v>2027</v>
      </c>
      <c r="J140" t="s">
        <v>91</v>
      </c>
      <c r="K140" t="s">
        <v>91</v>
      </c>
      <c r="L140" t="s">
        <v>91</v>
      </c>
      <c r="M140" t="s">
        <v>1570</v>
      </c>
      <c r="N140" t="s">
        <v>1555</v>
      </c>
    </row>
    <row r="141" spans="1:16" ht="14.25" customHeight="1">
      <c r="A141">
        <v>140</v>
      </c>
      <c r="B141" t="s">
        <v>9</v>
      </c>
      <c r="C141" t="s">
        <v>1549</v>
      </c>
      <c r="D141" t="s">
        <v>2028</v>
      </c>
      <c r="E141" t="s">
        <v>2029</v>
      </c>
      <c r="F141">
        <v>2023</v>
      </c>
      <c r="G141" t="s">
        <v>1949</v>
      </c>
      <c r="H141" t="s">
        <v>2030</v>
      </c>
      <c r="J141" t="s">
        <v>91</v>
      </c>
      <c r="K141" t="s">
        <v>91</v>
      </c>
      <c r="L141" t="s">
        <v>91</v>
      </c>
      <c r="M141" t="s">
        <v>1554</v>
      </c>
      <c r="N141" t="s">
        <v>1555</v>
      </c>
    </row>
    <row r="142" spans="1:16" ht="14.25" customHeight="1">
      <c r="A142">
        <v>141</v>
      </c>
      <c r="B142" t="s">
        <v>9</v>
      </c>
      <c r="C142" t="s">
        <v>1549</v>
      </c>
      <c r="D142" t="s">
        <v>2031</v>
      </c>
      <c r="E142" t="s">
        <v>2032</v>
      </c>
      <c r="F142">
        <v>2023</v>
      </c>
      <c r="G142" t="s">
        <v>1019</v>
      </c>
      <c r="H142" t="s">
        <v>2033</v>
      </c>
      <c r="J142" t="s">
        <v>91</v>
      </c>
      <c r="K142" t="s">
        <v>91</v>
      </c>
      <c r="L142" t="s">
        <v>91</v>
      </c>
      <c r="M142" t="s">
        <v>1587</v>
      </c>
      <c r="N142" t="s">
        <v>1555</v>
      </c>
    </row>
    <row r="143" spans="1:16" ht="14.25" customHeight="1">
      <c r="A143">
        <v>142</v>
      </c>
      <c r="B143" t="s">
        <v>9</v>
      </c>
      <c r="C143" t="s">
        <v>1549</v>
      </c>
      <c r="D143" t="s">
        <v>2034</v>
      </c>
      <c r="E143" t="s">
        <v>2035</v>
      </c>
      <c r="F143">
        <v>2023</v>
      </c>
      <c r="G143" t="s">
        <v>2036</v>
      </c>
      <c r="H143" t="s">
        <v>2037</v>
      </c>
      <c r="J143" t="s">
        <v>91</v>
      </c>
      <c r="K143" t="s">
        <v>91</v>
      </c>
      <c r="L143" t="s">
        <v>91</v>
      </c>
      <c r="M143" t="s">
        <v>1587</v>
      </c>
      <c r="N143" t="s">
        <v>1588</v>
      </c>
    </row>
    <row r="144" spans="1:16" ht="14.25" customHeight="1">
      <c r="A144">
        <v>143</v>
      </c>
      <c r="B144" t="s">
        <v>9</v>
      </c>
      <c r="C144" t="s">
        <v>1549</v>
      </c>
      <c r="D144" t="s">
        <v>2038</v>
      </c>
      <c r="E144" t="s">
        <v>2039</v>
      </c>
      <c r="F144">
        <v>2023</v>
      </c>
      <c r="G144" t="s">
        <v>2040</v>
      </c>
      <c r="H144" t="s">
        <v>2041</v>
      </c>
      <c r="J144" t="s">
        <v>91</v>
      </c>
      <c r="K144" t="s">
        <v>91</v>
      </c>
      <c r="L144" t="s">
        <v>91</v>
      </c>
      <c r="M144" t="s">
        <v>1554</v>
      </c>
      <c r="N144" t="s">
        <v>1555</v>
      </c>
    </row>
    <row r="145" spans="1:16" ht="14.25" customHeight="1">
      <c r="A145">
        <v>144</v>
      </c>
      <c r="B145" t="s">
        <v>9</v>
      </c>
      <c r="C145" t="s">
        <v>1549</v>
      </c>
      <c r="D145" t="s">
        <v>2042</v>
      </c>
      <c r="E145" t="s">
        <v>2043</v>
      </c>
      <c r="F145">
        <v>2023</v>
      </c>
      <c r="G145" t="s">
        <v>1628</v>
      </c>
      <c r="H145" t="s">
        <v>2044</v>
      </c>
      <c r="J145" t="s">
        <v>91</v>
      </c>
      <c r="K145" t="s">
        <v>91</v>
      </c>
      <c r="L145" t="s">
        <v>91</v>
      </c>
      <c r="M145" t="s">
        <v>1570</v>
      </c>
      <c r="N145" t="s">
        <v>1555</v>
      </c>
    </row>
    <row r="146" spans="1:16" ht="14.25" customHeight="1">
      <c r="A146">
        <v>145</v>
      </c>
      <c r="B146" t="s">
        <v>9</v>
      </c>
      <c r="C146" t="s">
        <v>1549</v>
      </c>
      <c r="D146" t="s">
        <v>2045</v>
      </c>
      <c r="E146" t="s">
        <v>2046</v>
      </c>
      <c r="F146">
        <v>2023</v>
      </c>
      <c r="G146" t="s">
        <v>923</v>
      </c>
      <c r="H146" t="s">
        <v>2047</v>
      </c>
      <c r="J146" t="s">
        <v>91</v>
      </c>
      <c r="K146" t="s">
        <v>91</v>
      </c>
      <c r="L146" t="s">
        <v>91</v>
      </c>
      <c r="M146" t="s">
        <v>1554</v>
      </c>
      <c r="N146" t="s">
        <v>1555</v>
      </c>
    </row>
    <row r="147" spans="1:16" ht="14.25" customHeight="1">
      <c r="A147">
        <v>146</v>
      </c>
      <c r="B147" t="s">
        <v>9</v>
      </c>
      <c r="C147" t="s">
        <v>1549</v>
      </c>
      <c r="D147" t="s">
        <v>2048</v>
      </c>
      <c r="E147" t="s">
        <v>2049</v>
      </c>
      <c r="F147">
        <v>2023</v>
      </c>
      <c r="G147" t="s">
        <v>2050</v>
      </c>
      <c r="H147" t="s">
        <v>2051</v>
      </c>
      <c r="J147" t="s">
        <v>91</v>
      </c>
      <c r="K147" t="s">
        <v>91</v>
      </c>
      <c r="L147" t="s">
        <v>91</v>
      </c>
      <c r="M147" t="s">
        <v>1587</v>
      </c>
      <c r="N147" t="s">
        <v>1555</v>
      </c>
    </row>
    <row r="148" spans="1:16" ht="14.25" customHeight="1">
      <c r="A148">
        <v>147</v>
      </c>
      <c r="B148" t="s">
        <v>9</v>
      </c>
      <c r="C148" t="s">
        <v>1549</v>
      </c>
      <c r="D148" t="s">
        <v>2052</v>
      </c>
      <c r="E148" t="s">
        <v>2053</v>
      </c>
      <c r="F148">
        <v>2023</v>
      </c>
      <c r="G148" t="s">
        <v>969</v>
      </c>
      <c r="H148" t="s">
        <v>2054</v>
      </c>
      <c r="J148" t="s">
        <v>91</v>
      </c>
      <c r="K148" t="s">
        <v>91</v>
      </c>
      <c r="L148" t="s">
        <v>91</v>
      </c>
      <c r="M148" t="s">
        <v>1587</v>
      </c>
      <c r="N148" t="s">
        <v>1555</v>
      </c>
    </row>
    <row r="149" spans="1:16" ht="14.25" customHeight="1">
      <c r="A149">
        <v>148</v>
      </c>
      <c r="B149" t="s">
        <v>9</v>
      </c>
      <c r="C149" t="s">
        <v>1549</v>
      </c>
      <c r="D149" t="s">
        <v>2055</v>
      </c>
      <c r="E149" t="s">
        <v>2056</v>
      </c>
      <c r="F149">
        <v>2023</v>
      </c>
      <c r="G149" t="s">
        <v>923</v>
      </c>
      <c r="H149" t="s">
        <v>2057</v>
      </c>
      <c r="J149" t="s">
        <v>91</v>
      </c>
      <c r="K149" t="s">
        <v>91</v>
      </c>
      <c r="L149" t="s">
        <v>91</v>
      </c>
      <c r="M149" t="s">
        <v>1570</v>
      </c>
      <c r="N149" t="s">
        <v>1555</v>
      </c>
    </row>
    <row r="150" spans="1:16" ht="14.25" customHeight="1">
      <c r="A150">
        <v>149</v>
      </c>
      <c r="B150" t="s">
        <v>9</v>
      </c>
      <c r="C150" t="s">
        <v>1549</v>
      </c>
      <c r="D150" t="s">
        <v>2058</v>
      </c>
      <c r="E150" t="s">
        <v>2059</v>
      </c>
      <c r="F150">
        <v>2023</v>
      </c>
      <c r="G150" t="s">
        <v>923</v>
      </c>
      <c r="H150" t="s">
        <v>2060</v>
      </c>
      <c r="J150" t="s">
        <v>91</v>
      </c>
      <c r="K150" t="s">
        <v>91</v>
      </c>
      <c r="L150" t="s">
        <v>91</v>
      </c>
      <c r="M150" t="s">
        <v>1570</v>
      </c>
      <c r="N150" t="s">
        <v>1555</v>
      </c>
    </row>
    <row r="151" spans="1:16" ht="14.25" customHeight="1">
      <c r="A151">
        <v>150</v>
      </c>
      <c r="B151" t="s">
        <v>9</v>
      </c>
      <c r="C151" t="s">
        <v>1549</v>
      </c>
      <c r="D151" t="s">
        <v>2061</v>
      </c>
      <c r="E151" t="s">
        <v>2062</v>
      </c>
      <c r="F151">
        <v>2023</v>
      </c>
      <c r="G151" t="s">
        <v>2063</v>
      </c>
      <c r="H151" t="s">
        <v>2064</v>
      </c>
      <c r="J151" t="s">
        <v>91</v>
      </c>
      <c r="K151" t="s">
        <v>91</v>
      </c>
      <c r="L151" t="s">
        <v>91</v>
      </c>
      <c r="M151" t="s">
        <v>1554</v>
      </c>
      <c r="N151" t="s">
        <v>1555</v>
      </c>
    </row>
    <row r="152" spans="1:16" ht="14.25" customHeight="1">
      <c r="A152">
        <v>151</v>
      </c>
      <c r="B152" t="s">
        <v>9</v>
      </c>
      <c r="C152" t="s">
        <v>1549</v>
      </c>
      <c r="D152" t="s">
        <v>2065</v>
      </c>
      <c r="E152" t="s">
        <v>2066</v>
      </c>
      <c r="F152">
        <v>2023</v>
      </c>
      <c r="G152" t="s">
        <v>2067</v>
      </c>
      <c r="H152" t="s">
        <v>2068</v>
      </c>
      <c r="J152" t="s">
        <v>91</v>
      </c>
      <c r="K152" t="s">
        <v>91</v>
      </c>
      <c r="L152" t="s">
        <v>91</v>
      </c>
      <c r="M152" t="s">
        <v>1570</v>
      </c>
      <c r="N152" t="s">
        <v>1588</v>
      </c>
    </row>
    <row r="153" spans="1:16" ht="14.25" customHeight="1">
      <c r="A153" s="20">
        <v>152</v>
      </c>
      <c r="B153" s="20" t="s">
        <v>9</v>
      </c>
      <c r="C153" s="20" t="s">
        <v>1549</v>
      </c>
      <c r="D153" s="20" t="s">
        <v>980</v>
      </c>
      <c r="E153" s="20" t="s">
        <v>981</v>
      </c>
      <c r="F153" s="20">
        <v>2023</v>
      </c>
      <c r="G153" s="20" t="s">
        <v>982</v>
      </c>
      <c r="H153" s="20" t="s">
        <v>983</v>
      </c>
      <c r="I153" s="20"/>
      <c r="J153" s="20" t="s">
        <v>76</v>
      </c>
      <c r="K153" s="20" t="s">
        <v>76</v>
      </c>
      <c r="L153" s="20" t="s">
        <v>76</v>
      </c>
      <c r="M153" s="20" t="s">
        <v>1625</v>
      </c>
      <c r="N153" s="20" t="s">
        <v>1588</v>
      </c>
      <c r="O153" s="20"/>
      <c r="P153" s="20"/>
    </row>
    <row r="154" spans="1:16" ht="14.25" customHeight="1">
      <c r="A154">
        <v>153</v>
      </c>
      <c r="B154" t="s">
        <v>9</v>
      </c>
      <c r="C154" t="s">
        <v>1549</v>
      </c>
      <c r="D154" t="s">
        <v>2069</v>
      </c>
      <c r="E154" t="s">
        <v>2070</v>
      </c>
      <c r="F154">
        <v>2023</v>
      </c>
      <c r="G154" t="s">
        <v>1046</v>
      </c>
      <c r="H154" t="s">
        <v>2071</v>
      </c>
      <c r="J154" t="s">
        <v>91</v>
      </c>
      <c r="K154" t="s">
        <v>91</v>
      </c>
      <c r="L154" t="s">
        <v>91</v>
      </c>
      <c r="M154" t="s">
        <v>1570</v>
      </c>
      <c r="N154" t="s">
        <v>1588</v>
      </c>
    </row>
    <row r="155" spans="1:16" ht="14.25" customHeight="1">
      <c r="A155">
        <v>154</v>
      </c>
      <c r="B155" t="s">
        <v>9</v>
      </c>
      <c r="C155" t="s">
        <v>1549</v>
      </c>
      <c r="D155" t="s">
        <v>2072</v>
      </c>
      <c r="E155" t="s">
        <v>2073</v>
      </c>
      <c r="F155">
        <v>2023</v>
      </c>
      <c r="G155" t="s">
        <v>2074</v>
      </c>
      <c r="H155" t="s">
        <v>2075</v>
      </c>
      <c r="J155" t="s">
        <v>91</v>
      </c>
      <c r="K155" t="s">
        <v>91</v>
      </c>
      <c r="L155" t="s">
        <v>91</v>
      </c>
      <c r="M155" t="s">
        <v>1593</v>
      </c>
      <c r="N155" t="s">
        <v>1588</v>
      </c>
    </row>
    <row r="156" spans="1:16" ht="14.25" customHeight="1">
      <c r="A156">
        <v>155</v>
      </c>
      <c r="B156" t="s">
        <v>9</v>
      </c>
      <c r="C156" t="s">
        <v>1549</v>
      </c>
      <c r="D156" t="s">
        <v>2076</v>
      </c>
      <c r="E156" t="s">
        <v>2077</v>
      </c>
      <c r="F156">
        <v>2023</v>
      </c>
      <c r="G156" t="s">
        <v>2078</v>
      </c>
      <c r="H156" t="s">
        <v>2079</v>
      </c>
      <c r="J156" t="s">
        <v>91</v>
      </c>
      <c r="K156" t="s">
        <v>91</v>
      </c>
      <c r="L156" t="s">
        <v>91</v>
      </c>
      <c r="M156" t="s">
        <v>1570</v>
      </c>
      <c r="N156" t="s">
        <v>1555</v>
      </c>
    </row>
    <row r="157" spans="1:16" ht="14.25" customHeight="1">
      <c r="A157">
        <v>156</v>
      </c>
      <c r="B157" t="s">
        <v>9</v>
      </c>
      <c r="C157" t="s">
        <v>1549</v>
      </c>
      <c r="D157" t="s">
        <v>2080</v>
      </c>
      <c r="E157" t="s">
        <v>2081</v>
      </c>
      <c r="F157">
        <v>2023</v>
      </c>
      <c r="G157" t="s">
        <v>2082</v>
      </c>
      <c r="H157" t="s">
        <v>2083</v>
      </c>
      <c r="J157" t="s">
        <v>91</v>
      </c>
      <c r="K157" t="s">
        <v>91</v>
      </c>
      <c r="L157" t="s">
        <v>91</v>
      </c>
      <c r="M157" t="s">
        <v>1570</v>
      </c>
      <c r="N157" t="s">
        <v>1555</v>
      </c>
    </row>
    <row r="158" spans="1:16" ht="14.25" customHeight="1">
      <c r="A158">
        <v>157</v>
      </c>
      <c r="B158" t="s">
        <v>9</v>
      </c>
      <c r="C158" t="s">
        <v>1549</v>
      </c>
      <c r="D158" t="s">
        <v>2084</v>
      </c>
      <c r="E158" t="s">
        <v>2085</v>
      </c>
      <c r="F158">
        <v>2023</v>
      </c>
      <c r="G158" t="s">
        <v>2086</v>
      </c>
      <c r="H158" t="s">
        <v>2087</v>
      </c>
      <c r="J158" t="s">
        <v>91</v>
      </c>
      <c r="K158" t="s">
        <v>91</v>
      </c>
      <c r="L158" t="s">
        <v>91</v>
      </c>
      <c r="M158" t="s">
        <v>1593</v>
      </c>
      <c r="N158" t="s">
        <v>1588</v>
      </c>
    </row>
    <row r="159" spans="1:16" ht="14.25" customHeight="1">
      <c r="A159">
        <v>158</v>
      </c>
      <c r="B159" t="s">
        <v>9</v>
      </c>
      <c r="C159" t="s">
        <v>1549</v>
      </c>
      <c r="D159" t="s">
        <v>2088</v>
      </c>
      <c r="E159" t="s">
        <v>2089</v>
      </c>
      <c r="F159">
        <v>2023</v>
      </c>
      <c r="G159" t="s">
        <v>923</v>
      </c>
      <c r="H159" t="s">
        <v>2090</v>
      </c>
      <c r="J159" t="s">
        <v>91</v>
      </c>
      <c r="K159" t="s">
        <v>91</v>
      </c>
      <c r="L159" t="s">
        <v>91</v>
      </c>
      <c r="M159" t="s">
        <v>1570</v>
      </c>
      <c r="N159" t="s">
        <v>1555</v>
      </c>
    </row>
    <row r="160" spans="1:16" ht="14.25" customHeight="1">
      <c r="A160">
        <v>159</v>
      </c>
      <c r="B160" t="s">
        <v>9</v>
      </c>
      <c r="C160" t="s">
        <v>1549</v>
      </c>
      <c r="D160" t="s">
        <v>2091</v>
      </c>
      <c r="E160" t="s">
        <v>2092</v>
      </c>
      <c r="F160">
        <v>2023</v>
      </c>
      <c r="G160" t="s">
        <v>1612</v>
      </c>
      <c r="H160" t="s">
        <v>2093</v>
      </c>
      <c r="J160" t="s">
        <v>91</v>
      </c>
      <c r="K160" t="s">
        <v>91</v>
      </c>
      <c r="L160" t="s">
        <v>91</v>
      </c>
      <c r="M160" t="s">
        <v>1570</v>
      </c>
      <c r="N160" t="s">
        <v>1555</v>
      </c>
    </row>
    <row r="161" spans="1:16" ht="14.25" customHeight="1">
      <c r="A161">
        <v>160</v>
      </c>
      <c r="B161" t="s">
        <v>9</v>
      </c>
      <c r="C161" t="s">
        <v>1549</v>
      </c>
      <c r="D161" t="s">
        <v>2094</v>
      </c>
      <c r="E161" t="s">
        <v>2095</v>
      </c>
      <c r="F161">
        <v>2023</v>
      </c>
      <c r="G161" t="s">
        <v>2096</v>
      </c>
      <c r="H161" t="s">
        <v>2097</v>
      </c>
      <c r="J161" t="s">
        <v>91</v>
      </c>
      <c r="K161" t="s">
        <v>91</v>
      </c>
      <c r="L161" t="s">
        <v>91</v>
      </c>
      <c r="M161" t="s">
        <v>1593</v>
      </c>
      <c r="N161" t="s">
        <v>1555</v>
      </c>
    </row>
    <row r="162" spans="1:16" ht="14.25" customHeight="1">
      <c r="A162">
        <v>161</v>
      </c>
      <c r="B162" t="s">
        <v>9</v>
      </c>
      <c r="C162" t="s">
        <v>1549</v>
      </c>
      <c r="D162" t="s">
        <v>2098</v>
      </c>
      <c r="E162" t="s">
        <v>2099</v>
      </c>
      <c r="F162">
        <v>2023</v>
      </c>
      <c r="G162" t="s">
        <v>2100</v>
      </c>
      <c r="H162" t="s">
        <v>2101</v>
      </c>
      <c r="J162" t="s">
        <v>91</v>
      </c>
      <c r="K162" t="s">
        <v>91</v>
      </c>
      <c r="L162" t="s">
        <v>91</v>
      </c>
      <c r="M162" t="s">
        <v>1570</v>
      </c>
      <c r="N162" t="s">
        <v>1555</v>
      </c>
    </row>
    <row r="163" spans="1:16" ht="14.25" customHeight="1">
      <c r="A163">
        <v>162</v>
      </c>
      <c r="B163" t="s">
        <v>9</v>
      </c>
      <c r="C163" t="s">
        <v>1549</v>
      </c>
      <c r="D163" t="s">
        <v>2102</v>
      </c>
      <c r="E163" t="s">
        <v>2103</v>
      </c>
      <c r="F163">
        <v>2023</v>
      </c>
      <c r="G163" t="s">
        <v>2104</v>
      </c>
      <c r="H163" t="s">
        <v>2105</v>
      </c>
      <c r="J163" t="s">
        <v>91</v>
      </c>
      <c r="K163" t="s">
        <v>91</v>
      </c>
      <c r="L163" t="s">
        <v>91</v>
      </c>
      <c r="M163" t="s">
        <v>1570</v>
      </c>
      <c r="N163" t="s">
        <v>1588</v>
      </c>
    </row>
    <row r="164" spans="1:16" ht="14.25" customHeight="1">
      <c r="A164">
        <v>163</v>
      </c>
      <c r="B164" t="s">
        <v>9</v>
      </c>
      <c r="C164" t="s">
        <v>1549</v>
      </c>
      <c r="D164" t="s">
        <v>2106</v>
      </c>
      <c r="E164" t="s">
        <v>2107</v>
      </c>
      <c r="F164">
        <v>2023</v>
      </c>
      <c r="G164" t="s">
        <v>982</v>
      </c>
      <c r="H164" t="s">
        <v>2108</v>
      </c>
      <c r="J164" t="s">
        <v>91</v>
      </c>
      <c r="K164" t="s">
        <v>91</v>
      </c>
      <c r="L164" t="s">
        <v>91</v>
      </c>
      <c r="M164" t="s">
        <v>1570</v>
      </c>
      <c r="N164" t="s">
        <v>1588</v>
      </c>
    </row>
    <row r="165" spans="1:16" ht="14.25" customHeight="1">
      <c r="A165">
        <v>164</v>
      </c>
      <c r="B165" t="s">
        <v>9</v>
      </c>
      <c r="C165" t="s">
        <v>1549</v>
      </c>
      <c r="D165" t="s">
        <v>2109</v>
      </c>
      <c r="E165" t="s">
        <v>2110</v>
      </c>
      <c r="F165">
        <v>2023</v>
      </c>
      <c r="G165" t="s">
        <v>923</v>
      </c>
      <c r="H165" t="s">
        <v>2111</v>
      </c>
      <c r="J165" t="s">
        <v>91</v>
      </c>
      <c r="K165" t="s">
        <v>91</v>
      </c>
      <c r="L165" t="s">
        <v>91</v>
      </c>
      <c r="M165" t="s">
        <v>1570</v>
      </c>
      <c r="N165" t="s">
        <v>1555</v>
      </c>
    </row>
    <row r="166" spans="1:16" ht="14.25" customHeight="1">
      <c r="A166">
        <v>165</v>
      </c>
      <c r="B166" t="s">
        <v>9</v>
      </c>
      <c r="C166" t="s">
        <v>1549</v>
      </c>
      <c r="D166" t="s">
        <v>2112</v>
      </c>
      <c r="E166" t="s">
        <v>2113</v>
      </c>
      <c r="F166">
        <v>2023</v>
      </c>
      <c r="G166" t="s">
        <v>986</v>
      </c>
      <c r="H166" t="s">
        <v>2114</v>
      </c>
      <c r="J166" t="s">
        <v>91</v>
      </c>
      <c r="K166" t="s">
        <v>91</v>
      </c>
      <c r="L166" t="s">
        <v>91</v>
      </c>
      <c r="M166" t="s">
        <v>1570</v>
      </c>
      <c r="N166" t="s">
        <v>1555</v>
      </c>
    </row>
    <row r="167" spans="1:16" ht="14.25" customHeight="1">
      <c r="A167" s="20">
        <v>166</v>
      </c>
      <c r="B167" s="20" t="s">
        <v>9</v>
      </c>
      <c r="C167" s="20" t="s">
        <v>1549</v>
      </c>
      <c r="D167" s="20" t="s">
        <v>984</v>
      </c>
      <c r="E167" s="20" t="s">
        <v>985</v>
      </c>
      <c r="F167" s="20">
        <v>2023</v>
      </c>
      <c r="G167" s="20" t="s">
        <v>986</v>
      </c>
      <c r="H167" s="20" t="s">
        <v>987</v>
      </c>
      <c r="I167" s="20"/>
      <c r="J167" s="20" t="s">
        <v>76</v>
      </c>
      <c r="K167" s="20" t="s">
        <v>76</v>
      </c>
      <c r="L167" s="20" t="s">
        <v>76</v>
      </c>
      <c r="M167" s="20" t="s">
        <v>1625</v>
      </c>
      <c r="N167" s="20" t="s">
        <v>1555</v>
      </c>
      <c r="O167" s="20"/>
      <c r="P167" s="20"/>
    </row>
    <row r="168" spans="1:16" ht="14.25" customHeight="1">
      <c r="A168">
        <v>167</v>
      </c>
      <c r="B168" t="s">
        <v>9</v>
      </c>
      <c r="C168" t="s">
        <v>1549</v>
      </c>
      <c r="D168" t="s">
        <v>2115</v>
      </c>
      <c r="E168" t="s">
        <v>2116</v>
      </c>
      <c r="F168">
        <v>2023</v>
      </c>
      <c r="G168" t="s">
        <v>969</v>
      </c>
      <c r="H168" t="s">
        <v>2117</v>
      </c>
      <c r="J168" t="s">
        <v>91</v>
      </c>
      <c r="K168" t="s">
        <v>91</v>
      </c>
      <c r="L168" t="s">
        <v>91</v>
      </c>
      <c r="M168" t="s">
        <v>1554</v>
      </c>
      <c r="N168" t="s">
        <v>1555</v>
      </c>
    </row>
    <row r="169" spans="1:16" ht="14.25" customHeight="1">
      <c r="A169">
        <v>168</v>
      </c>
      <c r="B169" t="s">
        <v>9</v>
      </c>
      <c r="C169" t="s">
        <v>1549</v>
      </c>
      <c r="D169" t="s">
        <v>2118</v>
      </c>
      <c r="E169" t="s">
        <v>2119</v>
      </c>
      <c r="F169">
        <v>2023</v>
      </c>
      <c r="G169" t="s">
        <v>1077</v>
      </c>
      <c r="H169" t="s">
        <v>2120</v>
      </c>
      <c r="J169" t="s">
        <v>91</v>
      </c>
      <c r="K169" t="s">
        <v>91</v>
      </c>
      <c r="L169" t="s">
        <v>91</v>
      </c>
      <c r="M169" t="s">
        <v>1570</v>
      </c>
      <c r="N169" t="s">
        <v>1555</v>
      </c>
    </row>
    <row r="170" spans="1:16" ht="14.25" customHeight="1">
      <c r="A170">
        <v>169</v>
      </c>
      <c r="B170" t="s">
        <v>9</v>
      </c>
      <c r="C170" t="s">
        <v>1549</v>
      </c>
      <c r="D170" t="s">
        <v>2121</v>
      </c>
      <c r="E170" t="s">
        <v>2122</v>
      </c>
      <c r="F170">
        <v>2023</v>
      </c>
      <c r="G170" t="s">
        <v>1942</v>
      </c>
      <c r="H170" t="s">
        <v>2123</v>
      </c>
      <c r="J170" t="s">
        <v>91</v>
      </c>
      <c r="K170" t="s">
        <v>91</v>
      </c>
      <c r="L170" t="s">
        <v>91</v>
      </c>
      <c r="M170" t="s">
        <v>1570</v>
      </c>
      <c r="N170" t="s">
        <v>1555</v>
      </c>
    </row>
    <row r="171" spans="1:16" ht="14.25" customHeight="1">
      <c r="A171">
        <v>170</v>
      </c>
      <c r="B171" t="s">
        <v>9</v>
      </c>
      <c r="C171" t="s">
        <v>1549</v>
      </c>
      <c r="D171" t="s">
        <v>2124</v>
      </c>
      <c r="E171" t="s">
        <v>2125</v>
      </c>
      <c r="F171">
        <v>2023</v>
      </c>
      <c r="G171" t="s">
        <v>923</v>
      </c>
      <c r="H171" t="s">
        <v>2126</v>
      </c>
      <c r="J171" t="s">
        <v>91</v>
      </c>
      <c r="K171" t="s">
        <v>91</v>
      </c>
      <c r="L171" t="s">
        <v>91</v>
      </c>
      <c r="M171" t="s">
        <v>1570</v>
      </c>
      <c r="N171" t="s">
        <v>1555</v>
      </c>
    </row>
    <row r="172" spans="1:16" ht="14.25" customHeight="1">
      <c r="A172">
        <v>171</v>
      </c>
      <c r="B172" t="s">
        <v>9</v>
      </c>
      <c r="C172" t="s">
        <v>1549</v>
      </c>
      <c r="D172" t="s">
        <v>2127</v>
      </c>
      <c r="E172" t="s">
        <v>2128</v>
      </c>
      <c r="F172">
        <v>2023</v>
      </c>
      <c r="G172" t="s">
        <v>2129</v>
      </c>
      <c r="H172" t="s">
        <v>2130</v>
      </c>
      <c r="J172" t="s">
        <v>91</v>
      </c>
      <c r="K172" t="s">
        <v>91</v>
      </c>
      <c r="L172" t="s">
        <v>91</v>
      </c>
      <c r="M172" t="s">
        <v>1570</v>
      </c>
      <c r="N172" t="s">
        <v>1588</v>
      </c>
    </row>
    <row r="173" spans="1:16" ht="14.25" customHeight="1">
      <c r="A173">
        <v>172</v>
      </c>
      <c r="B173" t="s">
        <v>9</v>
      </c>
      <c r="C173" t="s">
        <v>1549</v>
      </c>
      <c r="D173" t="s">
        <v>2131</v>
      </c>
      <c r="E173" t="s">
        <v>2132</v>
      </c>
      <c r="F173">
        <v>2023</v>
      </c>
      <c r="G173" t="s">
        <v>2133</v>
      </c>
      <c r="H173" t="s">
        <v>2134</v>
      </c>
      <c r="J173" t="s">
        <v>91</v>
      </c>
      <c r="K173" t="s">
        <v>91</v>
      </c>
      <c r="L173" t="s">
        <v>91</v>
      </c>
      <c r="M173" t="s">
        <v>1570</v>
      </c>
      <c r="N173" t="s">
        <v>1555</v>
      </c>
    </row>
    <row r="174" spans="1:16" ht="14.25" customHeight="1">
      <c r="A174">
        <v>173</v>
      </c>
      <c r="B174" t="s">
        <v>9</v>
      </c>
      <c r="C174" t="s">
        <v>1549</v>
      </c>
      <c r="D174" t="s">
        <v>2135</v>
      </c>
      <c r="E174" t="s">
        <v>2136</v>
      </c>
      <c r="F174">
        <v>2023</v>
      </c>
      <c r="G174" t="s">
        <v>1591</v>
      </c>
      <c r="H174" t="s">
        <v>2137</v>
      </c>
      <c r="J174" t="s">
        <v>91</v>
      </c>
      <c r="K174" t="s">
        <v>91</v>
      </c>
      <c r="L174" t="s">
        <v>91</v>
      </c>
      <c r="M174" t="s">
        <v>1570</v>
      </c>
      <c r="N174" t="s">
        <v>1555</v>
      </c>
    </row>
    <row r="175" spans="1:16" ht="14.25" customHeight="1">
      <c r="A175">
        <v>174</v>
      </c>
      <c r="B175" t="s">
        <v>9</v>
      </c>
      <c r="C175" t="s">
        <v>1549</v>
      </c>
      <c r="D175" t="s">
        <v>2138</v>
      </c>
      <c r="E175" t="s">
        <v>2139</v>
      </c>
      <c r="F175">
        <v>2023</v>
      </c>
      <c r="G175" t="s">
        <v>2140</v>
      </c>
      <c r="H175" t="s">
        <v>2141</v>
      </c>
      <c r="J175" t="s">
        <v>91</v>
      </c>
      <c r="K175" t="s">
        <v>91</v>
      </c>
      <c r="L175" t="s">
        <v>91</v>
      </c>
      <c r="M175" t="s">
        <v>1593</v>
      </c>
      <c r="N175" t="s">
        <v>1588</v>
      </c>
    </row>
    <row r="176" spans="1:16" ht="14.25" customHeight="1">
      <c r="A176">
        <v>175</v>
      </c>
      <c r="B176" t="s">
        <v>9</v>
      </c>
      <c r="C176" t="s">
        <v>1549</v>
      </c>
      <c r="D176" t="s">
        <v>2142</v>
      </c>
      <c r="E176" t="s">
        <v>1873</v>
      </c>
      <c r="F176">
        <v>2023</v>
      </c>
      <c r="G176" t="s">
        <v>2143</v>
      </c>
      <c r="H176" t="s">
        <v>2144</v>
      </c>
      <c r="J176" t="s">
        <v>91</v>
      </c>
      <c r="K176" t="s">
        <v>91</v>
      </c>
      <c r="L176" t="s">
        <v>91</v>
      </c>
      <c r="M176" t="s">
        <v>1587</v>
      </c>
      <c r="N176" t="s">
        <v>1588</v>
      </c>
    </row>
    <row r="177" spans="1:16" ht="14.25" customHeight="1">
      <c r="A177">
        <v>176</v>
      </c>
      <c r="B177" t="s">
        <v>9</v>
      </c>
      <c r="C177" t="s">
        <v>1549</v>
      </c>
      <c r="D177" t="s">
        <v>2145</v>
      </c>
      <c r="E177" t="s">
        <v>2146</v>
      </c>
      <c r="F177">
        <v>2023</v>
      </c>
      <c r="G177" t="s">
        <v>2129</v>
      </c>
      <c r="H177" t="s">
        <v>2147</v>
      </c>
      <c r="J177" t="s">
        <v>91</v>
      </c>
      <c r="K177" t="s">
        <v>91</v>
      </c>
      <c r="L177" t="s">
        <v>91</v>
      </c>
      <c r="M177" t="s">
        <v>1570</v>
      </c>
      <c r="N177" t="s">
        <v>1588</v>
      </c>
    </row>
    <row r="178" spans="1:16" ht="14.25" customHeight="1">
      <c r="A178">
        <v>177</v>
      </c>
      <c r="B178" t="s">
        <v>9</v>
      </c>
      <c r="C178" t="s">
        <v>1549</v>
      </c>
      <c r="D178" t="s">
        <v>2148</v>
      </c>
      <c r="E178" t="s">
        <v>2149</v>
      </c>
      <c r="F178">
        <v>2023</v>
      </c>
      <c r="G178" t="s">
        <v>2150</v>
      </c>
      <c r="H178" t="s">
        <v>2151</v>
      </c>
      <c r="J178" t="s">
        <v>91</v>
      </c>
      <c r="K178" t="s">
        <v>91</v>
      </c>
      <c r="L178" t="s">
        <v>91</v>
      </c>
      <c r="M178" t="s">
        <v>1570</v>
      </c>
      <c r="N178" t="s">
        <v>1555</v>
      </c>
    </row>
    <row r="179" spans="1:16" ht="14.25" customHeight="1">
      <c r="A179">
        <v>178</v>
      </c>
      <c r="B179" t="s">
        <v>9</v>
      </c>
      <c r="C179" t="s">
        <v>1549</v>
      </c>
      <c r="D179" t="s">
        <v>2152</v>
      </c>
      <c r="E179" t="s">
        <v>2153</v>
      </c>
      <c r="F179">
        <v>2023</v>
      </c>
      <c r="G179" t="s">
        <v>1777</v>
      </c>
      <c r="H179" t="s">
        <v>2154</v>
      </c>
      <c r="J179" t="s">
        <v>91</v>
      </c>
      <c r="K179" t="s">
        <v>91</v>
      </c>
      <c r="L179" t="s">
        <v>91</v>
      </c>
      <c r="M179" t="s">
        <v>1570</v>
      </c>
      <c r="N179" t="s">
        <v>1555</v>
      </c>
    </row>
    <row r="180" spans="1:16" ht="14.25" customHeight="1">
      <c r="A180" s="20">
        <v>179</v>
      </c>
      <c r="B180" s="20" t="s">
        <v>9</v>
      </c>
      <c r="C180" s="20" t="s">
        <v>1549</v>
      </c>
      <c r="D180" s="20" t="s">
        <v>988</v>
      </c>
      <c r="E180" s="20" t="s">
        <v>989</v>
      </c>
      <c r="F180" s="20">
        <v>2023</v>
      </c>
      <c r="G180" s="20" t="s">
        <v>923</v>
      </c>
      <c r="H180" s="20" t="s">
        <v>990</v>
      </c>
      <c r="I180" s="20"/>
      <c r="J180" s="20" t="s">
        <v>76</v>
      </c>
      <c r="K180" s="20" t="s">
        <v>76</v>
      </c>
      <c r="L180" s="20" t="s">
        <v>76</v>
      </c>
      <c r="M180" s="20" t="s">
        <v>1625</v>
      </c>
      <c r="N180" s="20" t="s">
        <v>1555</v>
      </c>
      <c r="O180" s="20"/>
      <c r="P180" s="20"/>
    </row>
    <row r="181" spans="1:16" ht="14.25" customHeight="1">
      <c r="A181">
        <v>180</v>
      </c>
      <c r="B181" t="s">
        <v>9</v>
      </c>
      <c r="C181" t="s">
        <v>1549</v>
      </c>
      <c r="D181" t="s">
        <v>2155</v>
      </c>
      <c r="E181" t="s">
        <v>2156</v>
      </c>
      <c r="F181">
        <v>2023</v>
      </c>
      <c r="G181" t="s">
        <v>2157</v>
      </c>
      <c r="H181" t="s">
        <v>2158</v>
      </c>
      <c r="J181" t="s">
        <v>91</v>
      </c>
      <c r="K181" t="s">
        <v>91</v>
      </c>
      <c r="L181" t="s">
        <v>91</v>
      </c>
      <c r="M181" t="s">
        <v>1570</v>
      </c>
      <c r="N181" t="s">
        <v>1588</v>
      </c>
    </row>
    <row r="182" spans="1:16" ht="14.25" customHeight="1">
      <c r="A182">
        <v>181</v>
      </c>
      <c r="B182" t="s">
        <v>9</v>
      </c>
      <c r="C182" t="s">
        <v>1549</v>
      </c>
      <c r="D182" t="s">
        <v>2159</v>
      </c>
      <c r="E182" t="s">
        <v>2160</v>
      </c>
      <c r="F182">
        <v>2023</v>
      </c>
      <c r="G182" t="s">
        <v>2161</v>
      </c>
      <c r="H182" t="s">
        <v>2162</v>
      </c>
      <c r="J182" t="s">
        <v>91</v>
      </c>
      <c r="K182" t="s">
        <v>91</v>
      </c>
      <c r="L182" t="s">
        <v>91</v>
      </c>
      <c r="M182" t="s">
        <v>1554</v>
      </c>
      <c r="N182" t="s">
        <v>1588</v>
      </c>
    </row>
    <row r="183" spans="1:16" ht="14.25" customHeight="1">
      <c r="A183">
        <v>182</v>
      </c>
      <c r="B183" t="s">
        <v>9</v>
      </c>
      <c r="C183" t="s">
        <v>1549</v>
      </c>
      <c r="D183" t="s">
        <v>2163</v>
      </c>
      <c r="E183" t="s">
        <v>2164</v>
      </c>
      <c r="F183">
        <v>2023</v>
      </c>
      <c r="G183" t="s">
        <v>2165</v>
      </c>
      <c r="H183" t="s">
        <v>2166</v>
      </c>
      <c r="J183" t="s">
        <v>91</v>
      </c>
      <c r="K183" t="s">
        <v>91</v>
      </c>
      <c r="L183" t="s">
        <v>91</v>
      </c>
      <c r="M183" t="s">
        <v>1570</v>
      </c>
      <c r="N183" t="s">
        <v>1588</v>
      </c>
    </row>
    <row r="184" spans="1:16" ht="14.25" customHeight="1">
      <c r="A184">
        <v>183</v>
      </c>
      <c r="B184" t="s">
        <v>9</v>
      </c>
      <c r="C184" t="s">
        <v>1549</v>
      </c>
      <c r="D184" t="s">
        <v>2167</v>
      </c>
      <c r="E184" t="s">
        <v>2168</v>
      </c>
      <c r="F184">
        <v>2023</v>
      </c>
      <c r="G184" t="s">
        <v>1949</v>
      </c>
      <c r="H184" t="s">
        <v>2169</v>
      </c>
      <c r="J184" t="s">
        <v>91</v>
      </c>
      <c r="K184" t="s">
        <v>91</v>
      </c>
      <c r="L184" t="s">
        <v>91</v>
      </c>
      <c r="M184" t="s">
        <v>1570</v>
      </c>
      <c r="N184" t="s">
        <v>1555</v>
      </c>
    </row>
    <row r="185" spans="1:16" ht="14.25" customHeight="1">
      <c r="A185">
        <v>184</v>
      </c>
      <c r="B185" t="s">
        <v>9</v>
      </c>
      <c r="C185" t="s">
        <v>1549</v>
      </c>
      <c r="D185" t="s">
        <v>2170</v>
      </c>
      <c r="E185" t="s">
        <v>2171</v>
      </c>
      <c r="F185">
        <v>2023</v>
      </c>
      <c r="G185" t="s">
        <v>1560</v>
      </c>
      <c r="H185" t="s">
        <v>2172</v>
      </c>
      <c r="J185" t="s">
        <v>91</v>
      </c>
      <c r="K185" t="s">
        <v>91</v>
      </c>
      <c r="L185" t="s">
        <v>91</v>
      </c>
      <c r="M185" t="s">
        <v>1570</v>
      </c>
      <c r="N185" t="s">
        <v>1555</v>
      </c>
    </row>
    <row r="186" spans="1:16" ht="14.25" customHeight="1">
      <c r="A186">
        <v>185</v>
      </c>
      <c r="B186" t="s">
        <v>9</v>
      </c>
      <c r="C186" t="s">
        <v>1549</v>
      </c>
      <c r="D186" t="s">
        <v>2173</v>
      </c>
      <c r="E186" t="s">
        <v>2174</v>
      </c>
      <c r="F186">
        <v>2023</v>
      </c>
      <c r="G186" t="s">
        <v>2175</v>
      </c>
      <c r="H186" t="s">
        <v>2176</v>
      </c>
      <c r="J186" t="s">
        <v>91</v>
      </c>
      <c r="K186" t="s">
        <v>91</v>
      </c>
      <c r="L186" t="s">
        <v>91</v>
      </c>
      <c r="M186" t="s">
        <v>1593</v>
      </c>
      <c r="N186" t="s">
        <v>1555</v>
      </c>
    </row>
    <row r="187" spans="1:16" ht="14.25" customHeight="1">
      <c r="A187">
        <v>186</v>
      </c>
      <c r="B187" t="s">
        <v>9</v>
      </c>
      <c r="C187" t="s">
        <v>1549</v>
      </c>
      <c r="D187" t="s">
        <v>2177</v>
      </c>
      <c r="E187" t="s">
        <v>2178</v>
      </c>
      <c r="F187">
        <v>2023</v>
      </c>
      <c r="G187" t="s">
        <v>2179</v>
      </c>
      <c r="H187" t="s">
        <v>2180</v>
      </c>
      <c r="J187" t="s">
        <v>91</v>
      </c>
      <c r="K187" t="s">
        <v>91</v>
      </c>
      <c r="L187" t="s">
        <v>91</v>
      </c>
      <c r="M187" t="s">
        <v>1570</v>
      </c>
      <c r="N187" t="s">
        <v>1555</v>
      </c>
    </row>
    <row r="188" spans="1:16" ht="14.25" customHeight="1">
      <c r="A188">
        <v>187</v>
      </c>
      <c r="B188" t="s">
        <v>9</v>
      </c>
      <c r="C188" t="s">
        <v>1549</v>
      </c>
      <c r="D188" t="s">
        <v>2181</v>
      </c>
      <c r="E188" t="s">
        <v>2182</v>
      </c>
      <c r="F188">
        <v>2023</v>
      </c>
      <c r="G188" t="s">
        <v>923</v>
      </c>
      <c r="H188" t="s">
        <v>2183</v>
      </c>
      <c r="J188" t="s">
        <v>91</v>
      </c>
      <c r="K188" t="s">
        <v>91</v>
      </c>
      <c r="L188" t="s">
        <v>91</v>
      </c>
      <c r="M188" t="s">
        <v>1570</v>
      </c>
      <c r="N188" t="s">
        <v>1555</v>
      </c>
    </row>
    <row r="189" spans="1:16" ht="14.25" customHeight="1">
      <c r="A189">
        <v>188</v>
      </c>
      <c r="B189" t="s">
        <v>9</v>
      </c>
      <c r="C189" t="s">
        <v>1549</v>
      </c>
      <c r="D189" t="s">
        <v>2184</v>
      </c>
      <c r="E189" t="s">
        <v>2185</v>
      </c>
      <c r="F189">
        <v>2023</v>
      </c>
      <c r="G189" t="s">
        <v>2186</v>
      </c>
      <c r="H189" t="s">
        <v>2187</v>
      </c>
      <c r="J189" t="s">
        <v>91</v>
      </c>
      <c r="K189" t="s">
        <v>91</v>
      </c>
      <c r="L189" t="s">
        <v>91</v>
      </c>
      <c r="M189" t="s">
        <v>1570</v>
      </c>
      <c r="N189" t="s">
        <v>1588</v>
      </c>
    </row>
    <row r="190" spans="1:16" ht="14.25" customHeight="1">
      <c r="A190">
        <v>189</v>
      </c>
      <c r="B190" t="s">
        <v>9</v>
      </c>
      <c r="C190" t="s">
        <v>1549</v>
      </c>
      <c r="D190" t="s">
        <v>2188</v>
      </c>
      <c r="E190" t="s">
        <v>2189</v>
      </c>
      <c r="F190">
        <v>2023</v>
      </c>
      <c r="G190" t="s">
        <v>2190</v>
      </c>
      <c r="H190" t="s">
        <v>2191</v>
      </c>
      <c r="J190" t="s">
        <v>91</v>
      </c>
      <c r="K190" t="s">
        <v>91</v>
      </c>
      <c r="L190" t="s">
        <v>91</v>
      </c>
      <c r="M190" t="s">
        <v>1587</v>
      </c>
      <c r="N190" t="s">
        <v>1555</v>
      </c>
    </row>
    <row r="191" spans="1:16" ht="14.25" customHeight="1">
      <c r="A191">
        <v>190</v>
      </c>
      <c r="B191" t="s">
        <v>9</v>
      </c>
      <c r="C191" t="s">
        <v>1549</v>
      </c>
      <c r="D191" t="s">
        <v>2192</v>
      </c>
      <c r="E191" t="s">
        <v>2193</v>
      </c>
      <c r="F191">
        <v>2023</v>
      </c>
      <c r="G191" t="s">
        <v>2194</v>
      </c>
      <c r="H191" t="s">
        <v>2195</v>
      </c>
      <c r="J191" t="s">
        <v>91</v>
      </c>
      <c r="K191" t="s">
        <v>91</v>
      </c>
      <c r="L191" t="s">
        <v>91</v>
      </c>
      <c r="M191" t="s">
        <v>1570</v>
      </c>
      <c r="N191" t="s">
        <v>1588</v>
      </c>
    </row>
    <row r="192" spans="1:16" ht="14.25" customHeight="1">
      <c r="A192">
        <v>191</v>
      </c>
      <c r="B192" t="s">
        <v>9</v>
      </c>
      <c r="C192" t="s">
        <v>1549</v>
      </c>
      <c r="D192" t="s">
        <v>2196</v>
      </c>
      <c r="E192" t="s">
        <v>2197</v>
      </c>
      <c r="F192">
        <v>2023</v>
      </c>
      <c r="G192" t="s">
        <v>2198</v>
      </c>
      <c r="H192" t="s">
        <v>2199</v>
      </c>
      <c r="J192" t="s">
        <v>91</v>
      </c>
      <c r="K192" t="s">
        <v>91</v>
      </c>
      <c r="L192" t="s">
        <v>91</v>
      </c>
      <c r="M192" t="s">
        <v>1570</v>
      </c>
      <c r="N192" t="s">
        <v>1588</v>
      </c>
    </row>
    <row r="193" spans="1:14" ht="14.25" customHeight="1">
      <c r="A193">
        <v>192</v>
      </c>
      <c r="B193" t="s">
        <v>9</v>
      </c>
      <c r="C193" t="s">
        <v>1549</v>
      </c>
      <c r="D193" t="s">
        <v>2200</v>
      </c>
      <c r="E193" t="s">
        <v>2201</v>
      </c>
      <c r="F193">
        <v>2023</v>
      </c>
      <c r="G193" t="s">
        <v>2202</v>
      </c>
      <c r="H193" t="s">
        <v>2203</v>
      </c>
      <c r="J193" t="s">
        <v>91</v>
      </c>
      <c r="K193" t="s">
        <v>91</v>
      </c>
      <c r="L193" t="s">
        <v>91</v>
      </c>
      <c r="M193" t="s">
        <v>1587</v>
      </c>
      <c r="N193" t="s">
        <v>1555</v>
      </c>
    </row>
    <row r="194" spans="1:14" ht="14.25" customHeight="1">
      <c r="A194">
        <v>193</v>
      </c>
      <c r="B194" t="s">
        <v>9</v>
      </c>
      <c r="C194" t="s">
        <v>1549</v>
      </c>
      <c r="D194" t="s">
        <v>2204</v>
      </c>
      <c r="E194" t="s">
        <v>2205</v>
      </c>
      <c r="F194">
        <v>2023</v>
      </c>
      <c r="G194" t="s">
        <v>969</v>
      </c>
      <c r="H194" t="s">
        <v>2206</v>
      </c>
      <c r="J194" t="s">
        <v>91</v>
      </c>
      <c r="K194" t="s">
        <v>91</v>
      </c>
      <c r="L194" t="s">
        <v>91</v>
      </c>
      <c r="M194" t="s">
        <v>1593</v>
      </c>
      <c r="N194" t="s">
        <v>1555</v>
      </c>
    </row>
    <row r="195" spans="1:14" ht="14.25" customHeight="1">
      <c r="A195">
        <v>194</v>
      </c>
      <c r="B195" t="s">
        <v>9</v>
      </c>
      <c r="C195" t="s">
        <v>1549</v>
      </c>
      <c r="D195" t="s">
        <v>2207</v>
      </c>
      <c r="E195" t="s">
        <v>2208</v>
      </c>
      <c r="F195">
        <v>2023</v>
      </c>
      <c r="G195" t="s">
        <v>2209</v>
      </c>
      <c r="H195" t="s">
        <v>2210</v>
      </c>
      <c r="J195" t="s">
        <v>91</v>
      </c>
      <c r="K195" t="s">
        <v>91</v>
      </c>
      <c r="L195" t="s">
        <v>91</v>
      </c>
      <c r="M195" t="s">
        <v>1587</v>
      </c>
      <c r="N195" t="s">
        <v>1588</v>
      </c>
    </row>
    <row r="196" spans="1:14" ht="14.25" customHeight="1">
      <c r="A196">
        <v>195</v>
      </c>
      <c r="B196" t="s">
        <v>9</v>
      </c>
      <c r="C196" t="s">
        <v>1549</v>
      </c>
      <c r="D196" t="s">
        <v>2211</v>
      </c>
      <c r="E196" t="s">
        <v>2212</v>
      </c>
      <c r="F196">
        <v>2023</v>
      </c>
      <c r="G196" t="s">
        <v>2213</v>
      </c>
      <c r="H196" t="s">
        <v>2214</v>
      </c>
      <c r="J196" t="s">
        <v>91</v>
      </c>
      <c r="K196" t="s">
        <v>91</v>
      </c>
      <c r="L196" t="s">
        <v>91</v>
      </c>
      <c r="M196" t="s">
        <v>1587</v>
      </c>
      <c r="N196" t="s">
        <v>1555</v>
      </c>
    </row>
    <row r="197" spans="1:14" ht="14.25" customHeight="1">
      <c r="A197">
        <v>196</v>
      </c>
      <c r="B197" t="s">
        <v>9</v>
      </c>
      <c r="C197" t="s">
        <v>1549</v>
      </c>
      <c r="D197" t="s">
        <v>2215</v>
      </c>
      <c r="E197" t="s">
        <v>2216</v>
      </c>
      <c r="F197">
        <v>2023</v>
      </c>
      <c r="G197" t="s">
        <v>923</v>
      </c>
      <c r="H197" t="s">
        <v>2217</v>
      </c>
      <c r="J197" t="s">
        <v>91</v>
      </c>
      <c r="K197" t="s">
        <v>91</v>
      </c>
      <c r="L197" t="s">
        <v>91</v>
      </c>
      <c r="M197" t="s">
        <v>1570</v>
      </c>
      <c r="N197" t="s">
        <v>1555</v>
      </c>
    </row>
    <row r="198" spans="1:14" ht="14.25" customHeight="1">
      <c r="A198">
        <v>197</v>
      </c>
      <c r="B198" t="s">
        <v>9</v>
      </c>
      <c r="C198" t="s">
        <v>1549</v>
      </c>
      <c r="D198" t="s">
        <v>2218</v>
      </c>
      <c r="E198" t="s">
        <v>2219</v>
      </c>
      <c r="F198">
        <v>2023</v>
      </c>
      <c r="G198" t="s">
        <v>2220</v>
      </c>
      <c r="H198" t="s">
        <v>2221</v>
      </c>
      <c r="J198" t="s">
        <v>91</v>
      </c>
      <c r="K198" t="s">
        <v>91</v>
      </c>
      <c r="L198" t="s">
        <v>91</v>
      </c>
      <c r="M198" t="s">
        <v>1570</v>
      </c>
      <c r="N198" t="s">
        <v>1555</v>
      </c>
    </row>
    <row r="199" spans="1:14" ht="14.25" customHeight="1">
      <c r="A199">
        <v>198</v>
      </c>
      <c r="B199" t="s">
        <v>9</v>
      </c>
      <c r="C199" t="s">
        <v>1549</v>
      </c>
      <c r="D199" t="s">
        <v>2222</v>
      </c>
      <c r="E199" t="s">
        <v>2223</v>
      </c>
      <c r="F199">
        <v>2023</v>
      </c>
      <c r="G199" t="s">
        <v>1676</v>
      </c>
      <c r="H199" t="s">
        <v>2224</v>
      </c>
      <c r="J199" t="s">
        <v>91</v>
      </c>
      <c r="K199" t="s">
        <v>91</v>
      </c>
      <c r="L199" t="s">
        <v>91</v>
      </c>
      <c r="M199" t="s">
        <v>1570</v>
      </c>
      <c r="N199" t="s">
        <v>1588</v>
      </c>
    </row>
    <row r="200" spans="1:14" ht="14.25" customHeight="1">
      <c r="A200">
        <v>199</v>
      </c>
      <c r="B200" t="s">
        <v>9</v>
      </c>
      <c r="C200" t="s">
        <v>1549</v>
      </c>
      <c r="D200" t="s">
        <v>2225</v>
      </c>
      <c r="E200" t="s">
        <v>2226</v>
      </c>
      <c r="F200">
        <v>2023</v>
      </c>
      <c r="G200" t="s">
        <v>2227</v>
      </c>
      <c r="H200" t="s">
        <v>2228</v>
      </c>
      <c r="J200" t="s">
        <v>91</v>
      </c>
      <c r="K200" t="s">
        <v>91</v>
      </c>
      <c r="L200" t="s">
        <v>91</v>
      </c>
      <c r="M200" t="s">
        <v>1593</v>
      </c>
      <c r="N200" t="s">
        <v>1555</v>
      </c>
    </row>
    <row r="201" spans="1:14" ht="14.25" customHeight="1">
      <c r="A201">
        <v>200</v>
      </c>
      <c r="B201" t="s">
        <v>9</v>
      </c>
      <c r="C201" t="s">
        <v>1549</v>
      </c>
      <c r="D201" t="s">
        <v>2229</v>
      </c>
      <c r="E201" t="s">
        <v>2230</v>
      </c>
      <c r="F201">
        <v>2023</v>
      </c>
      <c r="G201" t="s">
        <v>2231</v>
      </c>
      <c r="H201" t="s">
        <v>2232</v>
      </c>
      <c r="J201" t="s">
        <v>91</v>
      </c>
      <c r="K201" t="s">
        <v>91</v>
      </c>
      <c r="L201" t="s">
        <v>91</v>
      </c>
      <c r="M201" t="s">
        <v>1570</v>
      </c>
      <c r="N201" t="s">
        <v>1588</v>
      </c>
    </row>
    <row r="202" spans="1:14" ht="14.25" customHeight="1">
      <c r="A202">
        <v>201</v>
      </c>
      <c r="B202" t="s">
        <v>9</v>
      </c>
      <c r="C202" t="s">
        <v>1549</v>
      </c>
      <c r="D202" t="s">
        <v>2233</v>
      </c>
      <c r="E202" t="s">
        <v>2234</v>
      </c>
      <c r="F202">
        <v>2023</v>
      </c>
      <c r="G202" t="s">
        <v>2235</v>
      </c>
      <c r="H202" t="s">
        <v>2236</v>
      </c>
      <c r="J202" t="s">
        <v>91</v>
      </c>
      <c r="K202" t="s">
        <v>91</v>
      </c>
      <c r="L202" t="s">
        <v>91</v>
      </c>
      <c r="M202" t="s">
        <v>1570</v>
      </c>
      <c r="N202" t="s">
        <v>1588</v>
      </c>
    </row>
    <row r="203" spans="1:14" ht="14.25" customHeight="1">
      <c r="A203">
        <v>202</v>
      </c>
      <c r="B203" t="s">
        <v>9</v>
      </c>
      <c r="C203" t="s">
        <v>1549</v>
      </c>
      <c r="D203" t="s">
        <v>2237</v>
      </c>
      <c r="E203" t="s">
        <v>2238</v>
      </c>
      <c r="F203">
        <v>2023</v>
      </c>
      <c r="G203" t="s">
        <v>2239</v>
      </c>
      <c r="H203" t="s">
        <v>2240</v>
      </c>
      <c r="J203" t="s">
        <v>91</v>
      </c>
      <c r="K203" t="s">
        <v>91</v>
      </c>
      <c r="L203" t="s">
        <v>91</v>
      </c>
      <c r="M203" t="s">
        <v>1587</v>
      </c>
      <c r="N203" t="s">
        <v>1588</v>
      </c>
    </row>
    <row r="204" spans="1:14" ht="14.25" customHeight="1">
      <c r="A204">
        <v>203</v>
      </c>
      <c r="B204" t="s">
        <v>9</v>
      </c>
      <c r="C204" t="s">
        <v>1549</v>
      </c>
      <c r="D204" t="s">
        <v>2241</v>
      </c>
      <c r="E204" t="s">
        <v>2242</v>
      </c>
      <c r="F204">
        <v>2023</v>
      </c>
      <c r="G204" t="s">
        <v>1046</v>
      </c>
      <c r="H204" t="s">
        <v>2243</v>
      </c>
      <c r="J204" t="s">
        <v>91</v>
      </c>
      <c r="K204" t="s">
        <v>91</v>
      </c>
      <c r="L204" t="s">
        <v>91</v>
      </c>
      <c r="M204" t="s">
        <v>1554</v>
      </c>
      <c r="N204" t="s">
        <v>1588</v>
      </c>
    </row>
    <row r="205" spans="1:14" ht="14.25" customHeight="1">
      <c r="A205">
        <v>204</v>
      </c>
      <c r="B205" t="s">
        <v>9</v>
      </c>
      <c r="C205" t="s">
        <v>1549</v>
      </c>
      <c r="D205" t="s">
        <v>2244</v>
      </c>
      <c r="E205" t="s">
        <v>2245</v>
      </c>
      <c r="F205">
        <v>2023</v>
      </c>
      <c r="G205" t="s">
        <v>2246</v>
      </c>
      <c r="H205" t="s">
        <v>2247</v>
      </c>
      <c r="J205" t="s">
        <v>91</v>
      </c>
      <c r="K205" t="s">
        <v>91</v>
      </c>
      <c r="L205" t="s">
        <v>91</v>
      </c>
      <c r="M205" t="s">
        <v>1570</v>
      </c>
      <c r="N205" t="s">
        <v>1588</v>
      </c>
    </row>
    <row r="206" spans="1:14" ht="14.25" customHeight="1">
      <c r="A206">
        <v>205</v>
      </c>
      <c r="B206" t="s">
        <v>9</v>
      </c>
      <c r="C206" t="s">
        <v>1549</v>
      </c>
      <c r="D206" t="s">
        <v>2248</v>
      </c>
      <c r="E206" t="s">
        <v>2249</v>
      </c>
      <c r="F206">
        <v>2023</v>
      </c>
      <c r="G206" t="s">
        <v>2250</v>
      </c>
      <c r="H206" t="s">
        <v>2251</v>
      </c>
      <c r="J206" t="s">
        <v>91</v>
      </c>
      <c r="K206" t="s">
        <v>91</v>
      </c>
      <c r="L206" t="s">
        <v>91</v>
      </c>
      <c r="M206" t="s">
        <v>1570</v>
      </c>
      <c r="N206" t="s">
        <v>1588</v>
      </c>
    </row>
    <row r="207" spans="1:14" ht="14.25" customHeight="1">
      <c r="A207">
        <v>206</v>
      </c>
      <c r="B207" t="s">
        <v>9</v>
      </c>
      <c r="C207" t="s">
        <v>1549</v>
      </c>
      <c r="D207" t="s">
        <v>2252</v>
      </c>
      <c r="E207" t="s">
        <v>2253</v>
      </c>
      <c r="F207">
        <v>2023</v>
      </c>
      <c r="G207" t="s">
        <v>2254</v>
      </c>
      <c r="H207" t="s">
        <v>2255</v>
      </c>
      <c r="J207" t="s">
        <v>91</v>
      </c>
      <c r="K207" t="s">
        <v>91</v>
      </c>
      <c r="L207" t="s">
        <v>91</v>
      </c>
      <c r="M207" t="s">
        <v>1570</v>
      </c>
      <c r="N207" t="s">
        <v>1555</v>
      </c>
    </row>
    <row r="208" spans="1:14" ht="14.25" customHeight="1">
      <c r="A208">
        <v>207</v>
      </c>
      <c r="B208" t="s">
        <v>9</v>
      </c>
      <c r="C208" t="s">
        <v>1549</v>
      </c>
      <c r="D208" t="s">
        <v>2256</v>
      </c>
      <c r="E208" t="s">
        <v>2257</v>
      </c>
      <c r="F208">
        <v>2023</v>
      </c>
      <c r="G208" t="s">
        <v>2258</v>
      </c>
      <c r="H208" t="s">
        <v>2259</v>
      </c>
      <c r="J208" t="s">
        <v>91</v>
      </c>
      <c r="K208" t="s">
        <v>91</v>
      </c>
      <c r="L208" t="s">
        <v>91</v>
      </c>
      <c r="M208" t="s">
        <v>1554</v>
      </c>
      <c r="N208" t="s">
        <v>1555</v>
      </c>
    </row>
    <row r="209" spans="1:14" ht="14.25" customHeight="1">
      <c r="A209">
        <v>208</v>
      </c>
      <c r="B209" t="s">
        <v>9</v>
      </c>
      <c r="C209" t="s">
        <v>1549</v>
      </c>
      <c r="D209" t="s">
        <v>2260</v>
      </c>
      <c r="E209" t="s">
        <v>2261</v>
      </c>
      <c r="F209">
        <v>2023</v>
      </c>
      <c r="G209" t="s">
        <v>2262</v>
      </c>
      <c r="H209" t="s">
        <v>2263</v>
      </c>
      <c r="J209" t="s">
        <v>91</v>
      </c>
      <c r="K209" t="s">
        <v>91</v>
      </c>
      <c r="L209" t="s">
        <v>91</v>
      </c>
      <c r="M209" t="s">
        <v>1570</v>
      </c>
      <c r="N209" t="s">
        <v>1555</v>
      </c>
    </row>
    <row r="210" spans="1:14" ht="14.25" customHeight="1">
      <c r="A210">
        <v>209</v>
      </c>
      <c r="B210" t="s">
        <v>9</v>
      </c>
      <c r="C210" t="s">
        <v>1549</v>
      </c>
      <c r="D210" t="s">
        <v>2264</v>
      </c>
      <c r="E210" t="s">
        <v>2265</v>
      </c>
      <c r="F210">
        <v>2023</v>
      </c>
      <c r="G210" t="s">
        <v>1942</v>
      </c>
      <c r="H210" t="s">
        <v>2266</v>
      </c>
      <c r="J210" t="s">
        <v>91</v>
      </c>
      <c r="K210" t="s">
        <v>91</v>
      </c>
      <c r="L210" t="s">
        <v>91</v>
      </c>
      <c r="M210" t="s">
        <v>1593</v>
      </c>
      <c r="N210" t="s">
        <v>1555</v>
      </c>
    </row>
    <row r="211" spans="1:14" ht="14.25" customHeight="1">
      <c r="A211">
        <v>210</v>
      </c>
      <c r="B211" t="s">
        <v>9</v>
      </c>
      <c r="C211" t="s">
        <v>1549</v>
      </c>
      <c r="D211" t="s">
        <v>2267</v>
      </c>
      <c r="E211" t="s">
        <v>2268</v>
      </c>
      <c r="F211">
        <v>2023</v>
      </c>
      <c r="G211" t="s">
        <v>2269</v>
      </c>
      <c r="H211" t="s">
        <v>2270</v>
      </c>
      <c r="J211" t="s">
        <v>91</v>
      </c>
      <c r="K211" t="s">
        <v>91</v>
      </c>
      <c r="L211" t="s">
        <v>91</v>
      </c>
      <c r="M211" t="s">
        <v>1570</v>
      </c>
      <c r="N211" t="s">
        <v>1555</v>
      </c>
    </row>
    <row r="212" spans="1:14" ht="14.25" customHeight="1">
      <c r="A212">
        <v>211</v>
      </c>
      <c r="B212" t="s">
        <v>9</v>
      </c>
      <c r="C212" t="s">
        <v>1549</v>
      </c>
      <c r="D212" t="s">
        <v>2271</v>
      </c>
      <c r="E212" t="s">
        <v>2272</v>
      </c>
      <c r="F212">
        <v>2023</v>
      </c>
      <c r="G212" t="s">
        <v>2273</v>
      </c>
      <c r="H212" t="s">
        <v>2274</v>
      </c>
      <c r="J212" t="s">
        <v>91</v>
      </c>
      <c r="K212" t="s">
        <v>91</v>
      </c>
      <c r="L212" t="s">
        <v>91</v>
      </c>
      <c r="M212" t="s">
        <v>1570</v>
      </c>
      <c r="N212" t="s">
        <v>1588</v>
      </c>
    </row>
    <row r="213" spans="1:14" ht="14.25" customHeight="1">
      <c r="A213">
        <v>212</v>
      </c>
      <c r="B213" t="s">
        <v>9</v>
      </c>
      <c r="C213" t="s">
        <v>1549</v>
      </c>
      <c r="D213" t="s">
        <v>2275</v>
      </c>
      <c r="E213" t="s">
        <v>2276</v>
      </c>
      <c r="F213">
        <v>2023</v>
      </c>
      <c r="G213" t="s">
        <v>2277</v>
      </c>
      <c r="H213" t="s">
        <v>2278</v>
      </c>
      <c r="J213" t="s">
        <v>91</v>
      </c>
      <c r="K213" t="s">
        <v>91</v>
      </c>
      <c r="L213" t="s">
        <v>91</v>
      </c>
      <c r="M213" t="s">
        <v>1587</v>
      </c>
      <c r="N213" t="s">
        <v>1555</v>
      </c>
    </row>
    <row r="214" spans="1:14" ht="14.25" customHeight="1">
      <c r="A214">
        <v>213</v>
      </c>
      <c r="B214" t="s">
        <v>9</v>
      </c>
      <c r="C214" t="s">
        <v>1549</v>
      </c>
      <c r="D214" t="s">
        <v>2279</v>
      </c>
      <c r="E214" t="s">
        <v>2280</v>
      </c>
      <c r="F214">
        <v>2023</v>
      </c>
      <c r="G214" t="s">
        <v>920</v>
      </c>
      <c r="H214" t="s">
        <v>2281</v>
      </c>
      <c r="J214" t="s">
        <v>91</v>
      </c>
      <c r="K214" t="s">
        <v>91</v>
      </c>
      <c r="L214" t="s">
        <v>91</v>
      </c>
      <c r="M214" t="s">
        <v>1570</v>
      </c>
      <c r="N214" t="s">
        <v>1555</v>
      </c>
    </row>
    <row r="215" spans="1:14" ht="14.25" customHeight="1">
      <c r="A215">
        <v>214</v>
      </c>
      <c r="B215" t="s">
        <v>9</v>
      </c>
      <c r="C215" t="s">
        <v>1549</v>
      </c>
      <c r="D215" t="s">
        <v>2282</v>
      </c>
      <c r="E215" t="s">
        <v>2283</v>
      </c>
      <c r="F215">
        <v>2023</v>
      </c>
      <c r="G215" t="s">
        <v>1821</v>
      </c>
      <c r="H215" t="s">
        <v>2284</v>
      </c>
      <c r="J215" t="s">
        <v>91</v>
      </c>
      <c r="K215" t="s">
        <v>91</v>
      </c>
      <c r="L215" t="s">
        <v>91</v>
      </c>
      <c r="M215" t="s">
        <v>1587</v>
      </c>
      <c r="N215" t="s">
        <v>1588</v>
      </c>
    </row>
    <row r="216" spans="1:14" ht="14.25" customHeight="1">
      <c r="A216">
        <v>215</v>
      </c>
      <c r="B216" t="s">
        <v>9</v>
      </c>
      <c r="C216" t="s">
        <v>1549</v>
      </c>
      <c r="D216" t="s">
        <v>2285</v>
      </c>
      <c r="E216" t="s">
        <v>2286</v>
      </c>
      <c r="F216">
        <v>2023</v>
      </c>
      <c r="G216" t="s">
        <v>2287</v>
      </c>
      <c r="H216" t="s">
        <v>2288</v>
      </c>
      <c r="J216" t="s">
        <v>91</v>
      </c>
      <c r="K216" t="s">
        <v>91</v>
      </c>
      <c r="L216" t="s">
        <v>91</v>
      </c>
      <c r="M216" t="s">
        <v>1587</v>
      </c>
      <c r="N216" t="s">
        <v>1555</v>
      </c>
    </row>
    <row r="217" spans="1:14" ht="14.25" customHeight="1">
      <c r="A217">
        <v>216</v>
      </c>
      <c r="B217" t="s">
        <v>9</v>
      </c>
      <c r="C217" t="s">
        <v>1549</v>
      </c>
      <c r="D217" t="s">
        <v>2289</v>
      </c>
      <c r="E217" t="s">
        <v>2290</v>
      </c>
      <c r="F217">
        <v>2023</v>
      </c>
      <c r="G217" t="s">
        <v>2291</v>
      </c>
      <c r="H217" t="s">
        <v>2292</v>
      </c>
      <c r="J217" t="s">
        <v>91</v>
      </c>
      <c r="K217" t="s">
        <v>91</v>
      </c>
      <c r="L217" t="s">
        <v>91</v>
      </c>
      <c r="M217" t="s">
        <v>1570</v>
      </c>
      <c r="N217" t="s">
        <v>1588</v>
      </c>
    </row>
    <row r="218" spans="1:14" ht="14.25" customHeight="1">
      <c r="A218">
        <v>217</v>
      </c>
      <c r="B218" t="s">
        <v>9</v>
      </c>
      <c r="C218" t="s">
        <v>1549</v>
      </c>
      <c r="D218" t="s">
        <v>2293</v>
      </c>
      <c r="E218" t="s">
        <v>2294</v>
      </c>
      <c r="F218">
        <v>2023</v>
      </c>
      <c r="G218" t="s">
        <v>2295</v>
      </c>
      <c r="H218" t="s">
        <v>2296</v>
      </c>
      <c r="J218" t="s">
        <v>91</v>
      </c>
      <c r="K218" t="s">
        <v>91</v>
      </c>
      <c r="L218" t="s">
        <v>91</v>
      </c>
      <c r="M218" t="s">
        <v>1570</v>
      </c>
      <c r="N218" t="s">
        <v>1588</v>
      </c>
    </row>
    <row r="219" spans="1:14" ht="14.25" customHeight="1">
      <c r="A219">
        <v>218</v>
      </c>
      <c r="B219" t="s">
        <v>9</v>
      </c>
      <c r="C219" t="s">
        <v>1549</v>
      </c>
      <c r="D219" t="s">
        <v>2297</v>
      </c>
      <c r="E219" t="s">
        <v>2298</v>
      </c>
      <c r="F219">
        <v>2023</v>
      </c>
      <c r="G219" t="s">
        <v>2299</v>
      </c>
      <c r="H219" t="s">
        <v>2300</v>
      </c>
      <c r="J219" t="s">
        <v>91</v>
      </c>
      <c r="K219" t="s">
        <v>91</v>
      </c>
      <c r="L219" t="s">
        <v>91</v>
      </c>
      <c r="M219" t="s">
        <v>1570</v>
      </c>
      <c r="N219" t="s">
        <v>1555</v>
      </c>
    </row>
    <row r="220" spans="1:14" ht="14.25" customHeight="1">
      <c r="A220">
        <v>219</v>
      </c>
      <c r="B220" t="s">
        <v>9</v>
      </c>
      <c r="C220" t="s">
        <v>1549</v>
      </c>
      <c r="D220" t="s">
        <v>2301</v>
      </c>
      <c r="E220" t="s">
        <v>2302</v>
      </c>
      <c r="F220">
        <v>2023</v>
      </c>
      <c r="G220" t="s">
        <v>2303</v>
      </c>
      <c r="H220" t="s">
        <v>2304</v>
      </c>
      <c r="J220" t="s">
        <v>91</v>
      </c>
      <c r="K220" t="s">
        <v>91</v>
      </c>
      <c r="L220" t="s">
        <v>91</v>
      </c>
      <c r="M220" t="s">
        <v>1570</v>
      </c>
      <c r="N220" t="s">
        <v>1555</v>
      </c>
    </row>
    <row r="221" spans="1:14" ht="14.25" customHeight="1">
      <c r="A221">
        <v>220</v>
      </c>
      <c r="B221" t="s">
        <v>9</v>
      </c>
      <c r="C221" t="s">
        <v>1549</v>
      </c>
      <c r="D221" t="s">
        <v>2305</v>
      </c>
      <c r="E221" t="s">
        <v>2306</v>
      </c>
      <c r="F221">
        <v>2023</v>
      </c>
      <c r="G221" t="s">
        <v>2307</v>
      </c>
      <c r="H221" t="s">
        <v>2308</v>
      </c>
      <c r="J221" t="s">
        <v>91</v>
      </c>
      <c r="K221" t="s">
        <v>91</v>
      </c>
      <c r="L221" t="s">
        <v>91</v>
      </c>
      <c r="M221" t="s">
        <v>1570</v>
      </c>
      <c r="N221" t="s">
        <v>1555</v>
      </c>
    </row>
    <row r="222" spans="1:14" ht="14.25" customHeight="1">
      <c r="A222">
        <v>221</v>
      </c>
      <c r="B222" t="s">
        <v>9</v>
      </c>
      <c r="C222" t="s">
        <v>1549</v>
      </c>
      <c r="D222" t="s">
        <v>2309</v>
      </c>
      <c r="E222" t="s">
        <v>2310</v>
      </c>
      <c r="F222">
        <v>2023</v>
      </c>
      <c r="G222" t="s">
        <v>1094</v>
      </c>
      <c r="H222" t="s">
        <v>2311</v>
      </c>
      <c r="J222" t="s">
        <v>91</v>
      </c>
      <c r="K222" t="s">
        <v>91</v>
      </c>
      <c r="L222" t="s">
        <v>91</v>
      </c>
      <c r="M222" t="s">
        <v>1570</v>
      </c>
      <c r="N222" t="s">
        <v>1555</v>
      </c>
    </row>
    <row r="223" spans="1:14" ht="14.25" customHeight="1">
      <c r="A223">
        <v>222</v>
      </c>
      <c r="B223" t="s">
        <v>9</v>
      </c>
      <c r="C223" t="s">
        <v>1549</v>
      </c>
      <c r="D223" t="s">
        <v>2312</v>
      </c>
      <c r="E223" t="s">
        <v>2313</v>
      </c>
      <c r="F223">
        <v>2023</v>
      </c>
      <c r="G223" t="s">
        <v>1825</v>
      </c>
      <c r="H223" t="s">
        <v>2314</v>
      </c>
      <c r="J223" t="s">
        <v>91</v>
      </c>
      <c r="K223" t="s">
        <v>91</v>
      </c>
      <c r="L223" t="s">
        <v>91</v>
      </c>
      <c r="M223" t="s">
        <v>1570</v>
      </c>
      <c r="N223" t="s">
        <v>1555</v>
      </c>
    </row>
    <row r="224" spans="1:14" ht="14.25" customHeight="1">
      <c r="A224">
        <v>223</v>
      </c>
      <c r="B224" t="s">
        <v>9</v>
      </c>
      <c r="C224" t="s">
        <v>1549</v>
      </c>
      <c r="D224" t="s">
        <v>2315</v>
      </c>
      <c r="E224" t="s">
        <v>2316</v>
      </c>
      <c r="F224">
        <v>2023</v>
      </c>
      <c r="G224" t="s">
        <v>2317</v>
      </c>
      <c r="H224" t="s">
        <v>2318</v>
      </c>
      <c r="J224" t="s">
        <v>91</v>
      </c>
      <c r="K224" t="s">
        <v>91</v>
      </c>
      <c r="L224" t="s">
        <v>91</v>
      </c>
      <c r="M224" t="s">
        <v>1570</v>
      </c>
      <c r="N224" t="s">
        <v>1588</v>
      </c>
    </row>
    <row r="225" spans="1:14" ht="14.25" customHeight="1">
      <c r="A225">
        <v>224</v>
      </c>
      <c r="B225" t="s">
        <v>9</v>
      </c>
      <c r="C225" t="s">
        <v>1549</v>
      </c>
      <c r="D225" t="s">
        <v>2319</v>
      </c>
      <c r="E225" t="s">
        <v>2320</v>
      </c>
      <c r="F225">
        <v>2023</v>
      </c>
      <c r="G225" t="s">
        <v>1949</v>
      </c>
      <c r="H225" t="s">
        <v>2321</v>
      </c>
      <c r="J225" t="s">
        <v>91</v>
      </c>
      <c r="K225" t="s">
        <v>91</v>
      </c>
      <c r="L225" t="s">
        <v>91</v>
      </c>
      <c r="M225" t="s">
        <v>1570</v>
      </c>
      <c r="N225" t="s">
        <v>1555</v>
      </c>
    </row>
    <row r="226" spans="1:14" ht="14.25" customHeight="1">
      <c r="A226">
        <v>225</v>
      </c>
      <c r="B226" t="s">
        <v>9</v>
      </c>
      <c r="C226" t="s">
        <v>1549</v>
      </c>
      <c r="D226" t="s">
        <v>2322</v>
      </c>
      <c r="E226" t="s">
        <v>2323</v>
      </c>
      <c r="F226">
        <v>2023</v>
      </c>
      <c r="G226" t="s">
        <v>2324</v>
      </c>
      <c r="H226" t="s">
        <v>2325</v>
      </c>
      <c r="J226" t="s">
        <v>91</v>
      </c>
      <c r="K226" t="s">
        <v>91</v>
      </c>
      <c r="L226" t="s">
        <v>91</v>
      </c>
      <c r="M226" t="s">
        <v>1570</v>
      </c>
      <c r="N226" t="s">
        <v>1588</v>
      </c>
    </row>
    <row r="227" spans="1:14" ht="14.25" customHeight="1">
      <c r="A227">
        <v>226</v>
      </c>
      <c r="B227" t="s">
        <v>9</v>
      </c>
      <c r="C227" t="s">
        <v>1549</v>
      </c>
      <c r="D227" t="s">
        <v>2326</v>
      </c>
      <c r="E227" t="s">
        <v>2327</v>
      </c>
      <c r="F227">
        <v>2023</v>
      </c>
      <c r="G227" t="s">
        <v>2328</v>
      </c>
      <c r="H227" t="s">
        <v>2329</v>
      </c>
      <c r="J227" t="s">
        <v>91</v>
      </c>
      <c r="K227" t="s">
        <v>91</v>
      </c>
      <c r="L227" t="s">
        <v>91</v>
      </c>
      <c r="M227" t="s">
        <v>1570</v>
      </c>
      <c r="N227" t="s">
        <v>1555</v>
      </c>
    </row>
    <row r="228" spans="1:14" ht="14.25" customHeight="1">
      <c r="A228">
        <v>227</v>
      </c>
      <c r="B228" t="s">
        <v>9</v>
      </c>
      <c r="C228" t="s">
        <v>1549</v>
      </c>
      <c r="D228" t="s">
        <v>2330</v>
      </c>
      <c r="E228" t="s">
        <v>2331</v>
      </c>
      <c r="F228">
        <v>2023</v>
      </c>
      <c r="G228" t="s">
        <v>2332</v>
      </c>
      <c r="H228" t="s">
        <v>2333</v>
      </c>
      <c r="J228" t="s">
        <v>91</v>
      </c>
      <c r="K228" t="s">
        <v>91</v>
      </c>
      <c r="L228" t="s">
        <v>91</v>
      </c>
      <c r="M228" t="s">
        <v>1570</v>
      </c>
      <c r="N228" t="s">
        <v>1588</v>
      </c>
    </row>
    <row r="229" spans="1:14" ht="14.25" customHeight="1">
      <c r="A229">
        <v>228</v>
      </c>
      <c r="B229" t="s">
        <v>9</v>
      </c>
      <c r="C229" t="s">
        <v>1549</v>
      </c>
      <c r="D229" t="s">
        <v>2334</v>
      </c>
      <c r="E229" t="s">
        <v>2335</v>
      </c>
      <c r="F229">
        <v>2023</v>
      </c>
      <c r="G229" t="s">
        <v>2336</v>
      </c>
      <c r="H229" t="s">
        <v>2337</v>
      </c>
      <c r="J229" t="s">
        <v>91</v>
      </c>
      <c r="K229" t="s">
        <v>91</v>
      </c>
      <c r="L229" t="s">
        <v>91</v>
      </c>
      <c r="M229" t="s">
        <v>1570</v>
      </c>
      <c r="N229" t="s">
        <v>1555</v>
      </c>
    </row>
    <row r="230" spans="1:14" ht="14.25" customHeight="1">
      <c r="A230">
        <v>229</v>
      </c>
      <c r="B230" t="s">
        <v>9</v>
      </c>
      <c r="C230" t="s">
        <v>1549</v>
      </c>
      <c r="D230" t="s">
        <v>2338</v>
      </c>
      <c r="E230" t="s">
        <v>2339</v>
      </c>
      <c r="F230">
        <v>2023</v>
      </c>
      <c r="G230" t="s">
        <v>2340</v>
      </c>
      <c r="H230" t="s">
        <v>2341</v>
      </c>
      <c r="J230" t="s">
        <v>91</v>
      </c>
      <c r="K230" t="s">
        <v>91</v>
      </c>
      <c r="L230" t="s">
        <v>91</v>
      </c>
      <c r="M230" t="s">
        <v>1570</v>
      </c>
      <c r="N230" t="s">
        <v>1555</v>
      </c>
    </row>
    <row r="231" spans="1:14" ht="14.25" customHeight="1">
      <c r="A231">
        <v>230</v>
      </c>
      <c r="B231" t="s">
        <v>9</v>
      </c>
      <c r="C231" t="s">
        <v>1549</v>
      </c>
      <c r="D231" t="s">
        <v>2342</v>
      </c>
      <c r="E231" t="s">
        <v>2343</v>
      </c>
      <c r="F231">
        <v>2023</v>
      </c>
      <c r="G231" t="s">
        <v>2082</v>
      </c>
      <c r="H231" t="s">
        <v>2344</v>
      </c>
      <c r="J231" t="s">
        <v>91</v>
      </c>
      <c r="K231" t="s">
        <v>91</v>
      </c>
      <c r="L231" t="s">
        <v>91</v>
      </c>
      <c r="M231" t="s">
        <v>1570</v>
      </c>
      <c r="N231" t="s">
        <v>1555</v>
      </c>
    </row>
    <row r="232" spans="1:14" ht="14.25" customHeight="1">
      <c r="A232">
        <v>231</v>
      </c>
      <c r="B232" t="s">
        <v>9</v>
      </c>
      <c r="C232" t="s">
        <v>1549</v>
      </c>
      <c r="D232" t="s">
        <v>2345</v>
      </c>
      <c r="E232" t="s">
        <v>2346</v>
      </c>
      <c r="F232">
        <v>2023</v>
      </c>
      <c r="G232" t="s">
        <v>2347</v>
      </c>
      <c r="H232" t="s">
        <v>2348</v>
      </c>
      <c r="J232" t="s">
        <v>91</v>
      </c>
      <c r="K232" t="s">
        <v>91</v>
      </c>
      <c r="L232" t="s">
        <v>91</v>
      </c>
      <c r="M232" t="s">
        <v>1570</v>
      </c>
      <c r="N232" t="s">
        <v>1588</v>
      </c>
    </row>
    <row r="233" spans="1:14" ht="14.25" customHeight="1">
      <c r="A233">
        <v>232</v>
      </c>
      <c r="B233" t="s">
        <v>9</v>
      </c>
      <c r="C233" t="s">
        <v>1549</v>
      </c>
      <c r="D233" t="s">
        <v>2349</v>
      </c>
      <c r="E233" t="s">
        <v>2350</v>
      </c>
      <c r="F233">
        <v>2023</v>
      </c>
      <c r="G233" t="s">
        <v>969</v>
      </c>
      <c r="H233" t="s">
        <v>2351</v>
      </c>
      <c r="J233" t="s">
        <v>91</v>
      </c>
      <c r="K233" t="s">
        <v>91</v>
      </c>
      <c r="L233" t="s">
        <v>91</v>
      </c>
      <c r="M233" t="s">
        <v>1570</v>
      </c>
      <c r="N233" t="s">
        <v>1555</v>
      </c>
    </row>
    <row r="234" spans="1:14" ht="14.25" customHeight="1">
      <c r="A234">
        <v>233</v>
      </c>
      <c r="B234" t="s">
        <v>9</v>
      </c>
      <c r="C234" t="s">
        <v>1549</v>
      </c>
      <c r="D234" t="s">
        <v>2352</v>
      </c>
      <c r="E234" t="s">
        <v>2353</v>
      </c>
      <c r="F234">
        <v>2023</v>
      </c>
      <c r="G234" t="s">
        <v>2354</v>
      </c>
      <c r="H234" t="s">
        <v>2355</v>
      </c>
      <c r="J234" t="s">
        <v>91</v>
      </c>
      <c r="K234" t="s">
        <v>91</v>
      </c>
      <c r="L234" t="s">
        <v>91</v>
      </c>
      <c r="M234" t="s">
        <v>1570</v>
      </c>
      <c r="N234" t="s">
        <v>1588</v>
      </c>
    </row>
    <row r="235" spans="1:14" ht="14.25" customHeight="1">
      <c r="A235">
        <v>234</v>
      </c>
      <c r="B235" t="s">
        <v>9</v>
      </c>
      <c r="C235" t="s">
        <v>1549</v>
      </c>
      <c r="D235" t="s">
        <v>2356</v>
      </c>
      <c r="E235" t="s">
        <v>2357</v>
      </c>
      <c r="F235">
        <v>2023</v>
      </c>
      <c r="G235" t="s">
        <v>1721</v>
      </c>
      <c r="H235" t="s">
        <v>2358</v>
      </c>
      <c r="J235" t="s">
        <v>91</v>
      </c>
      <c r="K235" t="s">
        <v>91</v>
      </c>
      <c r="L235" t="s">
        <v>91</v>
      </c>
      <c r="M235" t="s">
        <v>1570</v>
      </c>
      <c r="N235" t="s">
        <v>1555</v>
      </c>
    </row>
    <row r="236" spans="1:14" ht="14.25" customHeight="1">
      <c r="A236">
        <v>235</v>
      </c>
      <c r="B236" t="s">
        <v>9</v>
      </c>
      <c r="C236" t="s">
        <v>1549</v>
      </c>
      <c r="D236" t="s">
        <v>2359</v>
      </c>
      <c r="E236" t="s">
        <v>2360</v>
      </c>
      <c r="F236">
        <v>2024</v>
      </c>
      <c r="G236" t="s">
        <v>2361</v>
      </c>
      <c r="H236" t="s">
        <v>2362</v>
      </c>
      <c r="J236" t="s">
        <v>91</v>
      </c>
      <c r="K236" t="s">
        <v>91</v>
      </c>
      <c r="L236" t="s">
        <v>91</v>
      </c>
      <c r="M236" t="s">
        <v>1593</v>
      </c>
      <c r="N236" t="s">
        <v>1555</v>
      </c>
    </row>
    <row r="237" spans="1:14" ht="14.25" customHeight="1">
      <c r="A237">
        <v>236</v>
      </c>
      <c r="B237" t="s">
        <v>9</v>
      </c>
      <c r="C237" t="s">
        <v>1549</v>
      </c>
      <c r="D237" t="s">
        <v>2363</v>
      </c>
      <c r="E237" t="s">
        <v>2364</v>
      </c>
      <c r="F237">
        <v>2024</v>
      </c>
      <c r="G237" t="s">
        <v>2365</v>
      </c>
      <c r="H237" t="s">
        <v>2366</v>
      </c>
      <c r="J237" t="s">
        <v>91</v>
      </c>
      <c r="K237" t="s">
        <v>91</v>
      </c>
      <c r="L237" t="s">
        <v>91</v>
      </c>
      <c r="M237" t="s">
        <v>1570</v>
      </c>
      <c r="N237" t="s">
        <v>1588</v>
      </c>
    </row>
    <row r="238" spans="1:14" ht="14.25" customHeight="1">
      <c r="A238">
        <v>237</v>
      </c>
      <c r="B238" t="s">
        <v>9</v>
      </c>
      <c r="C238" t="s">
        <v>1549</v>
      </c>
      <c r="D238" t="s">
        <v>2367</v>
      </c>
      <c r="E238" t="s">
        <v>2368</v>
      </c>
      <c r="F238">
        <v>2024</v>
      </c>
      <c r="G238" t="s">
        <v>923</v>
      </c>
      <c r="H238" t="s">
        <v>2369</v>
      </c>
      <c r="J238" t="s">
        <v>91</v>
      </c>
      <c r="K238" t="s">
        <v>91</v>
      </c>
      <c r="L238" t="s">
        <v>91</v>
      </c>
      <c r="M238" t="s">
        <v>1570</v>
      </c>
      <c r="N238" t="s">
        <v>1555</v>
      </c>
    </row>
    <row r="239" spans="1:14" ht="14.25" customHeight="1">
      <c r="A239">
        <v>238</v>
      </c>
      <c r="B239" t="s">
        <v>9</v>
      </c>
      <c r="C239" t="s">
        <v>1549</v>
      </c>
      <c r="D239" t="s">
        <v>2370</v>
      </c>
      <c r="E239" t="s">
        <v>2371</v>
      </c>
      <c r="F239">
        <v>2024</v>
      </c>
      <c r="G239" t="s">
        <v>2372</v>
      </c>
      <c r="H239" t="s">
        <v>2373</v>
      </c>
      <c r="J239" t="s">
        <v>91</v>
      </c>
      <c r="K239" t="s">
        <v>91</v>
      </c>
      <c r="L239" t="s">
        <v>91</v>
      </c>
      <c r="M239" t="s">
        <v>1587</v>
      </c>
      <c r="N239" t="s">
        <v>1555</v>
      </c>
    </row>
    <row r="240" spans="1:14" ht="14.25" customHeight="1">
      <c r="A240">
        <v>239</v>
      </c>
      <c r="B240" t="s">
        <v>9</v>
      </c>
      <c r="C240" t="s">
        <v>1549</v>
      </c>
      <c r="D240" t="s">
        <v>1446</v>
      </c>
      <c r="E240" t="s">
        <v>2374</v>
      </c>
      <c r="F240">
        <v>2024</v>
      </c>
      <c r="G240" t="s">
        <v>923</v>
      </c>
      <c r="H240" t="s">
        <v>2375</v>
      </c>
      <c r="J240" t="s">
        <v>91</v>
      </c>
      <c r="K240" t="s">
        <v>91</v>
      </c>
      <c r="L240" t="s">
        <v>91</v>
      </c>
      <c r="M240" t="s">
        <v>1554</v>
      </c>
      <c r="N240" t="s">
        <v>1555</v>
      </c>
    </row>
    <row r="241" spans="1:16" ht="14.25" customHeight="1">
      <c r="A241">
        <v>240</v>
      </c>
      <c r="B241" t="s">
        <v>9</v>
      </c>
      <c r="C241" t="s">
        <v>1549</v>
      </c>
      <c r="D241" t="s">
        <v>875</v>
      </c>
      <c r="E241" t="s">
        <v>2376</v>
      </c>
      <c r="F241">
        <v>2024</v>
      </c>
      <c r="G241" t="s">
        <v>1094</v>
      </c>
      <c r="H241" t="s">
        <v>2377</v>
      </c>
      <c r="J241" t="s">
        <v>91</v>
      </c>
      <c r="K241" t="s">
        <v>91</v>
      </c>
      <c r="L241" t="s">
        <v>91</v>
      </c>
      <c r="M241" t="s">
        <v>1570</v>
      </c>
      <c r="N241" t="s">
        <v>1555</v>
      </c>
    </row>
    <row r="242" spans="1:16" ht="14.25" customHeight="1">
      <c r="A242">
        <v>241</v>
      </c>
      <c r="B242" t="s">
        <v>9</v>
      </c>
      <c r="C242" t="s">
        <v>1549</v>
      </c>
      <c r="D242" t="s">
        <v>2378</v>
      </c>
      <c r="E242" t="s">
        <v>2379</v>
      </c>
      <c r="F242">
        <v>2024</v>
      </c>
      <c r="G242" t="s">
        <v>2380</v>
      </c>
      <c r="H242" t="s">
        <v>2381</v>
      </c>
      <c r="J242" t="s">
        <v>91</v>
      </c>
      <c r="K242" t="s">
        <v>91</v>
      </c>
      <c r="L242" t="s">
        <v>91</v>
      </c>
      <c r="M242" t="s">
        <v>1593</v>
      </c>
      <c r="N242" t="s">
        <v>1555</v>
      </c>
    </row>
    <row r="243" spans="1:16" ht="14.25" customHeight="1">
      <c r="A243" s="20">
        <v>242</v>
      </c>
      <c r="B243" s="20" t="s">
        <v>9</v>
      </c>
      <c r="C243" s="20" t="s">
        <v>1549</v>
      </c>
      <c r="D243" s="20" t="s">
        <v>991</v>
      </c>
      <c r="E243" s="20" t="s">
        <v>992</v>
      </c>
      <c r="F243" s="20">
        <v>2024</v>
      </c>
      <c r="G243" s="20" t="s">
        <v>993</v>
      </c>
      <c r="H243" s="20" t="s">
        <v>994</v>
      </c>
      <c r="I243" s="20"/>
      <c r="J243" s="20" t="s">
        <v>76</v>
      </c>
      <c r="K243" s="20" t="s">
        <v>76</v>
      </c>
      <c r="L243" s="20" t="s">
        <v>76</v>
      </c>
      <c r="M243" s="20" t="s">
        <v>1625</v>
      </c>
      <c r="N243" s="20" t="s">
        <v>1588</v>
      </c>
      <c r="O243" s="20"/>
      <c r="P243" s="20"/>
    </row>
    <row r="244" spans="1:16" ht="14.25" customHeight="1">
      <c r="A244">
        <v>243</v>
      </c>
      <c r="B244" t="s">
        <v>9</v>
      </c>
      <c r="C244" t="s">
        <v>1549</v>
      </c>
      <c r="D244" t="s">
        <v>2382</v>
      </c>
      <c r="E244" t="s">
        <v>2383</v>
      </c>
      <c r="F244">
        <v>2024</v>
      </c>
      <c r="G244" t="s">
        <v>2384</v>
      </c>
      <c r="H244" t="s">
        <v>2385</v>
      </c>
      <c r="J244" t="s">
        <v>91</v>
      </c>
      <c r="K244" t="s">
        <v>91</v>
      </c>
      <c r="L244" t="s">
        <v>91</v>
      </c>
      <c r="M244" t="s">
        <v>1570</v>
      </c>
      <c r="N244" t="s">
        <v>1588</v>
      </c>
    </row>
    <row r="245" spans="1:16" ht="14.25" customHeight="1">
      <c r="A245">
        <v>244</v>
      </c>
      <c r="B245" t="s">
        <v>9</v>
      </c>
      <c r="C245" t="s">
        <v>1549</v>
      </c>
      <c r="D245" t="s">
        <v>2386</v>
      </c>
      <c r="E245" t="s">
        <v>2387</v>
      </c>
      <c r="F245">
        <v>2024</v>
      </c>
      <c r="G245" t="s">
        <v>2388</v>
      </c>
      <c r="H245" t="s">
        <v>2389</v>
      </c>
      <c r="J245" t="s">
        <v>91</v>
      </c>
      <c r="K245" t="s">
        <v>91</v>
      </c>
      <c r="L245" t="s">
        <v>91</v>
      </c>
      <c r="M245" t="s">
        <v>1570</v>
      </c>
      <c r="N245" t="s">
        <v>1588</v>
      </c>
    </row>
    <row r="246" spans="1:16" ht="14.25" customHeight="1">
      <c r="A246">
        <v>245</v>
      </c>
      <c r="B246" t="s">
        <v>9</v>
      </c>
      <c r="C246" t="s">
        <v>1549</v>
      </c>
      <c r="D246" t="s">
        <v>2390</v>
      </c>
      <c r="E246" t="s">
        <v>2391</v>
      </c>
      <c r="F246">
        <v>2024</v>
      </c>
      <c r="G246" t="s">
        <v>2009</v>
      </c>
      <c r="H246" t="s">
        <v>2392</v>
      </c>
      <c r="J246" t="s">
        <v>91</v>
      </c>
      <c r="K246" t="s">
        <v>91</v>
      </c>
      <c r="L246" t="s">
        <v>91</v>
      </c>
      <c r="M246" t="s">
        <v>1593</v>
      </c>
      <c r="N246" t="s">
        <v>1555</v>
      </c>
    </row>
    <row r="247" spans="1:16" ht="14.25" customHeight="1">
      <c r="A247">
        <v>246</v>
      </c>
      <c r="B247" t="s">
        <v>9</v>
      </c>
      <c r="C247" t="s">
        <v>1549</v>
      </c>
      <c r="D247" t="s">
        <v>2393</v>
      </c>
      <c r="E247" t="s">
        <v>2394</v>
      </c>
      <c r="F247">
        <v>2024</v>
      </c>
      <c r="G247" t="s">
        <v>2395</v>
      </c>
      <c r="H247" t="s">
        <v>2396</v>
      </c>
      <c r="J247" t="s">
        <v>91</v>
      </c>
      <c r="K247" t="s">
        <v>91</v>
      </c>
      <c r="L247" t="s">
        <v>91</v>
      </c>
      <c r="M247" t="s">
        <v>1587</v>
      </c>
      <c r="N247" t="s">
        <v>1588</v>
      </c>
    </row>
    <row r="248" spans="1:16" ht="14.25" customHeight="1">
      <c r="A248">
        <v>247</v>
      </c>
      <c r="B248" t="s">
        <v>9</v>
      </c>
      <c r="C248" t="s">
        <v>1549</v>
      </c>
      <c r="D248" t="s">
        <v>2397</v>
      </c>
      <c r="E248" t="s">
        <v>2398</v>
      </c>
      <c r="F248">
        <v>2024</v>
      </c>
      <c r="G248" t="s">
        <v>2399</v>
      </c>
      <c r="H248" t="s">
        <v>2400</v>
      </c>
      <c r="J248" t="s">
        <v>91</v>
      </c>
      <c r="K248" t="s">
        <v>91</v>
      </c>
      <c r="L248" t="s">
        <v>91</v>
      </c>
      <c r="M248" t="s">
        <v>1593</v>
      </c>
      <c r="N248" t="s">
        <v>1555</v>
      </c>
    </row>
    <row r="249" spans="1:16" ht="14.25" customHeight="1">
      <c r="A249">
        <v>248</v>
      </c>
      <c r="B249" t="s">
        <v>9</v>
      </c>
      <c r="C249" t="s">
        <v>1549</v>
      </c>
      <c r="D249" t="s">
        <v>2401</v>
      </c>
      <c r="E249" t="s">
        <v>2402</v>
      </c>
      <c r="F249">
        <v>2024</v>
      </c>
      <c r="G249" t="s">
        <v>1023</v>
      </c>
      <c r="H249" t="s">
        <v>2403</v>
      </c>
      <c r="J249" t="s">
        <v>91</v>
      </c>
      <c r="K249" t="s">
        <v>91</v>
      </c>
      <c r="L249" t="s">
        <v>91</v>
      </c>
      <c r="M249" t="s">
        <v>1570</v>
      </c>
      <c r="N249" t="s">
        <v>1555</v>
      </c>
    </row>
    <row r="250" spans="1:16" ht="14.25" customHeight="1">
      <c r="A250">
        <v>249</v>
      </c>
      <c r="B250" t="s">
        <v>9</v>
      </c>
      <c r="C250" t="s">
        <v>1549</v>
      </c>
      <c r="D250" t="s">
        <v>2404</v>
      </c>
      <c r="E250" t="s">
        <v>2405</v>
      </c>
      <c r="F250">
        <v>2024</v>
      </c>
      <c r="G250" t="s">
        <v>1755</v>
      </c>
      <c r="H250" t="s">
        <v>2406</v>
      </c>
      <c r="J250" t="s">
        <v>91</v>
      </c>
      <c r="K250" t="s">
        <v>91</v>
      </c>
      <c r="L250" t="s">
        <v>91</v>
      </c>
      <c r="M250" t="s">
        <v>1570</v>
      </c>
      <c r="N250" t="s">
        <v>1555</v>
      </c>
    </row>
    <row r="251" spans="1:16" ht="14.25" customHeight="1">
      <c r="A251">
        <v>250</v>
      </c>
      <c r="B251" t="s">
        <v>9</v>
      </c>
      <c r="C251" t="s">
        <v>1549</v>
      </c>
      <c r="D251" t="s">
        <v>2407</v>
      </c>
      <c r="E251" t="s">
        <v>2408</v>
      </c>
      <c r="F251">
        <v>2024</v>
      </c>
      <c r="G251" t="s">
        <v>2409</v>
      </c>
      <c r="H251" t="s">
        <v>2410</v>
      </c>
      <c r="J251" t="s">
        <v>91</v>
      </c>
      <c r="K251" t="s">
        <v>91</v>
      </c>
      <c r="L251" t="s">
        <v>91</v>
      </c>
      <c r="M251" t="s">
        <v>1587</v>
      </c>
      <c r="N251" t="s">
        <v>1555</v>
      </c>
    </row>
    <row r="252" spans="1:16" ht="14.25" customHeight="1">
      <c r="A252">
        <v>251</v>
      </c>
      <c r="B252" t="s">
        <v>9</v>
      </c>
      <c r="C252" t="s">
        <v>1549</v>
      </c>
      <c r="D252" t="s">
        <v>892</v>
      </c>
      <c r="E252" t="s">
        <v>2411</v>
      </c>
      <c r="F252">
        <v>2024</v>
      </c>
      <c r="G252" t="s">
        <v>1612</v>
      </c>
      <c r="H252" t="s">
        <v>2412</v>
      </c>
      <c r="J252" t="s">
        <v>91</v>
      </c>
      <c r="K252" t="s">
        <v>91</v>
      </c>
      <c r="L252" t="s">
        <v>91</v>
      </c>
      <c r="M252" t="s">
        <v>1587</v>
      </c>
      <c r="N252" t="s">
        <v>1555</v>
      </c>
    </row>
    <row r="253" spans="1:16" ht="14.25" customHeight="1">
      <c r="A253">
        <v>252</v>
      </c>
      <c r="B253" t="s">
        <v>9</v>
      </c>
      <c r="C253" t="s">
        <v>1549</v>
      </c>
      <c r="D253" t="s">
        <v>2413</v>
      </c>
      <c r="E253" t="s">
        <v>2414</v>
      </c>
      <c r="F253">
        <v>2024</v>
      </c>
      <c r="G253" t="s">
        <v>1949</v>
      </c>
      <c r="H253" t="s">
        <v>2415</v>
      </c>
      <c r="J253" t="s">
        <v>91</v>
      </c>
      <c r="K253" t="s">
        <v>91</v>
      </c>
      <c r="L253" t="s">
        <v>91</v>
      </c>
      <c r="M253" t="s">
        <v>1570</v>
      </c>
      <c r="N253" t="s">
        <v>1555</v>
      </c>
    </row>
    <row r="254" spans="1:16" ht="14.25" customHeight="1">
      <c r="A254">
        <v>253</v>
      </c>
      <c r="B254" t="s">
        <v>9</v>
      </c>
      <c r="C254" t="s">
        <v>1549</v>
      </c>
      <c r="D254" t="s">
        <v>2416</v>
      </c>
      <c r="E254" t="s">
        <v>2417</v>
      </c>
      <c r="F254">
        <v>2024</v>
      </c>
      <c r="G254" t="s">
        <v>1094</v>
      </c>
      <c r="H254" t="s">
        <v>2418</v>
      </c>
      <c r="J254" t="s">
        <v>91</v>
      </c>
      <c r="K254" t="s">
        <v>91</v>
      </c>
      <c r="L254" t="s">
        <v>91</v>
      </c>
      <c r="M254" t="s">
        <v>1587</v>
      </c>
      <c r="N254" t="s">
        <v>1555</v>
      </c>
    </row>
    <row r="255" spans="1:16" ht="14.25" customHeight="1">
      <c r="A255">
        <v>254</v>
      </c>
      <c r="B255" t="s">
        <v>9</v>
      </c>
      <c r="C255" t="s">
        <v>1549</v>
      </c>
      <c r="D255" t="s">
        <v>2419</v>
      </c>
      <c r="E255" t="s">
        <v>2420</v>
      </c>
      <c r="F255">
        <v>2024</v>
      </c>
      <c r="G255" t="s">
        <v>2421</v>
      </c>
      <c r="H255" t="s">
        <v>2422</v>
      </c>
      <c r="J255" t="s">
        <v>91</v>
      </c>
      <c r="K255" t="s">
        <v>91</v>
      </c>
      <c r="L255" t="s">
        <v>91</v>
      </c>
      <c r="M255" t="s">
        <v>1570</v>
      </c>
      <c r="N255" t="s">
        <v>1588</v>
      </c>
    </row>
    <row r="256" spans="1:16" ht="14.25" customHeight="1">
      <c r="A256" s="20">
        <v>255</v>
      </c>
      <c r="B256" s="20" t="s">
        <v>9</v>
      </c>
      <c r="C256" s="20" t="s">
        <v>1549</v>
      </c>
      <c r="D256" s="20" t="s">
        <v>995</v>
      </c>
      <c r="E256" s="20" t="s">
        <v>996</v>
      </c>
      <c r="F256" s="20">
        <v>2024</v>
      </c>
      <c r="G256" s="20" t="s">
        <v>997</v>
      </c>
      <c r="H256" s="20" t="s">
        <v>998</v>
      </c>
      <c r="I256" s="20"/>
      <c r="J256" s="20" t="s">
        <v>76</v>
      </c>
      <c r="K256" s="20" t="s">
        <v>76</v>
      </c>
      <c r="L256" s="20" t="s">
        <v>76</v>
      </c>
      <c r="M256" s="20" t="s">
        <v>1625</v>
      </c>
      <c r="N256" s="20" t="s">
        <v>1588</v>
      </c>
      <c r="O256" s="20"/>
      <c r="P256" s="20"/>
    </row>
    <row r="257" spans="1:16" ht="14.25" customHeight="1">
      <c r="A257">
        <v>256</v>
      </c>
      <c r="B257" t="s">
        <v>9</v>
      </c>
      <c r="C257" t="s">
        <v>1549</v>
      </c>
      <c r="D257" t="s">
        <v>2423</v>
      </c>
      <c r="E257" t="s">
        <v>2424</v>
      </c>
      <c r="F257">
        <v>2024</v>
      </c>
      <c r="G257" t="s">
        <v>2161</v>
      </c>
      <c r="H257" t="s">
        <v>2425</v>
      </c>
      <c r="J257" t="s">
        <v>91</v>
      </c>
      <c r="K257" t="s">
        <v>91</v>
      </c>
      <c r="L257" t="s">
        <v>91</v>
      </c>
      <c r="M257" t="s">
        <v>1587</v>
      </c>
      <c r="N257" t="s">
        <v>1588</v>
      </c>
    </row>
    <row r="258" spans="1:16" ht="14.25" customHeight="1">
      <c r="A258" s="20">
        <v>257</v>
      </c>
      <c r="B258" s="20" t="s">
        <v>9</v>
      </c>
      <c r="C258" s="20" t="s">
        <v>1549</v>
      </c>
      <c r="D258" s="20" t="s">
        <v>999</v>
      </c>
      <c r="E258" s="20" t="s">
        <v>1000</v>
      </c>
      <c r="F258" s="20">
        <v>2024</v>
      </c>
      <c r="G258" s="20" t="s">
        <v>1001</v>
      </c>
      <c r="H258" s="20" t="s">
        <v>1002</v>
      </c>
      <c r="I258" s="20"/>
      <c r="J258" s="20" t="s">
        <v>76</v>
      </c>
      <c r="K258" s="20" t="s">
        <v>76</v>
      </c>
      <c r="L258" s="20" t="s">
        <v>76</v>
      </c>
      <c r="M258" s="20" t="s">
        <v>1625</v>
      </c>
      <c r="N258" s="20" t="s">
        <v>1555</v>
      </c>
      <c r="O258" s="20"/>
      <c r="P258" s="20"/>
    </row>
    <row r="259" spans="1:16" ht="14.25" customHeight="1">
      <c r="A259" s="20">
        <v>258</v>
      </c>
      <c r="B259" s="20" t="s">
        <v>9</v>
      </c>
      <c r="C259" s="20" t="s">
        <v>1549</v>
      </c>
      <c r="D259" s="20" t="s">
        <v>1003</v>
      </c>
      <c r="E259" s="20" t="s">
        <v>1004</v>
      </c>
      <c r="F259" s="20">
        <v>2024</v>
      </c>
      <c r="G259" s="20" t="s">
        <v>923</v>
      </c>
      <c r="H259" s="20" t="s">
        <v>1005</v>
      </c>
      <c r="I259" s="20"/>
      <c r="J259" s="20" t="s">
        <v>76</v>
      </c>
      <c r="K259" s="20" t="s">
        <v>76</v>
      </c>
      <c r="L259" s="20" t="s">
        <v>76</v>
      </c>
      <c r="M259" s="20" t="s">
        <v>1625</v>
      </c>
      <c r="N259" s="20" t="s">
        <v>1555</v>
      </c>
      <c r="O259" s="20"/>
      <c r="P259" s="20"/>
    </row>
    <row r="260" spans="1:16" ht="14.25" customHeight="1">
      <c r="A260">
        <v>259</v>
      </c>
      <c r="B260" t="s">
        <v>9</v>
      </c>
      <c r="C260" t="s">
        <v>1549</v>
      </c>
      <c r="D260" t="s">
        <v>739</v>
      </c>
      <c r="E260" t="s">
        <v>2426</v>
      </c>
      <c r="F260">
        <v>2024</v>
      </c>
      <c r="G260" t="s">
        <v>923</v>
      </c>
      <c r="H260" t="s">
        <v>2427</v>
      </c>
      <c r="J260" t="s">
        <v>91</v>
      </c>
      <c r="K260" t="s">
        <v>91</v>
      </c>
      <c r="L260" t="s">
        <v>91</v>
      </c>
      <c r="M260" t="s">
        <v>1587</v>
      </c>
      <c r="N260" t="s">
        <v>1555</v>
      </c>
    </row>
    <row r="261" spans="1:16" ht="14.25" customHeight="1">
      <c r="A261">
        <v>260</v>
      </c>
      <c r="B261" t="s">
        <v>9</v>
      </c>
      <c r="C261" t="s">
        <v>1549</v>
      </c>
      <c r="D261" t="s">
        <v>2428</v>
      </c>
      <c r="E261" t="s">
        <v>2429</v>
      </c>
      <c r="F261">
        <v>2024</v>
      </c>
      <c r="G261" t="s">
        <v>2430</v>
      </c>
      <c r="H261" t="s">
        <v>2431</v>
      </c>
      <c r="J261" t="s">
        <v>91</v>
      </c>
      <c r="K261" t="s">
        <v>91</v>
      </c>
      <c r="L261" t="s">
        <v>91</v>
      </c>
      <c r="M261" t="s">
        <v>1593</v>
      </c>
      <c r="N261" t="s">
        <v>1555</v>
      </c>
    </row>
    <row r="262" spans="1:16" ht="14.25" customHeight="1">
      <c r="A262" s="20">
        <v>261</v>
      </c>
      <c r="B262" s="20" t="s">
        <v>9</v>
      </c>
      <c r="C262" s="20" t="s">
        <v>1549</v>
      </c>
      <c r="D262" s="20" t="s">
        <v>1006</v>
      </c>
      <c r="E262" s="20" t="s">
        <v>1007</v>
      </c>
      <c r="F262" s="20">
        <v>2024</v>
      </c>
      <c r="G262" s="20" t="s">
        <v>1008</v>
      </c>
      <c r="H262" s="20" t="s">
        <v>1009</v>
      </c>
      <c r="I262" s="20"/>
      <c r="J262" s="20" t="s">
        <v>76</v>
      </c>
      <c r="K262" s="20" t="s">
        <v>76</v>
      </c>
      <c r="L262" s="20" t="s">
        <v>76</v>
      </c>
      <c r="M262" s="20" t="s">
        <v>1625</v>
      </c>
      <c r="N262" s="20" t="s">
        <v>1588</v>
      </c>
      <c r="O262" s="20"/>
      <c r="P262" s="20"/>
    </row>
    <row r="263" spans="1:16" ht="14.25" customHeight="1">
      <c r="A263" s="20">
        <v>262</v>
      </c>
      <c r="B263" s="20" t="s">
        <v>9</v>
      </c>
      <c r="C263" s="20" t="s">
        <v>1549</v>
      </c>
      <c r="D263" s="20" t="s">
        <v>1010</v>
      </c>
      <c r="E263" s="20" t="s">
        <v>1011</v>
      </c>
      <c r="F263" s="20">
        <v>2024</v>
      </c>
      <c r="G263" s="20" t="s">
        <v>923</v>
      </c>
      <c r="H263" s="20" t="s">
        <v>1012</v>
      </c>
      <c r="I263" s="20"/>
      <c r="J263" s="20" t="s">
        <v>76</v>
      </c>
      <c r="K263" s="20" t="s">
        <v>76</v>
      </c>
      <c r="L263" s="20" t="s">
        <v>76</v>
      </c>
      <c r="M263" s="20" t="s">
        <v>1625</v>
      </c>
      <c r="N263" s="20" t="s">
        <v>1555</v>
      </c>
      <c r="O263" s="20"/>
      <c r="P263" s="20"/>
    </row>
    <row r="264" spans="1:16" ht="14.25" customHeight="1">
      <c r="A264">
        <v>263</v>
      </c>
      <c r="B264" t="s">
        <v>9</v>
      </c>
      <c r="C264" t="s">
        <v>1549</v>
      </c>
      <c r="D264" t="s">
        <v>2432</v>
      </c>
      <c r="E264" t="s">
        <v>2433</v>
      </c>
      <c r="F264">
        <v>2024</v>
      </c>
      <c r="G264" t="s">
        <v>1755</v>
      </c>
      <c r="H264" t="s">
        <v>2434</v>
      </c>
      <c r="J264" t="s">
        <v>91</v>
      </c>
      <c r="K264" t="s">
        <v>91</v>
      </c>
      <c r="L264" t="s">
        <v>91</v>
      </c>
      <c r="M264" t="s">
        <v>1570</v>
      </c>
      <c r="N264" t="s">
        <v>1555</v>
      </c>
    </row>
    <row r="265" spans="1:16" ht="14.25" customHeight="1">
      <c r="A265">
        <v>264</v>
      </c>
      <c r="B265" t="s">
        <v>9</v>
      </c>
      <c r="C265" t="s">
        <v>1549</v>
      </c>
      <c r="D265" t="s">
        <v>2435</v>
      </c>
      <c r="E265" t="s">
        <v>2436</v>
      </c>
      <c r="F265">
        <v>2024</v>
      </c>
      <c r="G265" t="s">
        <v>2437</v>
      </c>
      <c r="H265" t="s">
        <v>2438</v>
      </c>
      <c r="J265" t="s">
        <v>91</v>
      </c>
      <c r="K265" t="s">
        <v>91</v>
      </c>
      <c r="L265" t="s">
        <v>91</v>
      </c>
      <c r="M265" t="s">
        <v>1570</v>
      </c>
      <c r="N265" t="s">
        <v>1555</v>
      </c>
    </row>
    <row r="266" spans="1:16" ht="14.25" customHeight="1">
      <c r="A266" s="20">
        <v>265</v>
      </c>
      <c r="B266" s="20" t="s">
        <v>9</v>
      </c>
      <c r="C266" s="20" t="s">
        <v>1549</v>
      </c>
      <c r="D266" s="20" t="s">
        <v>1013</v>
      </c>
      <c r="E266" s="20" t="s">
        <v>1014</v>
      </c>
      <c r="F266" s="20">
        <v>2024</v>
      </c>
      <c r="G266" s="20" t="s">
        <v>1015</v>
      </c>
      <c r="H266" s="20" t="s">
        <v>1016</v>
      </c>
      <c r="I266" s="20"/>
      <c r="J266" s="20" t="s">
        <v>76</v>
      </c>
      <c r="K266" s="20" t="s">
        <v>76</v>
      </c>
      <c r="L266" s="20" t="s">
        <v>76</v>
      </c>
      <c r="M266" s="20" t="s">
        <v>1625</v>
      </c>
      <c r="N266" s="20" t="s">
        <v>1588</v>
      </c>
      <c r="O266" s="20"/>
      <c r="P266" s="20"/>
    </row>
    <row r="267" spans="1:16" ht="14.25" customHeight="1">
      <c r="A267">
        <v>266</v>
      </c>
      <c r="B267" t="s">
        <v>9</v>
      </c>
      <c r="C267" t="s">
        <v>1549</v>
      </c>
      <c r="D267" t="s">
        <v>2439</v>
      </c>
      <c r="E267" t="s">
        <v>2440</v>
      </c>
      <c r="F267">
        <v>2024</v>
      </c>
      <c r="G267" t="s">
        <v>923</v>
      </c>
      <c r="H267" t="s">
        <v>2441</v>
      </c>
      <c r="J267" t="s">
        <v>91</v>
      </c>
      <c r="K267" t="s">
        <v>91</v>
      </c>
      <c r="L267" t="s">
        <v>91</v>
      </c>
      <c r="M267" t="s">
        <v>1570</v>
      </c>
      <c r="N267" t="s">
        <v>1555</v>
      </c>
    </row>
    <row r="268" spans="1:16" ht="14.25" customHeight="1">
      <c r="A268">
        <v>267</v>
      </c>
      <c r="B268" t="s">
        <v>9</v>
      </c>
      <c r="C268" t="s">
        <v>1549</v>
      </c>
      <c r="D268" t="s">
        <v>2442</v>
      </c>
      <c r="E268" t="s">
        <v>2443</v>
      </c>
      <c r="F268">
        <v>2024</v>
      </c>
      <c r="G268" t="s">
        <v>923</v>
      </c>
      <c r="H268" t="s">
        <v>2444</v>
      </c>
      <c r="J268" t="s">
        <v>91</v>
      </c>
      <c r="K268" t="s">
        <v>91</v>
      </c>
      <c r="L268" t="s">
        <v>91</v>
      </c>
      <c r="M268" t="s">
        <v>1570</v>
      </c>
      <c r="N268" t="s">
        <v>1555</v>
      </c>
    </row>
    <row r="269" spans="1:16" ht="14.25" customHeight="1">
      <c r="A269">
        <v>268</v>
      </c>
      <c r="B269" t="s">
        <v>9</v>
      </c>
      <c r="C269" t="s">
        <v>1549</v>
      </c>
      <c r="D269" t="s">
        <v>2445</v>
      </c>
      <c r="E269" t="s">
        <v>1603</v>
      </c>
      <c r="F269">
        <v>2024</v>
      </c>
      <c r="G269" t="s">
        <v>969</v>
      </c>
      <c r="H269" t="s">
        <v>2446</v>
      </c>
      <c r="J269" t="s">
        <v>91</v>
      </c>
      <c r="K269" t="s">
        <v>91</v>
      </c>
      <c r="L269" t="s">
        <v>91</v>
      </c>
      <c r="M269" t="s">
        <v>1570</v>
      </c>
      <c r="N269" t="s">
        <v>1555</v>
      </c>
    </row>
    <row r="270" spans="1:16" ht="14.25" customHeight="1">
      <c r="A270">
        <v>269</v>
      </c>
      <c r="B270" t="s">
        <v>9</v>
      </c>
      <c r="C270" t="s">
        <v>1549</v>
      </c>
      <c r="D270" t="s">
        <v>2447</v>
      </c>
      <c r="E270" t="s">
        <v>2448</v>
      </c>
      <c r="F270">
        <v>2024</v>
      </c>
      <c r="G270" t="s">
        <v>1942</v>
      </c>
      <c r="H270" t="s">
        <v>2449</v>
      </c>
      <c r="J270" t="s">
        <v>91</v>
      </c>
      <c r="K270" t="s">
        <v>91</v>
      </c>
      <c r="L270" t="s">
        <v>91</v>
      </c>
      <c r="M270" t="s">
        <v>1593</v>
      </c>
      <c r="N270" t="s">
        <v>1555</v>
      </c>
    </row>
    <row r="271" spans="1:16" ht="14.25" customHeight="1">
      <c r="A271">
        <v>270</v>
      </c>
      <c r="B271" t="s">
        <v>9</v>
      </c>
      <c r="C271" t="s">
        <v>1549</v>
      </c>
      <c r="D271" t="s">
        <v>2450</v>
      </c>
      <c r="E271" t="s">
        <v>2451</v>
      </c>
      <c r="F271">
        <v>2024</v>
      </c>
      <c r="G271" t="s">
        <v>1117</v>
      </c>
      <c r="H271" t="s">
        <v>2452</v>
      </c>
      <c r="J271" t="s">
        <v>91</v>
      </c>
      <c r="K271" t="s">
        <v>91</v>
      </c>
      <c r="L271" t="s">
        <v>91</v>
      </c>
      <c r="M271" t="s">
        <v>1570</v>
      </c>
      <c r="N271" t="s">
        <v>1588</v>
      </c>
    </row>
    <row r="272" spans="1:16" ht="14.25" customHeight="1">
      <c r="A272">
        <v>271</v>
      </c>
      <c r="B272" t="s">
        <v>9</v>
      </c>
      <c r="C272" t="s">
        <v>1549</v>
      </c>
      <c r="D272" t="s">
        <v>2453</v>
      </c>
      <c r="E272" t="s">
        <v>2116</v>
      </c>
      <c r="F272">
        <v>2024</v>
      </c>
      <c r="G272" t="s">
        <v>1094</v>
      </c>
      <c r="H272" t="s">
        <v>2454</v>
      </c>
      <c r="J272" t="s">
        <v>91</v>
      </c>
      <c r="K272" t="s">
        <v>91</v>
      </c>
      <c r="L272" t="s">
        <v>91</v>
      </c>
      <c r="M272" t="s">
        <v>1570</v>
      </c>
      <c r="N272" t="s">
        <v>1555</v>
      </c>
    </row>
    <row r="273" spans="1:14" ht="14.25" customHeight="1">
      <c r="A273">
        <v>272</v>
      </c>
      <c r="B273" t="s">
        <v>9</v>
      </c>
      <c r="C273" t="s">
        <v>1549</v>
      </c>
      <c r="D273" t="s">
        <v>2455</v>
      </c>
      <c r="E273" t="s">
        <v>2456</v>
      </c>
      <c r="F273">
        <v>2024</v>
      </c>
      <c r="G273" t="s">
        <v>2457</v>
      </c>
      <c r="H273" t="s">
        <v>2458</v>
      </c>
      <c r="J273" t="s">
        <v>91</v>
      </c>
      <c r="K273" t="s">
        <v>91</v>
      </c>
      <c r="L273" t="s">
        <v>91</v>
      </c>
      <c r="M273" t="s">
        <v>1593</v>
      </c>
      <c r="N273" t="s">
        <v>1555</v>
      </c>
    </row>
    <row r="274" spans="1:14" ht="14.25" customHeight="1">
      <c r="A274">
        <v>273</v>
      </c>
      <c r="B274" t="s">
        <v>9</v>
      </c>
      <c r="C274" t="s">
        <v>1549</v>
      </c>
      <c r="D274" t="s">
        <v>2459</v>
      </c>
      <c r="E274" t="s">
        <v>2460</v>
      </c>
      <c r="F274">
        <v>2024</v>
      </c>
      <c r="G274" t="s">
        <v>2461</v>
      </c>
      <c r="H274" t="s">
        <v>2462</v>
      </c>
      <c r="J274" t="s">
        <v>91</v>
      </c>
      <c r="K274" t="s">
        <v>91</v>
      </c>
      <c r="L274" t="s">
        <v>91</v>
      </c>
      <c r="M274" t="s">
        <v>1570</v>
      </c>
      <c r="N274" t="s">
        <v>1555</v>
      </c>
    </row>
    <row r="275" spans="1:14" ht="14.25" customHeight="1">
      <c r="A275">
        <v>274</v>
      </c>
      <c r="B275" t="s">
        <v>9</v>
      </c>
      <c r="C275" t="s">
        <v>1549</v>
      </c>
      <c r="D275" t="s">
        <v>2463</v>
      </c>
      <c r="E275" t="s">
        <v>2464</v>
      </c>
      <c r="F275">
        <v>2024</v>
      </c>
      <c r="G275" t="s">
        <v>923</v>
      </c>
      <c r="H275" t="s">
        <v>2465</v>
      </c>
      <c r="J275" t="s">
        <v>91</v>
      </c>
      <c r="K275" t="s">
        <v>91</v>
      </c>
      <c r="L275" t="s">
        <v>91</v>
      </c>
      <c r="M275" t="s">
        <v>1570</v>
      </c>
      <c r="N275" t="s">
        <v>1555</v>
      </c>
    </row>
    <row r="276" spans="1:14" ht="14.25" customHeight="1">
      <c r="A276">
        <v>275</v>
      </c>
      <c r="B276" t="s">
        <v>9</v>
      </c>
      <c r="C276" t="s">
        <v>1549</v>
      </c>
      <c r="D276" t="s">
        <v>2466</v>
      </c>
      <c r="E276" t="s">
        <v>2467</v>
      </c>
      <c r="F276">
        <v>2024</v>
      </c>
      <c r="G276" t="s">
        <v>2361</v>
      </c>
      <c r="H276" t="s">
        <v>2468</v>
      </c>
      <c r="J276" t="s">
        <v>91</v>
      </c>
      <c r="K276" t="s">
        <v>91</v>
      </c>
      <c r="L276" t="s">
        <v>91</v>
      </c>
      <c r="M276" t="s">
        <v>1570</v>
      </c>
      <c r="N276" t="s">
        <v>1555</v>
      </c>
    </row>
    <row r="277" spans="1:14" ht="14.25" customHeight="1">
      <c r="A277">
        <v>276</v>
      </c>
      <c r="B277" t="s">
        <v>9</v>
      </c>
      <c r="C277" t="s">
        <v>1549</v>
      </c>
      <c r="D277" t="s">
        <v>2469</v>
      </c>
      <c r="E277" t="s">
        <v>2470</v>
      </c>
      <c r="F277">
        <v>2024</v>
      </c>
      <c r="G277" t="s">
        <v>2471</v>
      </c>
      <c r="H277" t="s">
        <v>2472</v>
      </c>
      <c r="J277" t="s">
        <v>91</v>
      </c>
      <c r="K277" t="s">
        <v>91</v>
      </c>
      <c r="L277" t="s">
        <v>91</v>
      </c>
      <c r="M277" t="s">
        <v>1593</v>
      </c>
      <c r="N277" t="s">
        <v>1555</v>
      </c>
    </row>
    <row r="278" spans="1:14" ht="14.25" customHeight="1">
      <c r="A278">
        <v>277</v>
      </c>
      <c r="B278" t="s">
        <v>9</v>
      </c>
      <c r="C278" t="s">
        <v>1549</v>
      </c>
      <c r="D278" t="s">
        <v>2473</v>
      </c>
      <c r="E278" t="s">
        <v>2474</v>
      </c>
      <c r="F278">
        <v>2024</v>
      </c>
      <c r="G278" t="s">
        <v>1733</v>
      </c>
      <c r="H278" t="s">
        <v>2475</v>
      </c>
      <c r="J278" t="s">
        <v>91</v>
      </c>
      <c r="K278" t="s">
        <v>91</v>
      </c>
      <c r="L278" t="s">
        <v>91</v>
      </c>
      <c r="M278" t="s">
        <v>1554</v>
      </c>
      <c r="N278" t="s">
        <v>1555</v>
      </c>
    </row>
    <row r="279" spans="1:14" ht="14.25" customHeight="1">
      <c r="A279">
        <v>278</v>
      </c>
      <c r="B279" t="s">
        <v>9</v>
      </c>
      <c r="C279" t="s">
        <v>1549</v>
      </c>
      <c r="D279" t="s">
        <v>2476</v>
      </c>
      <c r="E279" t="s">
        <v>2477</v>
      </c>
      <c r="F279">
        <v>2024</v>
      </c>
      <c r="G279" t="s">
        <v>1121</v>
      </c>
      <c r="H279" t="s">
        <v>2478</v>
      </c>
      <c r="J279" t="s">
        <v>91</v>
      </c>
      <c r="K279" t="s">
        <v>91</v>
      </c>
      <c r="L279" t="s">
        <v>91</v>
      </c>
      <c r="M279" t="s">
        <v>1593</v>
      </c>
      <c r="N279" t="s">
        <v>1588</v>
      </c>
    </row>
    <row r="280" spans="1:14" ht="14.25" customHeight="1">
      <c r="A280">
        <v>279</v>
      </c>
      <c r="B280" t="s">
        <v>9</v>
      </c>
      <c r="C280" t="s">
        <v>1549</v>
      </c>
      <c r="D280" t="s">
        <v>2479</v>
      </c>
      <c r="E280" t="s">
        <v>2480</v>
      </c>
      <c r="F280">
        <v>2024</v>
      </c>
      <c r="G280" t="s">
        <v>1117</v>
      </c>
      <c r="H280" t="s">
        <v>2481</v>
      </c>
      <c r="J280" t="s">
        <v>91</v>
      </c>
      <c r="K280" t="s">
        <v>91</v>
      </c>
      <c r="L280" t="s">
        <v>91</v>
      </c>
      <c r="M280" t="s">
        <v>1570</v>
      </c>
      <c r="N280" t="s">
        <v>1588</v>
      </c>
    </row>
    <row r="281" spans="1:14" ht="14.25" customHeight="1">
      <c r="A281">
        <v>280</v>
      </c>
      <c r="B281" t="s">
        <v>9</v>
      </c>
      <c r="C281" t="s">
        <v>1549</v>
      </c>
      <c r="D281" t="s">
        <v>2482</v>
      </c>
      <c r="E281" t="s">
        <v>2483</v>
      </c>
      <c r="F281">
        <v>2024</v>
      </c>
      <c r="G281" t="s">
        <v>923</v>
      </c>
      <c r="H281" t="s">
        <v>2484</v>
      </c>
      <c r="J281" t="s">
        <v>91</v>
      </c>
      <c r="K281" t="s">
        <v>91</v>
      </c>
      <c r="L281" t="s">
        <v>91</v>
      </c>
      <c r="M281" t="s">
        <v>1570</v>
      </c>
      <c r="N281" t="s">
        <v>1555</v>
      </c>
    </row>
    <row r="282" spans="1:14" ht="14.25" customHeight="1">
      <c r="A282">
        <v>281</v>
      </c>
      <c r="B282" t="s">
        <v>9</v>
      </c>
      <c r="C282" t="s">
        <v>1549</v>
      </c>
      <c r="D282" t="s">
        <v>2485</v>
      </c>
      <c r="E282" t="s">
        <v>2486</v>
      </c>
      <c r="F282">
        <v>2024</v>
      </c>
      <c r="G282" t="s">
        <v>2487</v>
      </c>
      <c r="H282" t="s">
        <v>2488</v>
      </c>
      <c r="J282" t="s">
        <v>91</v>
      </c>
      <c r="K282" t="s">
        <v>91</v>
      </c>
      <c r="L282" t="s">
        <v>91</v>
      </c>
      <c r="M282" t="s">
        <v>1570</v>
      </c>
      <c r="N282" t="s">
        <v>1588</v>
      </c>
    </row>
    <row r="283" spans="1:14" ht="14.25" customHeight="1">
      <c r="A283">
        <v>282</v>
      </c>
      <c r="B283" t="s">
        <v>9</v>
      </c>
      <c r="C283" t="s">
        <v>1549</v>
      </c>
      <c r="D283" t="s">
        <v>2489</v>
      </c>
      <c r="E283" t="s">
        <v>2490</v>
      </c>
      <c r="F283">
        <v>2024</v>
      </c>
      <c r="G283" t="s">
        <v>2491</v>
      </c>
      <c r="H283" t="s">
        <v>2492</v>
      </c>
      <c r="J283" t="s">
        <v>91</v>
      </c>
      <c r="K283" t="s">
        <v>91</v>
      </c>
      <c r="L283" t="s">
        <v>91</v>
      </c>
      <c r="M283" t="s">
        <v>1570</v>
      </c>
      <c r="N283" t="s">
        <v>1555</v>
      </c>
    </row>
    <row r="284" spans="1:14" ht="14.25" customHeight="1">
      <c r="A284">
        <v>283</v>
      </c>
      <c r="B284" t="s">
        <v>9</v>
      </c>
      <c r="C284" t="s">
        <v>1549</v>
      </c>
      <c r="D284" t="s">
        <v>2493</v>
      </c>
      <c r="E284" t="s">
        <v>2494</v>
      </c>
      <c r="F284">
        <v>2024</v>
      </c>
      <c r="G284" t="s">
        <v>2495</v>
      </c>
      <c r="H284" t="s">
        <v>2496</v>
      </c>
      <c r="J284" t="s">
        <v>91</v>
      </c>
      <c r="K284" t="s">
        <v>91</v>
      </c>
      <c r="L284" t="s">
        <v>91</v>
      </c>
      <c r="M284" t="s">
        <v>1593</v>
      </c>
      <c r="N284" t="s">
        <v>1588</v>
      </c>
    </row>
    <row r="285" spans="1:14" ht="14.25" customHeight="1">
      <c r="A285">
        <v>284</v>
      </c>
      <c r="B285" t="s">
        <v>9</v>
      </c>
      <c r="C285" t="s">
        <v>1549</v>
      </c>
      <c r="D285" t="s">
        <v>2497</v>
      </c>
      <c r="E285" t="s">
        <v>2498</v>
      </c>
      <c r="F285">
        <v>2024</v>
      </c>
      <c r="G285" t="s">
        <v>923</v>
      </c>
      <c r="H285" t="s">
        <v>2499</v>
      </c>
      <c r="J285" t="s">
        <v>91</v>
      </c>
      <c r="K285" t="s">
        <v>91</v>
      </c>
      <c r="L285" t="s">
        <v>91</v>
      </c>
      <c r="M285" t="s">
        <v>1570</v>
      </c>
      <c r="N285" t="s">
        <v>1555</v>
      </c>
    </row>
    <row r="286" spans="1:14" ht="14.25" customHeight="1">
      <c r="A286">
        <v>285</v>
      </c>
      <c r="B286" t="s">
        <v>9</v>
      </c>
      <c r="C286" t="s">
        <v>1549</v>
      </c>
      <c r="D286" t="s">
        <v>2500</v>
      </c>
      <c r="E286" t="s">
        <v>2501</v>
      </c>
      <c r="F286">
        <v>2024</v>
      </c>
      <c r="G286" t="s">
        <v>2502</v>
      </c>
      <c r="H286" t="s">
        <v>2503</v>
      </c>
      <c r="J286" t="s">
        <v>91</v>
      </c>
      <c r="K286" t="s">
        <v>91</v>
      </c>
      <c r="L286" t="s">
        <v>91</v>
      </c>
      <c r="M286" t="s">
        <v>1570</v>
      </c>
      <c r="N286" t="s">
        <v>1588</v>
      </c>
    </row>
    <row r="287" spans="1:14" ht="14.25" customHeight="1">
      <c r="A287">
        <v>286</v>
      </c>
      <c r="B287" t="s">
        <v>9</v>
      </c>
      <c r="C287" t="s">
        <v>1549</v>
      </c>
      <c r="D287" t="s">
        <v>2504</v>
      </c>
      <c r="E287" t="s">
        <v>2505</v>
      </c>
      <c r="F287">
        <v>2024</v>
      </c>
      <c r="G287" t="s">
        <v>1755</v>
      </c>
      <c r="H287" t="s">
        <v>2506</v>
      </c>
      <c r="J287" t="s">
        <v>91</v>
      </c>
      <c r="K287" t="s">
        <v>91</v>
      </c>
      <c r="L287" t="s">
        <v>91</v>
      </c>
      <c r="M287" t="s">
        <v>1570</v>
      </c>
      <c r="N287" t="s">
        <v>1555</v>
      </c>
    </row>
    <row r="288" spans="1:14" ht="14.25" customHeight="1">
      <c r="A288">
        <v>287</v>
      </c>
      <c r="B288" t="s">
        <v>9</v>
      </c>
      <c r="C288" t="s">
        <v>1549</v>
      </c>
      <c r="D288" t="s">
        <v>2507</v>
      </c>
      <c r="E288" t="s">
        <v>2508</v>
      </c>
      <c r="F288">
        <v>2024</v>
      </c>
      <c r="G288" t="s">
        <v>2509</v>
      </c>
      <c r="H288" t="s">
        <v>2510</v>
      </c>
      <c r="J288" t="s">
        <v>91</v>
      </c>
      <c r="K288" t="s">
        <v>91</v>
      </c>
      <c r="L288" t="s">
        <v>91</v>
      </c>
      <c r="M288" t="s">
        <v>1587</v>
      </c>
      <c r="N288" t="s">
        <v>1555</v>
      </c>
    </row>
    <row r="289" spans="1:14" ht="14.25" customHeight="1">
      <c r="A289">
        <v>288</v>
      </c>
      <c r="B289" t="s">
        <v>9</v>
      </c>
      <c r="C289" t="s">
        <v>1549</v>
      </c>
      <c r="D289" t="s">
        <v>2511</v>
      </c>
      <c r="E289" t="s">
        <v>2512</v>
      </c>
      <c r="F289">
        <v>2024</v>
      </c>
      <c r="G289" t="s">
        <v>2513</v>
      </c>
      <c r="H289" t="s">
        <v>2514</v>
      </c>
      <c r="J289" t="s">
        <v>91</v>
      </c>
      <c r="K289" t="s">
        <v>91</v>
      </c>
      <c r="L289" t="s">
        <v>91</v>
      </c>
      <c r="M289" t="s">
        <v>1570</v>
      </c>
      <c r="N289" t="s">
        <v>1588</v>
      </c>
    </row>
    <row r="290" spans="1:14" ht="14.25" customHeight="1">
      <c r="A290">
        <v>289</v>
      </c>
      <c r="B290" t="s">
        <v>9</v>
      </c>
      <c r="C290" t="s">
        <v>1549</v>
      </c>
      <c r="D290" t="s">
        <v>2515</v>
      </c>
      <c r="E290" t="s">
        <v>2516</v>
      </c>
      <c r="F290">
        <v>2024</v>
      </c>
      <c r="G290" t="s">
        <v>1073</v>
      </c>
      <c r="H290" t="s">
        <v>2517</v>
      </c>
      <c r="J290" t="s">
        <v>91</v>
      </c>
      <c r="K290" t="s">
        <v>91</v>
      </c>
      <c r="L290" t="s">
        <v>91</v>
      </c>
      <c r="M290" t="s">
        <v>1570</v>
      </c>
      <c r="N290" t="s">
        <v>1555</v>
      </c>
    </row>
    <row r="291" spans="1:14" ht="14.25" customHeight="1">
      <c r="A291">
        <v>290</v>
      </c>
      <c r="B291" t="s">
        <v>9</v>
      </c>
      <c r="C291" t="s">
        <v>1549</v>
      </c>
      <c r="D291" t="s">
        <v>2518</v>
      </c>
      <c r="E291" t="s">
        <v>2519</v>
      </c>
      <c r="F291">
        <v>2024</v>
      </c>
      <c r="G291" t="s">
        <v>2520</v>
      </c>
      <c r="H291" t="s">
        <v>2521</v>
      </c>
      <c r="J291" t="s">
        <v>91</v>
      </c>
      <c r="K291" t="s">
        <v>91</v>
      </c>
      <c r="L291" t="s">
        <v>91</v>
      </c>
      <c r="M291" t="s">
        <v>1570</v>
      </c>
      <c r="N291" t="s">
        <v>1588</v>
      </c>
    </row>
    <row r="292" spans="1:14" ht="14.25" customHeight="1">
      <c r="A292">
        <v>291</v>
      </c>
      <c r="B292" t="s">
        <v>9</v>
      </c>
      <c r="C292" t="s">
        <v>1549</v>
      </c>
      <c r="D292" t="s">
        <v>2522</v>
      </c>
      <c r="E292" t="s">
        <v>2523</v>
      </c>
      <c r="F292">
        <v>2024</v>
      </c>
      <c r="G292" t="s">
        <v>2524</v>
      </c>
      <c r="H292" t="s">
        <v>2525</v>
      </c>
      <c r="J292" t="s">
        <v>91</v>
      </c>
      <c r="K292" t="s">
        <v>91</v>
      </c>
      <c r="L292" t="s">
        <v>91</v>
      </c>
      <c r="M292" t="s">
        <v>1587</v>
      </c>
      <c r="N292" t="s">
        <v>1588</v>
      </c>
    </row>
    <row r="293" spans="1:14" ht="14.25" customHeight="1">
      <c r="A293">
        <v>292</v>
      </c>
      <c r="B293" t="s">
        <v>9</v>
      </c>
      <c r="C293" t="s">
        <v>1549</v>
      </c>
      <c r="D293" t="s">
        <v>2526</v>
      </c>
      <c r="E293" t="s">
        <v>2527</v>
      </c>
      <c r="F293">
        <v>2024</v>
      </c>
      <c r="G293" t="s">
        <v>2528</v>
      </c>
      <c r="H293" t="s">
        <v>2529</v>
      </c>
      <c r="J293" t="s">
        <v>91</v>
      </c>
      <c r="K293" t="s">
        <v>91</v>
      </c>
      <c r="L293" t="s">
        <v>91</v>
      </c>
      <c r="M293" t="s">
        <v>1593</v>
      </c>
      <c r="N293" t="s">
        <v>1555</v>
      </c>
    </row>
    <row r="294" spans="1:14" ht="14.25" customHeight="1">
      <c r="A294">
        <v>293</v>
      </c>
      <c r="B294" t="s">
        <v>9</v>
      </c>
      <c r="C294" t="s">
        <v>1549</v>
      </c>
      <c r="D294" t="s">
        <v>2530</v>
      </c>
      <c r="E294" t="s">
        <v>2531</v>
      </c>
      <c r="F294">
        <v>2024</v>
      </c>
      <c r="G294" t="s">
        <v>923</v>
      </c>
      <c r="H294" t="s">
        <v>2532</v>
      </c>
      <c r="J294" t="s">
        <v>91</v>
      </c>
      <c r="K294" t="s">
        <v>91</v>
      </c>
      <c r="L294" t="s">
        <v>91</v>
      </c>
      <c r="M294" t="s">
        <v>1570</v>
      </c>
      <c r="N294" t="s">
        <v>1555</v>
      </c>
    </row>
    <row r="295" spans="1:14" ht="14.25" customHeight="1">
      <c r="A295">
        <v>294</v>
      </c>
      <c r="B295" t="s">
        <v>9</v>
      </c>
      <c r="C295" t="s">
        <v>1549</v>
      </c>
      <c r="D295" t="s">
        <v>2533</v>
      </c>
      <c r="E295" t="s">
        <v>2534</v>
      </c>
      <c r="F295">
        <v>2024</v>
      </c>
      <c r="G295" t="s">
        <v>2175</v>
      </c>
      <c r="H295" t="s">
        <v>2535</v>
      </c>
      <c r="J295" t="s">
        <v>91</v>
      </c>
      <c r="K295" t="s">
        <v>91</v>
      </c>
      <c r="L295" t="s">
        <v>91</v>
      </c>
      <c r="M295" t="s">
        <v>1593</v>
      </c>
      <c r="N295" t="s">
        <v>1555</v>
      </c>
    </row>
    <row r="296" spans="1:14" ht="14.25" customHeight="1">
      <c r="A296">
        <v>295</v>
      </c>
      <c r="B296" t="s">
        <v>9</v>
      </c>
      <c r="C296" t="s">
        <v>1549</v>
      </c>
      <c r="D296" t="s">
        <v>2536</v>
      </c>
      <c r="E296" t="s">
        <v>2537</v>
      </c>
      <c r="F296">
        <v>2024</v>
      </c>
      <c r="G296" t="s">
        <v>2538</v>
      </c>
      <c r="H296" t="s">
        <v>2539</v>
      </c>
      <c r="J296" t="s">
        <v>91</v>
      </c>
      <c r="K296" t="s">
        <v>91</v>
      </c>
      <c r="L296" t="s">
        <v>91</v>
      </c>
      <c r="M296" t="s">
        <v>1570</v>
      </c>
      <c r="N296" t="s">
        <v>1588</v>
      </c>
    </row>
    <row r="297" spans="1:14" ht="14.25" customHeight="1">
      <c r="A297">
        <v>296</v>
      </c>
      <c r="B297" t="s">
        <v>9</v>
      </c>
      <c r="C297" t="s">
        <v>1549</v>
      </c>
      <c r="D297" t="s">
        <v>2540</v>
      </c>
      <c r="E297" t="s">
        <v>2541</v>
      </c>
      <c r="F297">
        <v>2024</v>
      </c>
      <c r="G297" t="s">
        <v>2542</v>
      </c>
      <c r="H297" t="s">
        <v>2543</v>
      </c>
      <c r="J297" t="s">
        <v>91</v>
      </c>
      <c r="K297" t="s">
        <v>91</v>
      </c>
      <c r="L297" t="s">
        <v>91</v>
      </c>
      <c r="M297" t="s">
        <v>1570</v>
      </c>
      <c r="N297" t="s">
        <v>1588</v>
      </c>
    </row>
    <row r="298" spans="1:14" ht="14.25" customHeight="1">
      <c r="A298">
        <v>297</v>
      </c>
      <c r="B298" t="s">
        <v>9</v>
      </c>
      <c r="C298" t="s">
        <v>1549</v>
      </c>
      <c r="D298" t="s">
        <v>2544</v>
      </c>
      <c r="E298" t="s">
        <v>2545</v>
      </c>
      <c r="F298">
        <v>2024</v>
      </c>
      <c r="G298" t="s">
        <v>923</v>
      </c>
      <c r="H298" t="s">
        <v>2546</v>
      </c>
      <c r="J298" t="s">
        <v>91</v>
      </c>
      <c r="K298" t="s">
        <v>91</v>
      </c>
      <c r="L298" t="s">
        <v>91</v>
      </c>
      <c r="M298" t="s">
        <v>1570</v>
      </c>
      <c r="N298" t="s">
        <v>1555</v>
      </c>
    </row>
    <row r="299" spans="1:14" ht="14.25" customHeight="1">
      <c r="A299">
        <v>298</v>
      </c>
      <c r="B299" t="s">
        <v>9</v>
      </c>
      <c r="C299" t="s">
        <v>1549</v>
      </c>
      <c r="D299" t="s">
        <v>2547</v>
      </c>
      <c r="E299" t="s">
        <v>2548</v>
      </c>
      <c r="F299">
        <v>2024</v>
      </c>
      <c r="G299" t="s">
        <v>1117</v>
      </c>
      <c r="H299" t="s">
        <v>2549</v>
      </c>
      <c r="J299" t="s">
        <v>91</v>
      </c>
      <c r="K299" t="s">
        <v>91</v>
      </c>
      <c r="L299" t="s">
        <v>91</v>
      </c>
      <c r="M299" t="s">
        <v>1570</v>
      </c>
      <c r="N299" t="s">
        <v>1588</v>
      </c>
    </row>
    <row r="300" spans="1:14" ht="14.25" customHeight="1">
      <c r="A300">
        <v>299</v>
      </c>
      <c r="B300" t="s">
        <v>9</v>
      </c>
      <c r="C300" t="s">
        <v>1549</v>
      </c>
      <c r="D300" t="s">
        <v>2550</v>
      </c>
      <c r="E300" t="s">
        <v>2551</v>
      </c>
      <c r="F300">
        <v>2024</v>
      </c>
      <c r="G300" t="s">
        <v>2552</v>
      </c>
      <c r="H300" t="s">
        <v>2553</v>
      </c>
      <c r="J300" t="s">
        <v>91</v>
      </c>
      <c r="K300" t="s">
        <v>91</v>
      </c>
      <c r="L300" t="s">
        <v>91</v>
      </c>
      <c r="M300" t="s">
        <v>1570</v>
      </c>
      <c r="N300" t="s">
        <v>1588</v>
      </c>
    </row>
    <row r="301" spans="1:14" ht="14.25" customHeight="1">
      <c r="A301">
        <v>300</v>
      </c>
      <c r="B301" t="s">
        <v>9</v>
      </c>
      <c r="C301" t="s">
        <v>1549</v>
      </c>
      <c r="D301" t="s">
        <v>2554</v>
      </c>
      <c r="E301" t="s">
        <v>2555</v>
      </c>
      <c r="F301">
        <v>2024</v>
      </c>
      <c r="G301" t="s">
        <v>1885</v>
      </c>
      <c r="H301" t="s">
        <v>2556</v>
      </c>
      <c r="J301" t="s">
        <v>91</v>
      </c>
      <c r="K301" t="s">
        <v>91</v>
      </c>
      <c r="L301" t="s">
        <v>91</v>
      </c>
      <c r="M301" t="s">
        <v>1570</v>
      </c>
      <c r="N301" t="s">
        <v>1588</v>
      </c>
    </row>
    <row r="302" spans="1:14" ht="14.25" customHeight="1">
      <c r="A302">
        <v>301</v>
      </c>
      <c r="B302" t="s">
        <v>9</v>
      </c>
      <c r="C302" t="s">
        <v>1549</v>
      </c>
      <c r="D302" t="s">
        <v>2557</v>
      </c>
      <c r="E302" t="s">
        <v>2558</v>
      </c>
      <c r="F302">
        <v>2024</v>
      </c>
      <c r="G302" t="s">
        <v>2559</v>
      </c>
      <c r="H302" t="s">
        <v>2560</v>
      </c>
      <c r="J302" t="s">
        <v>91</v>
      </c>
      <c r="K302" t="s">
        <v>91</v>
      </c>
      <c r="L302" t="s">
        <v>91</v>
      </c>
      <c r="M302" t="s">
        <v>1587</v>
      </c>
      <c r="N302" t="s">
        <v>1588</v>
      </c>
    </row>
    <row r="303" spans="1:14" ht="14.25" customHeight="1">
      <c r="A303">
        <v>302</v>
      </c>
      <c r="B303" t="s">
        <v>9</v>
      </c>
      <c r="C303" t="s">
        <v>1549</v>
      </c>
      <c r="D303" t="s">
        <v>2561</v>
      </c>
      <c r="E303" t="s">
        <v>2562</v>
      </c>
      <c r="F303">
        <v>2024</v>
      </c>
      <c r="G303" t="s">
        <v>2563</v>
      </c>
      <c r="H303" t="s">
        <v>2564</v>
      </c>
      <c r="J303" t="s">
        <v>91</v>
      </c>
      <c r="K303" t="s">
        <v>91</v>
      </c>
      <c r="L303" t="s">
        <v>91</v>
      </c>
      <c r="M303" t="s">
        <v>1570</v>
      </c>
      <c r="N303" t="s">
        <v>1555</v>
      </c>
    </row>
    <row r="304" spans="1:14" ht="14.25" customHeight="1">
      <c r="A304">
        <v>303</v>
      </c>
      <c r="B304" t="s">
        <v>9</v>
      </c>
      <c r="C304" t="s">
        <v>1549</v>
      </c>
      <c r="D304" t="s">
        <v>2565</v>
      </c>
      <c r="E304" t="s">
        <v>2566</v>
      </c>
      <c r="F304">
        <v>2024</v>
      </c>
      <c r="G304" t="s">
        <v>1066</v>
      </c>
      <c r="H304" t="s">
        <v>2567</v>
      </c>
      <c r="J304" t="s">
        <v>91</v>
      </c>
      <c r="K304" t="s">
        <v>91</v>
      </c>
      <c r="L304" t="s">
        <v>91</v>
      </c>
      <c r="M304" t="s">
        <v>1554</v>
      </c>
      <c r="N304" t="s">
        <v>1588</v>
      </c>
    </row>
    <row r="305" spans="1:14" ht="14.25" customHeight="1">
      <c r="A305">
        <v>304</v>
      </c>
      <c r="B305" t="s">
        <v>9</v>
      </c>
      <c r="C305" t="s">
        <v>1549</v>
      </c>
      <c r="D305" t="s">
        <v>2568</v>
      </c>
      <c r="E305" t="s">
        <v>2569</v>
      </c>
      <c r="F305">
        <v>2024</v>
      </c>
      <c r="G305" t="s">
        <v>1949</v>
      </c>
      <c r="H305" t="s">
        <v>2570</v>
      </c>
      <c r="J305" t="s">
        <v>91</v>
      </c>
      <c r="K305" t="s">
        <v>91</v>
      </c>
      <c r="L305" t="s">
        <v>91</v>
      </c>
      <c r="M305" t="s">
        <v>1570</v>
      </c>
      <c r="N305" t="s">
        <v>1555</v>
      </c>
    </row>
    <row r="306" spans="1:14" ht="14.25" customHeight="1">
      <c r="A306">
        <v>305</v>
      </c>
      <c r="B306" t="s">
        <v>9</v>
      </c>
      <c r="C306" t="s">
        <v>1549</v>
      </c>
      <c r="D306" t="s">
        <v>2571</v>
      </c>
      <c r="E306" t="s">
        <v>2572</v>
      </c>
      <c r="F306">
        <v>2024</v>
      </c>
      <c r="G306" t="s">
        <v>2179</v>
      </c>
      <c r="H306" t="s">
        <v>2573</v>
      </c>
      <c r="J306" t="s">
        <v>91</v>
      </c>
      <c r="K306" t="s">
        <v>91</v>
      </c>
      <c r="L306" t="s">
        <v>91</v>
      </c>
      <c r="M306" t="s">
        <v>1587</v>
      </c>
      <c r="N306" t="s">
        <v>1555</v>
      </c>
    </row>
    <row r="307" spans="1:14" ht="14.25" customHeight="1">
      <c r="A307">
        <v>306</v>
      </c>
      <c r="B307" t="s">
        <v>9</v>
      </c>
      <c r="C307" t="s">
        <v>1549</v>
      </c>
      <c r="D307" t="s">
        <v>2574</v>
      </c>
      <c r="E307" t="s">
        <v>2575</v>
      </c>
      <c r="F307">
        <v>2024</v>
      </c>
      <c r="G307" t="s">
        <v>2576</v>
      </c>
      <c r="H307" t="s">
        <v>2577</v>
      </c>
      <c r="J307" t="s">
        <v>91</v>
      </c>
      <c r="K307" t="s">
        <v>91</v>
      </c>
      <c r="L307" t="s">
        <v>91</v>
      </c>
      <c r="M307" t="s">
        <v>1570</v>
      </c>
      <c r="N307" t="s">
        <v>1588</v>
      </c>
    </row>
    <row r="308" spans="1:14" ht="14.25" customHeight="1">
      <c r="A308">
        <v>307</v>
      </c>
      <c r="B308" t="s">
        <v>9</v>
      </c>
      <c r="C308" t="s">
        <v>1549</v>
      </c>
      <c r="D308" t="s">
        <v>2578</v>
      </c>
      <c r="E308" t="s">
        <v>2579</v>
      </c>
      <c r="F308">
        <v>2024</v>
      </c>
      <c r="G308" t="s">
        <v>2580</v>
      </c>
      <c r="H308" t="s">
        <v>2581</v>
      </c>
      <c r="J308" t="s">
        <v>91</v>
      </c>
      <c r="K308" t="s">
        <v>91</v>
      </c>
      <c r="L308" t="s">
        <v>91</v>
      </c>
      <c r="M308" t="s">
        <v>1554</v>
      </c>
      <c r="N308" t="s">
        <v>1588</v>
      </c>
    </row>
    <row r="309" spans="1:14" ht="14.25" customHeight="1">
      <c r="A309">
        <v>308</v>
      </c>
      <c r="B309" t="s">
        <v>9</v>
      </c>
      <c r="C309" t="s">
        <v>1549</v>
      </c>
      <c r="D309" t="s">
        <v>2582</v>
      </c>
      <c r="E309" t="s">
        <v>2583</v>
      </c>
      <c r="F309">
        <v>2024</v>
      </c>
      <c r="G309" t="s">
        <v>1591</v>
      </c>
      <c r="H309" t="s">
        <v>2584</v>
      </c>
      <c r="J309" t="s">
        <v>91</v>
      </c>
      <c r="K309" t="s">
        <v>91</v>
      </c>
      <c r="L309" t="s">
        <v>91</v>
      </c>
      <c r="M309" t="s">
        <v>1554</v>
      </c>
      <c r="N309" t="s">
        <v>1555</v>
      </c>
    </row>
    <row r="310" spans="1:14" ht="14.25" customHeight="1">
      <c r="A310">
        <v>309</v>
      </c>
      <c r="B310" t="s">
        <v>9</v>
      </c>
      <c r="C310" t="s">
        <v>1549</v>
      </c>
      <c r="D310" t="s">
        <v>2585</v>
      </c>
      <c r="E310" t="s">
        <v>2586</v>
      </c>
      <c r="F310">
        <v>2024</v>
      </c>
      <c r="G310" t="s">
        <v>2587</v>
      </c>
      <c r="H310" t="s">
        <v>2588</v>
      </c>
      <c r="J310" t="s">
        <v>91</v>
      </c>
      <c r="K310" t="s">
        <v>91</v>
      </c>
      <c r="L310" t="s">
        <v>91</v>
      </c>
      <c r="M310" t="s">
        <v>1587</v>
      </c>
      <c r="N310" t="s">
        <v>1555</v>
      </c>
    </row>
    <row r="311" spans="1:14" ht="14.25" customHeight="1">
      <c r="A311">
        <v>310</v>
      </c>
      <c r="B311" t="s">
        <v>9</v>
      </c>
      <c r="C311" t="s">
        <v>1549</v>
      </c>
      <c r="D311" t="s">
        <v>2589</v>
      </c>
      <c r="E311" t="s">
        <v>2590</v>
      </c>
      <c r="F311">
        <v>2024</v>
      </c>
      <c r="G311" t="s">
        <v>2591</v>
      </c>
      <c r="H311" t="s">
        <v>2592</v>
      </c>
      <c r="J311" t="s">
        <v>91</v>
      </c>
      <c r="K311" t="s">
        <v>91</v>
      </c>
      <c r="L311" t="s">
        <v>91</v>
      </c>
      <c r="M311" t="s">
        <v>1570</v>
      </c>
      <c r="N311" t="s">
        <v>1555</v>
      </c>
    </row>
    <row r="312" spans="1:14" ht="14.25" customHeight="1">
      <c r="A312">
        <v>311</v>
      </c>
      <c r="B312" t="s">
        <v>9</v>
      </c>
      <c r="C312" t="s">
        <v>1549</v>
      </c>
      <c r="D312" t="s">
        <v>2593</v>
      </c>
      <c r="E312" t="s">
        <v>2594</v>
      </c>
      <c r="F312">
        <v>2024</v>
      </c>
      <c r="G312" t="s">
        <v>2595</v>
      </c>
      <c r="H312" t="s">
        <v>2596</v>
      </c>
      <c r="J312" t="s">
        <v>91</v>
      </c>
      <c r="K312" t="s">
        <v>91</v>
      </c>
      <c r="L312" t="s">
        <v>91</v>
      </c>
      <c r="M312" t="s">
        <v>1570</v>
      </c>
      <c r="N312" t="s">
        <v>1555</v>
      </c>
    </row>
    <row r="313" spans="1:14" ht="14.25" customHeight="1">
      <c r="A313">
        <v>312</v>
      </c>
      <c r="B313" t="s">
        <v>9</v>
      </c>
      <c r="C313" t="s">
        <v>1549</v>
      </c>
      <c r="D313" t="s">
        <v>2597</v>
      </c>
      <c r="E313" t="s">
        <v>2598</v>
      </c>
      <c r="F313">
        <v>2024</v>
      </c>
      <c r="G313" t="s">
        <v>923</v>
      </c>
      <c r="H313" t="s">
        <v>2599</v>
      </c>
      <c r="J313" t="s">
        <v>91</v>
      </c>
      <c r="K313" t="s">
        <v>91</v>
      </c>
      <c r="L313" t="s">
        <v>91</v>
      </c>
      <c r="M313" t="s">
        <v>1570</v>
      </c>
      <c r="N313" t="s">
        <v>1555</v>
      </c>
    </row>
    <row r="314" spans="1:14" ht="14.25" customHeight="1">
      <c r="A314">
        <v>313</v>
      </c>
      <c r="B314" t="s">
        <v>9</v>
      </c>
      <c r="C314" t="s">
        <v>1549</v>
      </c>
      <c r="D314" t="s">
        <v>2600</v>
      </c>
      <c r="E314" t="s">
        <v>2601</v>
      </c>
      <c r="F314">
        <v>2024</v>
      </c>
      <c r="G314" t="s">
        <v>2602</v>
      </c>
      <c r="H314" t="s">
        <v>2603</v>
      </c>
      <c r="J314" t="s">
        <v>91</v>
      </c>
      <c r="K314" t="s">
        <v>91</v>
      </c>
      <c r="L314" t="s">
        <v>91</v>
      </c>
      <c r="M314" t="s">
        <v>1570</v>
      </c>
      <c r="N314" t="s">
        <v>1588</v>
      </c>
    </row>
    <row r="315" spans="1:14" ht="14.25" customHeight="1">
      <c r="A315">
        <v>314</v>
      </c>
      <c r="B315" t="s">
        <v>9</v>
      </c>
      <c r="C315" t="s">
        <v>1549</v>
      </c>
      <c r="D315" t="s">
        <v>2604</v>
      </c>
      <c r="E315" t="s">
        <v>2605</v>
      </c>
      <c r="F315">
        <v>2024</v>
      </c>
      <c r="G315" t="s">
        <v>2606</v>
      </c>
      <c r="H315" t="s">
        <v>2607</v>
      </c>
      <c r="J315" t="s">
        <v>91</v>
      </c>
      <c r="K315" t="s">
        <v>91</v>
      </c>
      <c r="L315" t="s">
        <v>91</v>
      </c>
      <c r="M315" t="s">
        <v>1587</v>
      </c>
      <c r="N315" t="s">
        <v>1588</v>
      </c>
    </row>
    <row r="316" spans="1:14" ht="14.25" customHeight="1">
      <c r="A316">
        <v>315</v>
      </c>
      <c r="B316" t="s">
        <v>9</v>
      </c>
      <c r="C316" t="s">
        <v>1549</v>
      </c>
      <c r="D316" t="s">
        <v>2608</v>
      </c>
      <c r="E316" t="s">
        <v>2609</v>
      </c>
      <c r="F316">
        <v>2024</v>
      </c>
      <c r="G316" t="s">
        <v>2610</v>
      </c>
      <c r="H316" t="s">
        <v>2611</v>
      </c>
      <c r="J316" t="s">
        <v>91</v>
      </c>
      <c r="K316" t="s">
        <v>91</v>
      </c>
      <c r="L316" t="s">
        <v>91</v>
      </c>
      <c r="M316" t="s">
        <v>1570</v>
      </c>
      <c r="N316" t="s">
        <v>1588</v>
      </c>
    </row>
    <row r="317" spans="1:14" ht="14.25" customHeight="1">
      <c r="A317">
        <v>316</v>
      </c>
      <c r="B317" t="s">
        <v>9</v>
      </c>
      <c r="C317" t="s">
        <v>1549</v>
      </c>
      <c r="D317" t="s">
        <v>2612</v>
      </c>
      <c r="E317" t="s">
        <v>2613</v>
      </c>
      <c r="F317">
        <v>2024</v>
      </c>
      <c r="G317" t="s">
        <v>2614</v>
      </c>
      <c r="H317" t="s">
        <v>2615</v>
      </c>
      <c r="J317" t="s">
        <v>91</v>
      </c>
      <c r="K317" t="s">
        <v>91</v>
      </c>
      <c r="L317" t="s">
        <v>91</v>
      </c>
      <c r="M317" t="s">
        <v>1570</v>
      </c>
      <c r="N317" t="s">
        <v>1588</v>
      </c>
    </row>
    <row r="318" spans="1:14" ht="14.25" customHeight="1">
      <c r="A318">
        <v>317</v>
      </c>
      <c r="B318" t="s">
        <v>9</v>
      </c>
      <c r="C318" t="s">
        <v>1549</v>
      </c>
      <c r="D318" t="s">
        <v>2616</v>
      </c>
      <c r="E318" t="s">
        <v>2617</v>
      </c>
      <c r="F318">
        <v>2024</v>
      </c>
      <c r="G318" t="s">
        <v>1760</v>
      </c>
      <c r="H318" t="s">
        <v>2618</v>
      </c>
      <c r="J318" t="s">
        <v>91</v>
      </c>
      <c r="K318" t="s">
        <v>91</v>
      </c>
      <c r="L318" t="s">
        <v>91</v>
      </c>
      <c r="M318" t="s">
        <v>1593</v>
      </c>
      <c r="N318" t="s">
        <v>1555</v>
      </c>
    </row>
    <row r="319" spans="1:14" ht="14.25" customHeight="1">
      <c r="A319">
        <v>318</v>
      </c>
      <c r="B319" t="s">
        <v>9</v>
      </c>
      <c r="C319" t="s">
        <v>1549</v>
      </c>
      <c r="D319" t="s">
        <v>2619</v>
      </c>
      <c r="E319" t="s">
        <v>2620</v>
      </c>
      <c r="F319">
        <v>2024</v>
      </c>
      <c r="G319" t="s">
        <v>2621</v>
      </c>
      <c r="H319" t="s">
        <v>2622</v>
      </c>
      <c r="J319" t="s">
        <v>91</v>
      </c>
      <c r="K319" t="s">
        <v>91</v>
      </c>
      <c r="L319" t="s">
        <v>91</v>
      </c>
      <c r="M319" t="s">
        <v>1570</v>
      </c>
      <c r="N319" t="s">
        <v>1555</v>
      </c>
    </row>
    <row r="320" spans="1:14" ht="14.25" customHeight="1">
      <c r="A320">
        <v>319</v>
      </c>
      <c r="B320" t="s">
        <v>9</v>
      </c>
      <c r="C320" t="s">
        <v>1549</v>
      </c>
      <c r="D320" t="s">
        <v>2623</v>
      </c>
      <c r="E320" t="s">
        <v>2624</v>
      </c>
      <c r="F320">
        <v>2024</v>
      </c>
      <c r="G320" t="s">
        <v>2625</v>
      </c>
      <c r="H320" t="s">
        <v>2626</v>
      </c>
      <c r="J320" t="s">
        <v>91</v>
      </c>
      <c r="K320" t="s">
        <v>91</v>
      </c>
      <c r="L320" t="s">
        <v>91</v>
      </c>
      <c r="M320" t="s">
        <v>1570</v>
      </c>
      <c r="N320" t="s">
        <v>1588</v>
      </c>
    </row>
    <row r="321" spans="1:14" ht="14.25" customHeight="1">
      <c r="A321">
        <v>320</v>
      </c>
      <c r="B321" t="s">
        <v>9</v>
      </c>
      <c r="C321" t="s">
        <v>1549</v>
      </c>
      <c r="D321" t="s">
        <v>2627</v>
      </c>
      <c r="E321" t="s">
        <v>2628</v>
      </c>
      <c r="F321">
        <v>2024</v>
      </c>
      <c r="G321" t="s">
        <v>2491</v>
      </c>
      <c r="H321" t="s">
        <v>2629</v>
      </c>
      <c r="J321" t="s">
        <v>91</v>
      </c>
      <c r="K321" t="s">
        <v>91</v>
      </c>
      <c r="L321" t="s">
        <v>91</v>
      </c>
      <c r="M321" t="s">
        <v>1570</v>
      </c>
      <c r="N321" t="s">
        <v>1555</v>
      </c>
    </row>
    <row r="322" spans="1:14" ht="14.25" customHeight="1">
      <c r="A322">
        <v>321</v>
      </c>
      <c r="B322" t="s">
        <v>9</v>
      </c>
      <c r="C322" t="s">
        <v>1549</v>
      </c>
      <c r="D322" t="s">
        <v>2630</v>
      </c>
      <c r="E322" t="s">
        <v>2631</v>
      </c>
      <c r="F322">
        <v>2024</v>
      </c>
      <c r="G322" t="s">
        <v>1721</v>
      </c>
      <c r="H322" t="s">
        <v>2632</v>
      </c>
      <c r="J322" t="s">
        <v>91</v>
      </c>
      <c r="K322" t="s">
        <v>91</v>
      </c>
      <c r="L322" t="s">
        <v>91</v>
      </c>
      <c r="M322" t="s">
        <v>1570</v>
      </c>
      <c r="N322" t="s">
        <v>1555</v>
      </c>
    </row>
    <row r="323" spans="1:14" ht="14.25" customHeight="1">
      <c r="A323">
        <v>322</v>
      </c>
      <c r="B323" t="s">
        <v>9</v>
      </c>
      <c r="C323" t="s">
        <v>1549</v>
      </c>
      <c r="D323" t="s">
        <v>2633</v>
      </c>
      <c r="E323" t="s">
        <v>2634</v>
      </c>
      <c r="F323">
        <v>2024</v>
      </c>
      <c r="G323" t="s">
        <v>1949</v>
      </c>
      <c r="H323" t="s">
        <v>2635</v>
      </c>
      <c r="J323" t="s">
        <v>91</v>
      </c>
      <c r="K323" t="s">
        <v>91</v>
      </c>
      <c r="L323" t="s">
        <v>91</v>
      </c>
      <c r="M323" t="s">
        <v>1570</v>
      </c>
      <c r="N323" t="s">
        <v>1555</v>
      </c>
    </row>
    <row r="324" spans="1:14" ht="14.25" customHeight="1">
      <c r="A324">
        <v>323</v>
      </c>
      <c r="B324" t="s">
        <v>9</v>
      </c>
      <c r="C324" t="s">
        <v>1549</v>
      </c>
      <c r="D324" t="s">
        <v>2636</v>
      </c>
      <c r="E324" t="s">
        <v>2637</v>
      </c>
      <c r="F324">
        <v>2024</v>
      </c>
      <c r="G324" t="s">
        <v>982</v>
      </c>
      <c r="H324" t="s">
        <v>2638</v>
      </c>
      <c r="J324" t="s">
        <v>91</v>
      </c>
      <c r="K324" t="s">
        <v>91</v>
      </c>
      <c r="L324" t="s">
        <v>91</v>
      </c>
      <c r="M324" t="s">
        <v>1570</v>
      </c>
      <c r="N324" t="s">
        <v>1588</v>
      </c>
    </row>
    <row r="325" spans="1:14" ht="14.25" customHeight="1">
      <c r="A325">
        <v>324</v>
      </c>
      <c r="B325" t="s">
        <v>9</v>
      </c>
      <c r="C325" t="s">
        <v>1549</v>
      </c>
      <c r="D325" t="s">
        <v>2639</v>
      </c>
      <c r="E325" t="s">
        <v>2640</v>
      </c>
      <c r="F325">
        <v>2024</v>
      </c>
      <c r="G325" t="s">
        <v>2641</v>
      </c>
      <c r="H325" t="s">
        <v>2642</v>
      </c>
      <c r="J325" t="s">
        <v>91</v>
      </c>
      <c r="K325" t="s">
        <v>91</v>
      </c>
      <c r="L325" t="s">
        <v>91</v>
      </c>
      <c r="M325" t="s">
        <v>1587</v>
      </c>
      <c r="N325" t="s">
        <v>1588</v>
      </c>
    </row>
    <row r="326" spans="1:14" ht="14.25" customHeight="1">
      <c r="A326">
        <v>325</v>
      </c>
      <c r="B326" t="s">
        <v>9</v>
      </c>
      <c r="C326" t="s">
        <v>1549</v>
      </c>
      <c r="D326" t="s">
        <v>2643</v>
      </c>
      <c r="E326" t="s">
        <v>2644</v>
      </c>
      <c r="F326">
        <v>2024</v>
      </c>
      <c r="G326" t="s">
        <v>2645</v>
      </c>
      <c r="H326" t="s">
        <v>2646</v>
      </c>
      <c r="J326" t="s">
        <v>91</v>
      </c>
      <c r="K326" t="s">
        <v>91</v>
      </c>
      <c r="L326" t="s">
        <v>91</v>
      </c>
      <c r="M326" t="s">
        <v>1593</v>
      </c>
      <c r="N326" t="s">
        <v>1555</v>
      </c>
    </row>
    <row r="327" spans="1:14" ht="14.25" customHeight="1">
      <c r="A327">
        <v>326</v>
      </c>
      <c r="B327" t="s">
        <v>9</v>
      </c>
      <c r="C327" t="s">
        <v>1549</v>
      </c>
      <c r="D327" t="s">
        <v>2647</v>
      </c>
      <c r="E327" t="s">
        <v>2648</v>
      </c>
      <c r="F327">
        <v>2024</v>
      </c>
      <c r="G327" t="s">
        <v>2649</v>
      </c>
      <c r="H327" t="s">
        <v>2650</v>
      </c>
      <c r="J327" t="s">
        <v>91</v>
      </c>
      <c r="K327" t="s">
        <v>91</v>
      </c>
      <c r="L327" t="s">
        <v>91</v>
      </c>
      <c r="M327" t="s">
        <v>1554</v>
      </c>
      <c r="N327" t="s">
        <v>1555</v>
      </c>
    </row>
    <row r="328" spans="1:14" ht="14.25" customHeight="1">
      <c r="A328">
        <v>327</v>
      </c>
      <c r="B328" t="s">
        <v>9</v>
      </c>
      <c r="C328" t="s">
        <v>1549</v>
      </c>
      <c r="D328" t="s">
        <v>2651</v>
      </c>
      <c r="E328" t="s">
        <v>2652</v>
      </c>
      <c r="F328">
        <v>2024</v>
      </c>
      <c r="G328" t="s">
        <v>2074</v>
      </c>
      <c r="H328" t="s">
        <v>2653</v>
      </c>
      <c r="J328" t="s">
        <v>91</v>
      </c>
      <c r="K328" t="s">
        <v>91</v>
      </c>
      <c r="L328" t="s">
        <v>91</v>
      </c>
      <c r="M328" t="s">
        <v>1570</v>
      </c>
      <c r="N328" t="s">
        <v>1588</v>
      </c>
    </row>
    <row r="329" spans="1:14" ht="14.25" customHeight="1">
      <c r="A329">
        <v>328</v>
      </c>
      <c r="B329" t="s">
        <v>9</v>
      </c>
      <c r="C329" t="s">
        <v>1549</v>
      </c>
      <c r="D329" t="s">
        <v>2654</v>
      </c>
      <c r="E329" t="s">
        <v>2655</v>
      </c>
      <c r="F329">
        <v>2024</v>
      </c>
      <c r="G329" t="s">
        <v>2656</v>
      </c>
      <c r="H329" t="s">
        <v>2657</v>
      </c>
      <c r="J329" t="s">
        <v>91</v>
      </c>
      <c r="K329" t="s">
        <v>91</v>
      </c>
      <c r="L329" t="s">
        <v>91</v>
      </c>
      <c r="M329" t="s">
        <v>1570</v>
      </c>
      <c r="N329" t="s">
        <v>1588</v>
      </c>
    </row>
    <row r="330" spans="1:14" ht="14.25" customHeight="1">
      <c r="A330">
        <v>329</v>
      </c>
      <c r="B330" t="s">
        <v>9</v>
      </c>
      <c r="C330" t="s">
        <v>1549</v>
      </c>
      <c r="D330" t="s">
        <v>2658</v>
      </c>
      <c r="E330" t="s">
        <v>2659</v>
      </c>
      <c r="F330">
        <v>2024</v>
      </c>
      <c r="G330" t="s">
        <v>2660</v>
      </c>
      <c r="H330" t="s">
        <v>2661</v>
      </c>
      <c r="J330" t="s">
        <v>91</v>
      </c>
      <c r="K330" t="s">
        <v>91</v>
      </c>
      <c r="L330" t="s">
        <v>91</v>
      </c>
      <c r="M330" t="s">
        <v>1593</v>
      </c>
      <c r="N330" t="s">
        <v>1588</v>
      </c>
    </row>
    <row r="331" spans="1:14" ht="14.25" customHeight="1">
      <c r="A331">
        <v>330</v>
      </c>
      <c r="B331" t="s">
        <v>9</v>
      </c>
      <c r="C331" t="s">
        <v>1549</v>
      </c>
      <c r="D331" t="s">
        <v>2662</v>
      </c>
      <c r="E331" t="s">
        <v>2663</v>
      </c>
      <c r="F331">
        <v>2024</v>
      </c>
      <c r="G331" t="s">
        <v>2664</v>
      </c>
      <c r="H331" t="s">
        <v>2665</v>
      </c>
      <c r="J331" t="s">
        <v>91</v>
      </c>
      <c r="K331" t="s">
        <v>91</v>
      </c>
      <c r="L331" t="s">
        <v>91</v>
      </c>
      <c r="M331" t="s">
        <v>1587</v>
      </c>
      <c r="N331" t="s">
        <v>1588</v>
      </c>
    </row>
    <row r="332" spans="1:14" ht="14.25" customHeight="1">
      <c r="A332">
        <v>331</v>
      </c>
      <c r="B332" t="s">
        <v>9</v>
      </c>
      <c r="C332" t="s">
        <v>1549</v>
      </c>
      <c r="D332" t="s">
        <v>2666</v>
      </c>
      <c r="E332" t="s">
        <v>2667</v>
      </c>
      <c r="F332">
        <v>2024</v>
      </c>
      <c r="G332" t="s">
        <v>923</v>
      </c>
      <c r="H332" t="s">
        <v>2668</v>
      </c>
      <c r="J332" t="s">
        <v>91</v>
      </c>
      <c r="K332" t="s">
        <v>91</v>
      </c>
      <c r="L332" t="s">
        <v>91</v>
      </c>
      <c r="M332" t="s">
        <v>1570</v>
      </c>
      <c r="N332" t="s">
        <v>1555</v>
      </c>
    </row>
    <row r="333" spans="1:14" ht="14.25" customHeight="1">
      <c r="A333">
        <v>332</v>
      </c>
      <c r="B333" t="s">
        <v>9</v>
      </c>
      <c r="C333" t="s">
        <v>1549</v>
      </c>
      <c r="D333" t="s">
        <v>2669</v>
      </c>
      <c r="E333" t="s">
        <v>2670</v>
      </c>
      <c r="F333">
        <v>2024</v>
      </c>
      <c r="G333" t="s">
        <v>1117</v>
      </c>
      <c r="H333" t="s">
        <v>2671</v>
      </c>
      <c r="J333" t="s">
        <v>91</v>
      </c>
      <c r="K333" t="s">
        <v>91</v>
      </c>
      <c r="L333" t="s">
        <v>91</v>
      </c>
      <c r="M333" t="s">
        <v>1570</v>
      </c>
      <c r="N333" t="s">
        <v>1588</v>
      </c>
    </row>
    <row r="334" spans="1:14" ht="14.25" customHeight="1">
      <c r="A334">
        <v>333</v>
      </c>
      <c r="B334" t="s">
        <v>9</v>
      </c>
      <c r="C334" t="s">
        <v>1549</v>
      </c>
      <c r="D334" t="s">
        <v>2672</v>
      </c>
      <c r="E334" t="s">
        <v>2673</v>
      </c>
      <c r="F334">
        <v>2024</v>
      </c>
      <c r="G334" t="s">
        <v>2674</v>
      </c>
      <c r="H334" t="s">
        <v>2675</v>
      </c>
      <c r="J334" t="s">
        <v>91</v>
      </c>
      <c r="K334" t="s">
        <v>91</v>
      </c>
      <c r="L334" t="s">
        <v>91</v>
      </c>
      <c r="M334" t="s">
        <v>1593</v>
      </c>
      <c r="N334" t="s">
        <v>1588</v>
      </c>
    </row>
    <row r="335" spans="1:14" ht="14.25" customHeight="1">
      <c r="A335">
        <v>334</v>
      </c>
      <c r="B335" t="s">
        <v>9</v>
      </c>
      <c r="C335" t="s">
        <v>1549</v>
      </c>
      <c r="D335" t="s">
        <v>2676</v>
      </c>
      <c r="E335" t="s">
        <v>2677</v>
      </c>
      <c r="F335">
        <v>2024</v>
      </c>
      <c r="G335" t="s">
        <v>1094</v>
      </c>
      <c r="H335" t="s">
        <v>2678</v>
      </c>
      <c r="J335" t="s">
        <v>91</v>
      </c>
      <c r="K335" t="s">
        <v>91</v>
      </c>
      <c r="L335" t="s">
        <v>91</v>
      </c>
      <c r="M335" t="s">
        <v>1554</v>
      </c>
      <c r="N335" t="s">
        <v>1555</v>
      </c>
    </row>
    <row r="336" spans="1:14" ht="14.25" customHeight="1">
      <c r="A336">
        <v>335</v>
      </c>
      <c r="B336" t="s">
        <v>9</v>
      </c>
      <c r="C336" t="s">
        <v>1549</v>
      </c>
      <c r="D336" t="s">
        <v>2679</v>
      </c>
      <c r="E336" t="s">
        <v>2680</v>
      </c>
      <c r="F336">
        <v>2024</v>
      </c>
      <c r="G336" t="s">
        <v>1094</v>
      </c>
      <c r="H336" t="s">
        <v>2681</v>
      </c>
      <c r="J336" t="s">
        <v>91</v>
      </c>
      <c r="K336" t="s">
        <v>91</v>
      </c>
      <c r="L336" t="s">
        <v>91</v>
      </c>
      <c r="M336" t="s">
        <v>1593</v>
      </c>
      <c r="N336" t="s">
        <v>1555</v>
      </c>
    </row>
    <row r="337" spans="1:14" ht="14.25" customHeight="1">
      <c r="A337">
        <v>336</v>
      </c>
      <c r="B337" t="s">
        <v>9</v>
      </c>
      <c r="C337" t="s">
        <v>1549</v>
      </c>
      <c r="D337" t="s">
        <v>2682</v>
      </c>
      <c r="E337" t="s">
        <v>2683</v>
      </c>
      <c r="F337">
        <v>2024</v>
      </c>
      <c r="G337" t="s">
        <v>2684</v>
      </c>
      <c r="H337" t="s">
        <v>2685</v>
      </c>
      <c r="J337" t="s">
        <v>91</v>
      </c>
      <c r="K337" t="s">
        <v>91</v>
      </c>
      <c r="L337" t="s">
        <v>91</v>
      </c>
      <c r="M337" t="s">
        <v>1587</v>
      </c>
      <c r="N337" t="s">
        <v>1555</v>
      </c>
    </row>
    <row r="338" spans="1:14" ht="14.25" customHeight="1">
      <c r="A338">
        <v>337</v>
      </c>
      <c r="B338" t="s">
        <v>9</v>
      </c>
      <c r="C338" t="s">
        <v>1549</v>
      </c>
      <c r="D338" t="s">
        <v>2686</v>
      </c>
      <c r="E338" t="s">
        <v>2687</v>
      </c>
      <c r="F338">
        <v>2024</v>
      </c>
      <c r="G338" t="s">
        <v>1628</v>
      </c>
      <c r="H338" t="s">
        <v>2688</v>
      </c>
      <c r="J338" t="s">
        <v>91</v>
      </c>
      <c r="K338" t="s">
        <v>91</v>
      </c>
      <c r="L338" t="s">
        <v>91</v>
      </c>
      <c r="M338" t="s">
        <v>1570</v>
      </c>
      <c r="N338" t="s">
        <v>1555</v>
      </c>
    </row>
    <row r="339" spans="1:14" ht="14.25" customHeight="1">
      <c r="A339">
        <v>338</v>
      </c>
      <c r="B339" t="s">
        <v>9</v>
      </c>
      <c r="C339" t="s">
        <v>1549</v>
      </c>
      <c r="D339" t="s">
        <v>2689</v>
      </c>
      <c r="E339" t="s">
        <v>2690</v>
      </c>
      <c r="F339">
        <v>2024</v>
      </c>
      <c r="G339" t="s">
        <v>1628</v>
      </c>
      <c r="H339" t="s">
        <v>2691</v>
      </c>
      <c r="J339" t="s">
        <v>91</v>
      </c>
      <c r="K339" t="s">
        <v>91</v>
      </c>
      <c r="L339" t="s">
        <v>91</v>
      </c>
      <c r="M339" t="s">
        <v>1570</v>
      </c>
      <c r="N339" t="s">
        <v>1555</v>
      </c>
    </row>
    <row r="340" spans="1:14" ht="14.25" customHeight="1">
      <c r="A340">
        <v>339</v>
      </c>
      <c r="B340" t="s">
        <v>9</v>
      </c>
      <c r="C340" t="s">
        <v>1549</v>
      </c>
      <c r="D340" t="s">
        <v>2692</v>
      </c>
      <c r="E340" t="s">
        <v>2693</v>
      </c>
      <c r="F340">
        <v>2024</v>
      </c>
      <c r="G340" t="s">
        <v>2528</v>
      </c>
      <c r="H340" t="s">
        <v>2694</v>
      </c>
      <c r="J340" t="s">
        <v>91</v>
      </c>
      <c r="K340" t="s">
        <v>91</v>
      </c>
      <c r="L340" t="s">
        <v>91</v>
      </c>
      <c r="M340" t="s">
        <v>1554</v>
      </c>
      <c r="N340" t="s">
        <v>1555</v>
      </c>
    </row>
    <row r="341" spans="1:14" ht="14.25" customHeight="1">
      <c r="A341">
        <v>340</v>
      </c>
      <c r="B341" t="s">
        <v>9</v>
      </c>
      <c r="C341" t="s">
        <v>1549</v>
      </c>
      <c r="D341" t="s">
        <v>2695</v>
      </c>
      <c r="E341" t="s">
        <v>2696</v>
      </c>
      <c r="F341">
        <v>2024</v>
      </c>
      <c r="G341" t="s">
        <v>2150</v>
      </c>
      <c r="H341" t="s">
        <v>2697</v>
      </c>
      <c r="J341" t="s">
        <v>91</v>
      </c>
      <c r="K341" t="s">
        <v>91</v>
      </c>
      <c r="L341" t="s">
        <v>91</v>
      </c>
      <c r="M341" t="s">
        <v>1570</v>
      </c>
      <c r="N341" t="s">
        <v>1555</v>
      </c>
    </row>
    <row r="342" spans="1:14" ht="14.25" customHeight="1">
      <c r="A342">
        <v>341</v>
      </c>
      <c r="B342" t="s">
        <v>9</v>
      </c>
      <c r="C342" t="s">
        <v>1549</v>
      </c>
      <c r="D342" t="s">
        <v>2698</v>
      </c>
      <c r="E342" t="s">
        <v>2699</v>
      </c>
      <c r="F342">
        <v>2024</v>
      </c>
      <c r="G342" t="s">
        <v>2700</v>
      </c>
      <c r="H342" t="s">
        <v>2701</v>
      </c>
      <c r="J342" t="s">
        <v>91</v>
      </c>
      <c r="K342" t="s">
        <v>91</v>
      </c>
      <c r="L342" t="s">
        <v>91</v>
      </c>
      <c r="M342" t="s">
        <v>1587</v>
      </c>
      <c r="N342" t="s">
        <v>1555</v>
      </c>
    </row>
    <row r="343" spans="1:14" ht="14.25" customHeight="1">
      <c r="A343">
        <v>342</v>
      </c>
      <c r="B343" t="s">
        <v>9</v>
      </c>
      <c r="C343" t="s">
        <v>1549</v>
      </c>
      <c r="D343" t="s">
        <v>2702</v>
      </c>
      <c r="E343" t="s">
        <v>2703</v>
      </c>
      <c r="F343">
        <v>2024</v>
      </c>
      <c r="G343" t="s">
        <v>2704</v>
      </c>
      <c r="H343" t="s">
        <v>2705</v>
      </c>
      <c r="J343" t="s">
        <v>91</v>
      </c>
      <c r="K343" t="s">
        <v>91</v>
      </c>
      <c r="L343" t="s">
        <v>91</v>
      </c>
      <c r="M343" t="s">
        <v>1593</v>
      </c>
      <c r="N343" t="s">
        <v>1588</v>
      </c>
    </row>
    <row r="344" spans="1:14" ht="14.25" customHeight="1">
      <c r="A344">
        <v>343</v>
      </c>
      <c r="B344" t="s">
        <v>9</v>
      </c>
      <c r="C344" t="s">
        <v>1549</v>
      </c>
      <c r="D344" t="s">
        <v>2706</v>
      </c>
      <c r="E344" t="s">
        <v>2707</v>
      </c>
      <c r="F344">
        <v>2024</v>
      </c>
      <c r="G344" t="s">
        <v>1777</v>
      </c>
      <c r="H344" t="s">
        <v>2708</v>
      </c>
      <c r="J344" t="s">
        <v>91</v>
      </c>
      <c r="K344" t="s">
        <v>91</v>
      </c>
      <c r="L344" t="s">
        <v>91</v>
      </c>
      <c r="M344" t="s">
        <v>1554</v>
      </c>
      <c r="N344" t="s">
        <v>1555</v>
      </c>
    </row>
    <row r="345" spans="1:14" ht="14.25" customHeight="1">
      <c r="A345">
        <v>344</v>
      </c>
      <c r="B345" t="s">
        <v>9</v>
      </c>
      <c r="C345" t="s">
        <v>1549</v>
      </c>
      <c r="D345" t="s">
        <v>2709</v>
      </c>
      <c r="E345" t="s">
        <v>2710</v>
      </c>
      <c r="F345">
        <v>2024</v>
      </c>
      <c r="G345" t="s">
        <v>2711</v>
      </c>
      <c r="H345" t="s">
        <v>2712</v>
      </c>
      <c r="J345" t="s">
        <v>91</v>
      </c>
      <c r="K345" t="s">
        <v>91</v>
      </c>
      <c r="L345" t="s">
        <v>91</v>
      </c>
      <c r="M345" t="s">
        <v>1554</v>
      </c>
      <c r="N345" t="s">
        <v>1588</v>
      </c>
    </row>
    <row r="346" spans="1:14" ht="14.25" customHeight="1">
      <c r="A346">
        <v>345</v>
      </c>
      <c r="B346" t="s">
        <v>9</v>
      </c>
      <c r="C346" t="s">
        <v>1549</v>
      </c>
      <c r="D346" t="s">
        <v>2713</v>
      </c>
      <c r="E346" t="s">
        <v>2714</v>
      </c>
      <c r="F346">
        <v>2024</v>
      </c>
      <c r="G346" t="s">
        <v>2580</v>
      </c>
      <c r="H346" t="s">
        <v>2715</v>
      </c>
      <c r="J346" t="s">
        <v>91</v>
      </c>
      <c r="K346" t="s">
        <v>91</v>
      </c>
      <c r="L346" t="s">
        <v>91</v>
      </c>
      <c r="M346" t="s">
        <v>1570</v>
      </c>
      <c r="N346" t="s">
        <v>1588</v>
      </c>
    </row>
    <row r="347" spans="1:14" ht="14.25" customHeight="1">
      <c r="A347">
        <v>346</v>
      </c>
      <c r="B347" t="s">
        <v>9</v>
      </c>
      <c r="C347" t="s">
        <v>1549</v>
      </c>
      <c r="D347" t="s">
        <v>2716</v>
      </c>
      <c r="E347" t="s">
        <v>2717</v>
      </c>
      <c r="F347">
        <v>2024</v>
      </c>
      <c r="G347" t="s">
        <v>993</v>
      </c>
      <c r="H347" t="s">
        <v>2718</v>
      </c>
      <c r="J347" t="s">
        <v>91</v>
      </c>
      <c r="K347" t="s">
        <v>91</v>
      </c>
      <c r="L347" t="s">
        <v>91</v>
      </c>
      <c r="M347" t="s">
        <v>1570</v>
      </c>
      <c r="N347" t="s">
        <v>1588</v>
      </c>
    </row>
    <row r="348" spans="1:14" ht="14.25" customHeight="1">
      <c r="A348">
        <v>347</v>
      </c>
      <c r="B348" t="s">
        <v>9</v>
      </c>
      <c r="C348" t="s">
        <v>1549</v>
      </c>
      <c r="D348" t="s">
        <v>2719</v>
      </c>
      <c r="E348" t="s">
        <v>2720</v>
      </c>
      <c r="F348">
        <v>2024</v>
      </c>
      <c r="G348" t="s">
        <v>2538</v>
      </c>
      <c r="H348" t="s">
        <v>2721</v>
      </c>
      <c r="J348" t="s">
        <v>91</v>
      </c>
      <c r="K348" t="s">
        <v>91</v>
      </c>
      <c r="L348" t="s">
        <v>91</v>
      </c>
      <c r="M348" t="s">
        <v>1570</v>
      </c>
      <c r="N348" t="s">
        <v>1588</v>
      </c>
    </row>
    <row r="349" spans="1:14" ht="14.25" customHeight="1">
      <c r="A349">
        <v>348</v>
      </c>
      <c r="B349" t="s">
        <v>9</v>
      </c>
      <c r="C349" t="s">
        <v>1549</v>
      </c>
      <c r="D349" t="s">
        <v>2722</v>
      </c>
      <c r="E349" t="s">
        <v>2723</v>
      </c>
      <c r="F349">
        <v>2024</v>
      </c>
      <c r="G349" t="s">
        <v>2724</v>
      </c>
      <c r="H349" t="s">
        <v>2725</v>
      </c>
      <c r="J349" t="s">
        <v>91</v>
      </c>
      <c r="K349" t="s">
        <v>91</v>
      </c>
      <c r="L349" t="s">
        <v>91</v>
      </c>
      <c r="M349" t="s">
        <v>1593</v>
      </c>
      <c r="N349" t="s">
        <v>1555</v>
      </c>
    </row>
    <row r="350" spans="1:14" ht="14.25" customHeight="1">
      <c r="A350">
        <v>349</v>
      </c>
      <c r="B350" t="s">
        <v>9</v>
      </c>
      <c r="C350" t="s">
        <v>1549</v>
      </c>
      <c r="D350" t="s">
        <v>2726</v>
      </c>
      <c r="E350" t="s">
        <v>2727</v>
      </c>
      <c r="F350">
        <v>2024</v>
      </c>
      <c r="G350" t="s">
        <v>2660</v>
      </c>
      <c r="H350" t="s">
        <v>2728</v>
      </c>
      <c r="J350" t="s">
        <v>91</v>
      </c>
      <c r="K350" t="s">
        <v>91</v>
      </c>
      <c r="L350" t="s">
        <v>91</v>
      </c>
      <c r="M350" t="s">
        <v>1570</v>
      </c>
      <c r="N350" t="s">
        <v>1588</v>
      </c>
    </row>
    <row r="351" spans="1:14" ht="14.25" customHeight="1">
      <c r="A351">
        <v>350</v>
      </c>
      <c r="B351" t="s">
        <v>9</v>
      </c>
      <c r="C351" t="s">
        <v>1549</v>
      </c>
      <c r="D351" t="s">
        <v>2729</v>
      </c>
      <c r="E351" t="s">
        <v>2730</v>
      </c>
      <c r="F351">
        <v>2024</v>
      </c>
      <c r="G351" t="s">
        <v>2291</v>
      </c>
      <c r="H351" t="s">
        <v>2731</v>
      </c>
      <c r="J351" t="s">
        <v>91</v>
      </c>
      <c r="K351" t="s">
        <v>91</v>
      </c>
      <c r="L351" t="s">
        <v>91</v>
      </c>
      <c r="M351" t="s">
        <v>1587</v>
      </c>
      <c r="N351" t="s">
        <v>1588</v>
      </c>
    </row>
    <row r="352" spans="1:14" ht="14.25" customHeight="1">
      <c r="A352">
        <v>351</v>
      </c>
      <c r="B352" t="s">
        <v>9</v>
      </c>
      <c r="C352" t="s">
        <v>1549</v>
      </c>
      <c r="D352" t="s">
        <v>2732</v>
      </c>
      <c r="E352" t="s">
        <v>2733</v>
      </c>
      <c r="F352">
        <v>2024</v>
      </c>
      <c r="G352" t="s">
        <v>2734</v>
      </c>
      <c r="H352" t="s">
        <v>2735</v>
      </c>
      <c r="J352" t="s">
        <v>91</v>
      </c>
      <c r="K352" t="s">
        <v>91</v>
      </c>
      <c r="L352" t="s">
        <v>91</v>
      </c>
      <c r="M352" t="s">
        <v>1570</v>
      </c>
      <c r="N352" t="s">
        <v>1588</v>
      </c>
    </row>
    <row r="353" spans="1:16" ht="14.25" customHeight="1">
      <c r="A353">
        <v>352</v>
      </c>
      <c r="B353" t="s">
        <v>9</v>
      </c>
      <c r="C353" t="s">
        <v>1549</v>
      </c>
      <c r="D353" t="s">
        <v>2736</v>
      </c>
      <c r="E353" t="s">
        <v>2737</v>
      </c>
      <c r="F353">
        <v>2024</v>
      </c>
      <c r="G353" t="s">
        <v>2491</v>
      </c>
      <c r="H353" t="s">
        <v>2738</v>
      </c>
      <c r="J353" t="s">
        <v>91</v>
      </c>
      <c r="K353" t="s">
        <v>91</v>
      </c>
      <c r="L353" t="s">
        <v>91</v>
      </c>
      <c r="M353" t="s">
        <v>1570</v>
      </c>
      <c r="N353" t="s">
        <v>1555</v>
      </c>
    </row>
    <row r="354" spans="1:16" ht="14.25" customHeight="1">
      <c r="A354">
        <v>353</v>
      </c>
      <c r="B354" t="s">
        <v>9</v>
      </c>
      <c r="C354" t="s">
        <v>1549</v>
      </c>
      <c r="D354" t="s">
        <v>2739</v>
      </c>
      <c r="E354" t="s">
        <v>2740</v>
      </c>
      <c r="F354">
        <v>2024</v>
      </c>
      <c r="G354" t="s">
        <v>2741</v>
      </c>
      <c r="H354" t="s">
        <v>2742</v>
      </c>
      <c r="J354" t="s">
        <v>91</v>
      </c>
      <c r="K354" t="s">
        <v>91</v>
      </c>
      <c r="L354" t="s">
        <v>91</v>
      </c>
      <c r="M354" t="s">
        <v>1570</v>
      </c>
      <c r="N354" t="s">
        <v>1588</v>
      </c>
    </row>
    <row r="355" spans="1:16" ht="14.25" customHeight="1">
      <c r="A355">
        <v>354</v>
      </c>
      <c r="B355" t="s">
        <v>9</v>
      </c>
      <c r="C355" t="s">
        <v>1549</v>
      </c>
      <c r="D355" t="s">
        <v>2743</v>
      </c>
      <c r="E355" t="s">
        <v>2744</v>
      </c>
      <c r="F355">
        <v>2024</v>
      </c>
      <c r="G355" t="s">
        <v>1117</v>
      </c>
      <c r="H355" t="s">
        <v>2745</v>
      </c>
      <c r="J355" t="s">
        <v>91</v>
      </c>
      <c r="K355" t="s">
        <v>91</v>
      </c>
      <c r="L355" t="s">
        <v>91</v>
      </c>
      <c r="M355" t="s">
        <v>1570</v>
      </c>
      <c r="N355" t="s">
        <v>1588</v>
      </c>
    </row>
    <row r="356" spans="1:16" ht="14.25" customHeight="1">
      <c r="A356">
        <v>355</v>
      </c>
      <c r="B356" t="s">
        <v>9</v>
      </c>
      <c r="C356" t="s">
        <v>1549</v>
      </c>
      <c r="D356" t="s">
        <v>2746</v>
      </c>
      <c r="E356" t="s">
        <v>2747</v>
      </c>
      <c r="F356">
        <v>2024</v>
      </c>
      <c r="G356" t="s">
        <v>1117</v>
      </c>
      <c r="H356" t="s">
        <v>2748</v>
      </c>
      <c r="J356" t="s">
        <v>91</v>
      </c>
      <c r="K356" t="s">
        <v>91</v>
      </c>
      <c r="L356" t="s">
        <v>91</v>
      </c>
      <c r="M356" t="s">
        <v>1570</v>
      </c>
      <c r="N356" t="s">
        <v>1588</v>
      </c>
    </row>
    <row r="357" spans="1:16" ht="14.25" customHeight="1">
      <c r="A357">
        <v>356</v>
      </c>
      <c r="B357" t="s">
        <v>9</v>
      </c>
      <c r="C357" t="s">
        <v>1549</v>
      </c>
      <c r="D357" t="s">
        <v>2749</v>
      </c>
      <c r="E357" t="s">
        <v>2750</v>
      </c>
      <c r="F357">
        <v>2024</v>
      </c>
      <c r="G357" t="s">
        <v>923</v>
      </c>
      <c r="H357" t="s">
        <v>2751</v>
      </c>
      <c r="J357" t="s">
        <v>91</v>
      </c>
      <c r="K357" t="s">
        <v>91</v>
      </c>
      <c r="L357" t="s">
        <v>91</v>
      </c>
      <c r="M357" t="s">
        <v>1570</v>
      </c>
      <c r="N357" t="s">
        <v>1555</v>
      </c>
    </row>
    <row r="358" spans="1:16" ht="14.25" customHeight="1">
      <c r="A358">
        <v>357</v>
      </c>
      <c r="B358" t="s">
        <v>9</v>
      </c>
      <c r="C358" t="s">
        <v>1549</v>
      </c>
      <c r="D358" t="s">
        <v>2752</v>
      </c>
      <c r="E358" t="s">
        <v>2753</v>
      </c>
      <c r="F358">
        <v>2024</v>
      </c>
      <c r="G358" t="s">
        <v>2754</v>
      </c>
      <c r="H358" t="s">
        <v>2755</v>
      </c>
      <c r="J358" t="s">
        <v>91</v>
      </c>
      <c r="K358" t="s">
        <v>91</v>
      </c>
      <c r="L358" t="s">
        <v>91</v>
      </c>
      <c r="M358" t="s">
        <v>1570</v>
      </c>
      <c r="N358" t="s">
        <v>1588</v>
      </c>
    </row>
    <row r="359" spans="1:16" ht="14.25" customHeight="1">
      <c r="A359">
        <v>358</v>
      </c>
      <c r="B359" t="s">
        <v>9</v>
      </c>
      <c r="C359" t="s">
        <v>1549</v>
      </c>
      <c r="D359" t="s">
        <v>2756</v>
      </c>
      <c r="E359" t="s">
        <v>2757</v>
      </c>
      <c r="F359">
        <v>2024</v>
      </c>
      <c r="G359" t="s">
        <v>2758</v>
      </c>
      <c r="H359" t="s">
        <v>2759</v>
      </c>
      <c r="J359" t="s">
        <v>91</v>
      </c>
      <c r="K359" t="s">
        <v>91</v>
      </c>
      <c r="L359" t="s">
        <v>91</v>
      </c>
      <c r="M359" t="s">
        <v>1570</v>
      </c>
      <c r="N359" t="s">
        <v>1555</v>
      </c>
    </row>
    <row r="360" spans="1:16" ht="14.25" customHeight="1">
      <c r="A360">
        <v>359</v>
      </c>
      <c r="B360" t="s">
        <v>9</v>
      </c>
      <c r="C360" t="s">
        <v>1549</v>
      </c>
      <c r="D360" t="s">
        <v>2760</v>
      </c>
      <c r="E360" t="s">
        <v>2761</v>
      </c>
      <c r="F360">
        <v>2024</v>
      </c>
      <c r="G360" t="s">
        <v>2762</v>
      </c>
      <c r="H360" t="s">
        <v>2763</v>
      </c>
      <c r="J360" t="s">
        <v>91</v>
      </c>
      <c r="K360" t="s">
        <v>91</v>
      </c>
      <c r="L360" t="s">
        <v>91</v>
      </c>
      <c r="M360" t="s">
        <v>1587</v>
      </c>
      <c r="N360" t="s">
        <v>1588</v>
      </c>
    </row>
    <row r="361" spans="1:16" ht="14.25" customHeight="1">
      <c r="A361">
        <v>360</v>
      </c>
      <c r="B361" t="s">
        <v>9</v>
      </c>
      <c r="C361" t="s">
        <v>1549</v>
      </c>
      <c r="D361" t="s">
        <v>2764</v>
      </c>
      <c r="E361" t="s">
        <v>2765</v>
      </c>
      <c r="F361">
        <v>2024</v>
      </c>
      <c r="G361" t="s">
        <v>2766</v>
      </c>
      <c r="H361" t="s">
        <v>2767</v>
      </c>
      <c r="J361" t="s">
        <v>91</v>
      </c>
      <c r="K361" t="s">
        <v>91</v>
      </c>
      <c r="L361" t="s">
        <v>91</v>
      </c>
      <c r="M361" t="s">
        <v>1570</v>
      </c>
      <c r="N361" t="s">
        <v>1555</v>
      </c>
    </row>
    <row r="362" spans="1:16" ht="14.25" customHeight="1">
      <c r="A362">
        <v>361</v>
      </c>
      <c r="B362" t="s">
        <v>9</v>
      </c>
      <c r="C362" t="s">
        <v>1549</v>
      </c>
      <c r="D362" t="s">
        <v>2768</v>
      </c>
      <c r="E362" t="s">
        <v>2769</v>
      </c>
      <c r="F362">
        <v>2024</v>
      </c>
      <c r="G362" t="s">
        <v>2190</v>
      </c>
      <c r="H362" t="s">
        <v>2770</v>
      </c>
      <c r="J362" t="s">
        <v>91</v>
      </c>
      <c r="K362" t="s">
        <v>91</v>
      </c>
      <c r="L362" t="s">
        <v>91</v>
      </c>
      <c r="M362" t="s">
        <v>1570</v>
      </c>
      <c r="N362" t="s">
        <v>1555</v>
      </c>
    </row>
    <row r="363" spans="1:16" ht="14.25" customHeight="1">
      <c r="A363">
        <v>362</v>
      </c>
      <c r="B363" t="s">
        <v>9</v>
      </c>
      <c r="C363" t="s">
        <v>1549</v>
      </c>
      <c r="D363" t="s">
        <v>2771</v>
      </c>
      <c r="E363" t="s">
        <v>2772</v>
      </c>
      <c r="F363">
        <v>2024</v>
      </c>
      <c r="G363" t="s">
        <v>1023</v>
      </c>
      <c r="H363" t="s">
        <v>2773</v>
      </c>
      <c r="J363" t="s">
        <v>91</v>
      </c>
      <c r="K363" t="s">
        <v>91</v>
      </c>
      <c r="L363" t="s">
        <v>91</v>
      </c>
      <c r="M363" t="s">
        <v>1570</v>
      </c>
      <c r="N363" t="s">
        <v>1555</v>
      </c>
    </row>
    <row r="364" spans="1:16" ht="14.25" customHeight="1">
      <c r="A364">
        <v>363</v>
      </c>
      <c r="B364" t="s">
        <v>9</v>
      </c>
      <c r="C364" t="s">
        <v>1549</v>
      </c>
      <c r="D364" t="s">
        <v>2774</v>
      </c>
      <c r="E364" t="s">
        <v>2775</v>
      </c>
      <c r="F364">
        <v>2024</v>
      </c>
      <c r="G364" t="s">
        <v>2776</v>
      </c>
      <c r="H364" t="s">
        <v>2777</v>
      </c>
      <c r="J364" t="s">
        <v>91</v>
      </c>
      <c r="K364" t="s">
        <v>91</v>
      </c>
      <c r="L364" t="s">
        <v>91</v>
      </c>
      <c r="M364" t="s">
        <v>1570</v>
      </c>
      <c r="N364" t="s">
        <v>1588</v>
      </c>
    </row>
    <row r="365" spans="1:16" ht="14.25" customHeight="1">
      <c r="A365" s="20">
        <v>364</v>
      </c>
      <c r="B365" s="20" t="s">
        <v>9</v>
      </c>
      <c r="C365" s="20" t="s">
        <v>1549</v>
      </c>
      <c r="D365" s="20" t="s">
        <v>1017</v>
      </c>
      <c r="E365" s="20" t="s">
        <v>1018</v>
      </c>
      <c r="F365" s="20">
        <v>2024</v>
      </c>
      <c r="G365" s="20" t="s">
        <v>1019</v>
      </c>
      <c r="H365" s="20" t="s">
        <v>1020</v>
      </c>
      <c r="I365" s="20"/>
      <c r="J365" s="20" t="s">
        <v>76</v>
      </c>
      <c r="K365" s="20" t="s">
        <v>76</v>
      </c>
      <c r="L365" s="20" t="s">
        <v>76</v>
      </c>
      <c r="M365" s="20" t="s">
        <v>1625</v>
      </c>
      <c r="N365" s="20" t="s">
        <v>1555</v>
      </c>
      <c r="O365" s="20"/>
      <c r="P365" s="20"/>
    </row>
    <row r="366" spans="1:16" ht="14.25" customHeight="1">
      <c r="A366">
        <v>365</v>
      </c>
      <c r="B366" t="s">
        <v>9</v>
      </c>
      <c r="C366" t="s">
        <v>1549</v>
      </c>
      <c r="D366" t="s">
        <v>2778</v>
      </c>
      <c r="E366" t="s">
        <v>2779</v>
      </c>
      <c r="F366">
        <v>2024</v>
      </c>
      <c r="G366" t="s">
        <v>1573</v>
      </c>
      <c r="H366" t="s">
        <v>2780</v>
      </c>
      <c r="J366" t="s">
        <v>91</v>
      </c>
      <c r="K366" t="s">
        <v>91</v>
      </c>
      <c r="L366" t="s">
        <v>91</v>
      </c>
      <c r="M366" t="s">
        <v>1570</v>
      </c>
      <c r="N366" t="s">
        <v>1555</v>
      </c>
    </row>
    <row r="367" spans="1:16" ht="14.25" customHeight="1">
      <c r="A367">
        <v>366</v>
      </c>
      <c r="B367" t="s">
        <v>9</v>
      </c>
      <c r="C367" t="s">
        <v>1549</v>
      </c>
      <c r="D367" t="s">
        <v>2781</v>
      </c>
      <c r="E367" t="s">
        <v>2782</v>
      </c>
      <c r="F367">
        <v>2024</v>
      </c>
      <c r="G367" t="s">
        <v>2783</v>
      </c>
      <c r="H367" t="s">
        <v>2784</v>
      </c>
      <c r="J367" t="s">
        <v>91</v>
      </c>
      <c r="K367" t="s">
        <v>91</v>
      </c>
      <c r="L367" t="s">
        <v>91</v>
      </c>
      <c r="M367" t="s">
        <v>1570</v>
      </c>
      <c r="N367" t="s">
        <v>1588</v>
      </c>
    </row>
    <row r="368" spans="1:16" ht="14.25" customHeight="1">
      <c r="A368">
        <v>367</v>
      </c>
      <c r="B368" t="s">
        <v>9</v>
      </c>
      <c r="C368" t="s">
        <v>1549</v>
      </c>
      <c r="D368" t="s">
        <v>2785</v>
      </c>
      <c r="E368" t="s">
        <v>2786</v>
      </c>
      <c r="F368">
        <v>2024</v>
      </c>
      <c r="G368" t="s">
        <v>2303</v>
      </c>
      <c r="H368" t="s">
        <v>2787</v>
      </c>
      <c r="J368" t="s">
        <v>91</v>
      </c>
      <c r="K368" t="s">
        <v>91</v>
      </c>
      <c r="L368" t="s">
        <v>91</v>
      </c>
      <c r="M368" t="s">
        <v>1570</v>
      </c>
      <c r="N368" t="s">
        <v>1555</v>
      </c>
    </row>
    <row r="369" spans="1:14" ht="14.25" customHeight="1">
      <c r="A369">
        <v>368</v>
      </c>
      <c r="B369" t="s">
        <v>9</v>
      </c>
      <c r="C369" t="s">
        <v>1549</v>
      </c>
      <c r="D369" t="s">
        <v>2788</v>
      </c>
      <c r="E369" t="s">
        <v>2789</v>
      </c>
      <c r="F369">
        <v>2024</v>
      </c>
      <c r="G369" t="s">
        <v>2790</v>
      </c>
      <c r="H369" t="s">
        <v>2791</v>
      </c>
      <c r="J369" t="s">
        <v>91</v>
      </c>
      <c r="K369" t="s">
        <v>91</v>
      </c>
      <c r="L369" t="s">
        <v>91</v>
      </c>
      <c r="M369" t="s">
        <v>1570</v>
      </c>
      <c r="N369" t="s">
        <v>1588</v>
      </c>
    </row>
    <row r="370" spans="1:14" ht="14.25" customHeight="1">
      <c r="A370">
        <v>369</v>
      </c>
      <c r="B370" t="s">
        <v>9</v>
      </c>
      <c r="C370" t="s">
        <v>1549</v>
      </c>
      <c r="D370" t="s">
        <v>2792</v>
      </c>
      <c r="E370" t="s">
        <v>2793</v>
      </c>
      <c r="F370">
        <v>2024</v>
      </c>
      <c r="G370" t="s">
        <v>2794</v>
      </c>
      <c r="H370" t="s">
        <v>2795</v>
      </c>
      <c r="J370" t="s">
        <v>91</v>
      </c>
      <c r="K370" t="s">
        <v>91</v>
      </c>
      <c r="L370" t="s">
        <v>91</v>
      </c>
      <c r="M370" t="s">
        <v>1570</v>
      </c>
      <c r="N370" t="s">
        <v>1588</v>
      </c>
    </row>
    <row r="371" spans="1:14" ht="14.25" customHeight="1">
      <c r="A371">
        <v>370</v>
      </c>
      <c r="B371" t="s">
        <v>9</v>
      </c>
      <c r="C371" t="s">
        <v>1549</v>
      </c>
      <c r="D371" t="s">
        <v>2796</v>
      </c>
      <c r="E371" t="s">
        <v>2797</v>
      </c>
      <c r="F371">
        <v>2024</v>
      </c>
      <c r="G371" t="s">
        <v>2798</v>
      </c>
      <c r="H371" t="s">
        <v>2799</v>
      </c>
      <c r="J371" t="s">
        <v>91</v>
      </c>
      <c r="K371" t="s">
        <v>91</v>
      </c>
      <c r="L371" t="s">
        <v>91</v>
      </c>
      <c r="M371" t="s">
        <v>1570</v>
      </c>
      <c r="N371" t="s">
        <v>1588</v>
      </c>
    </row>
    <row r="372" spans="1:14" ht="14.25" customHeight="1">
      <c r="A372">
        <v>371</v>
      </c>
      <c r="B372" t="s">
        <v>9</v>
      </c>
      <c r="C372" t="s">
        <v>1549</v>
      </c>
      <c r="D372" t="s">
        <v>2800</v>
      </c>
      <c r="E372" t="s">
        <v>2801</v>
      </c>
      <c r="F372">
        <v>2024</v>
      </c>
      <c r="G372" t="s">
        <v>2802</v>
      </c>
      <c r="H372" t="s">
        <v>2803</v>
      </c>
      <c r="J372" t="s">
        <v>91</v>
      </c>
      <c r="K372" t="s">
        <v>91</v>
      </c>
      <c r="L372" t="s">
        <v>91</v>
      </c>
      <c r="M372" t="s">
        <v>1587</v>
      </c>
      <c r="N372" t="s">
        <v>1588</v>
      </c>
    </row>
    <row r="373" spans="1:14" ht="14.25" customHeight="1">
      <c r="A373">
        <v>372</v>
      </c>
      <c r="B373" t="s">
        <v>9</v>
      </c>
      <c r="C373" t="s">
        <v>1549</v>
      </c>
      <c r="D373" t="s">
        <v>2804</v>
      </c>
      <c r="E373" t="s">
        <v>2805</v>
      </c>
      <c r="F373">
        <v>2024</v>
      </c>
      <c r="G373" t="s">
        <v>2190</v>
      </c>
      <c r="H373" t="s">
        <v>2806</v>
      </c>
      <c r="J373" t="s">
        <v>91</v>
      </c>
      <c r="K373" t="s">
        <v>91</v>
      </c>
      <c r="L373" t="s">
        <v>91</v>
      </c>
      <c r="M373" t="s">
        <v>1587</v>
      </c>
      <c r="N373" t="s">
        <v>1555</v>
      </c>
    </row>
    <row r="374" spans="1:14" ht="14.25" customHeight="1">
      <c r="A374">
        <v>373</v>
      </c>
      <c r="B374" t="s">
        <v>9</v>
      </c>
      <c r="C374" t="s">
        <v>1549</v>
      </c>
      <c r="D374" t="s">
        <v>2807</v>
      </c>
      <c r="E374" t="s">
        <v>2808</v>
      </c>
      <c r="F374">
        <v>2024</v>
      </c>
      <c r="G374" t="s">
        <v>2809</v>
      </c>
      <c r="H374" t="s">
        <v>2810</v>
      </c>
      <c r="J374" t="s">
        <v>91</v>
      </c>
      <c r="K374" t="s">
        <v>91</v>
      </c>
      <c r="L374" t="s">
        <v>91</v>
      </c>
      <c r="M374" t="s">
        <v>1570</v>
      </c>
      <c r="N374" t="s">
        <v>1588</v>
      </c>
    </row>
    <row r="375" spans="1:14" ht="14.25" customHeight="1">
      <c r="A375">
        <v>374</v>
      </c>
      <c r="B375" t="s">
        <v>9</v>
      </c>
      <c r="C375" t="s">
        <v>1549</v>
      </c>
      <c r="D375" t="s">
        <v>2811</v>
      </c>
      <c r="E375" t="s">
        <v>2812</v>
      </c>
      <c r="F375">
        <v>2024</v>
      </c>
      <c r="G375" t="s">
        <v>2813</v>
      </c>
      <c r="H375" t="s">
        <v>2814</v>
      </c>
      <c r="J375" t="s">
        <v>91</v>
      </c>
      <c r="K375" t="s">
        <v>91</v>
      </c>
      <c r="L375" t="s">
        <v>91</v>
      </c>
      <c r="M375" t="s">
        <v>1570</v>
      </c>
      <c r="N375" t="s">
        <v>1588</v>
      </c>
    </row>
    <row r="376" spans="1:14" ht="14.25" customHeight="1">
      <c r="A376">
        <v>375</v>
      </c>
      <c r="B376" t="s">
        <v>9</v>
      </c>
      <c r="C376" t="s">
        <v>1549</v>
      </c>
      <c r="D376" t="s">
        <v>2815</v>
      </c>
      <c r="E376" t="s">
        <v>2816</v>
      </c>
      <c r="F376">
        <v>2024</v>
      </c>
      <c r="G376" t="s">
        <v>2491</v>
      </c>
      <c r="H376" t="s">
        <v>2817</v>
      </c>
      <c r="J376" t="s">
        <v>91</v>
      </c>
      <c r="K376" t="s">
        <v>91</v>
      </c>
      <c r="L376" t="s">
        <v>91</v>
      </c>
      <c r="M376" t="s">
        <v>1570</v>
      </c>
      <c r="N376" t="s">
        <v>1555</v>
      </c>
    </row>
    <row r="377" spans="1:14" ht="14.25" customHeight="1">
      <c r="A377">
        <v>376</v>
      </c>
      <c r="B377" t="s">
        <v>9</v>
      </c>
      <c r="C377" t="s">
        <v>1549</v>
      </c>
      <c r="D377" t="s">
        <v>2818</v>
      </c>
      <c r="E377" t="s">
        <v>2819</v>
      </c>
      <c r="F377">
        <v>2024</v>
      </c>
      <c r="G377" t="s">
        <v>2820</v>
      </c>
      <c r="H377" t="s">
        <v>2821</v>
      </c>
      <c r="J377" t="s">
        <v>91</v>
      </c>
      <c r="K377" t="s">
        <v>91</v>
      </c>
      <c r="L377" t="s">
        <v>91</v>
      </c>
      <c r="M377" t="s">
        <v>1570</v>
      </c>
      <c r="N377" t="s">
        <v>1588</v>
      </c>
    </row>
    <row r="378" spans="1:14" ht="14.25" customHeight="1">
      <c r="A378">
        <v>377</v>
      </c>
      <c r="B378" t="s">
        <v>9</v>
      </c>
      <c r="C378" t="s">
        <v>1549</v>
      </c>
      <c r="D378" t="s">
        <v>2822</v>
      </c>
      <c r="E378" t="s">
        <v>2823</v>
      </c>
      <c r="F378">
        <v>2024</v>
      </c>
      <c r="G378" t="s">
        <v>2824</v>
      </c>
      <c r="H378" t="s">
        <v>2825</v>
      </c>
      <c r="J378" t="s">
        <v>91</v>
      </c>
      <c r="K378" t="s">
        <v>91</v>
      </c>
      <c r="L378" t="s">
        <v>91</v>
      </c>
      <c r="M378" t="s">
        <v>1570</v>
      </c>
      <c r="N378" t="s">
        <v>1588</v>
      </c>
    </row>
    <row r="379" spans="1:14" ht="14.25" customHeight="1">
      <c r="A379">
        <v>378</v>
      </c>
      <c r="B379" t="s">
        <v>9</v>
      </c>
      <c r="C379" t="s">
        <v>1549</v>
      </c>
      <c r="D379" t="s">
        <v>2826</v>
      </c>
      <c r="E379" t="s">
        <v>2827</v>
      </c>
      <c r="F379">
        <v>2024</v>
      </c>
      <c r="G379" t="s">
        <v>2674</v>
      </c>
      <c r="H379" t="s">
        <v>2828</v>
      </c>
      <c r="J379" t="s">
        <v>91</v>
      </c>
      <c r="K379" t="s">
        <v>91</v>
      </c>
      <c r="L379" t="s">
        <v>91</v>
      </c>
      <c r="M379" t="s">
        <v>1593</v>
      </c>
      <c r="N379" t="s">
        <v>1588</v>
      </c>
    </row>
    <row r="380" spans="1:14" ht="14.25" customHeight="1">
      <c r="A380">
        <v>379</v>
      </c>
      <c r="B380" t="s">
        <v>9</v>
      </c>
      <c r="C380" t="s">
        <v>1549</v>
      </c>
      <c r="D380" t="s">
        <v>2829</v>
      </c>
      <c r="E380" t="s">
        <v>2830</v>
      </c>
      <c r="F380">
        <v>2024</v>
      </c>
      <c r="G380" t="s">
        <v>2831</v>
      </c>
      <c r="H380" t="s">
        <v>2832</v>
      </c>
      <c r="J380" t="s">
        <v>91</v>
      </c>
      <c r="K380" t="s">
        <v>91</v>
      </c>
      <c r="L380" t="s">
        <v>91</v>
      </c>
      <c r="M380" t="s">
        <v>1587</v>
      </c>
      <c r="N380" t="s">
        <v>1588</v>
      </c>
    </row>
    <row r="381" spans="1:14" ht="14.25" customHeight="1">
      <c r="A381">
        <v>380</v>
      </c>
      <c r="B381" t="s">
        <v>9</v>
      </c>
      <c r="C381" t="s">
        <v>1549</v>
      </c>
      <c r="D381" t="s">
        <v>2833</v>
      </c>
      <c r="E381" t="s">
        <v>2834</v>
      </c>
      <c r="F381">
        <v>2024</v>
      </c>
      <c r="G381" t="s">
        <v>2835</v>
      </c>
      <c r="H381" t="s">
        <v>2836</v>
      </c>
      <c r="J381" t="s">
        <v>91</v>
      </c>
      <c r="K381" t="s">
        <v>91</v>
      </c>
      <c r="L381" t="s">
        <v>91</v>
      </c>
      <c r="M381" t="s">
        <v>1570</v>
      </c>
      <c r="N381" t="s">
        <v>1555</v>
      </c>
    </row>
    <row r="382" spans="1:14" ht="14.25" customHeight="1">
      <c r="A382">
        <v>381</v>
      </c>
      <c r="B382" t="s">
        <v>9</v>
      </c>
      <c r="C382" t="s">
        <v>1549</v>
      </c>
      <c r="D382" t="s">
        <v>2837</v>
      </c>
      <c r="E382" t="s">
        <v>2838</v>
      </c>
      <c r="F382">
        <v>2024</v>
      </c>
      <c r="G382" t="s">
        <v>965</v>
      </c>
      <c r="H382" t="s">
        <v>2839</v>
      </c>
      <c r="J382" t="s">
        <v>91</v>
      </c>
      <c r="K382" t="s">
        <v>91</v>
      </c>
      <c r="L382" t="s">
        <v>91</v>
      </c>
      <c r="M382" t="s">
        <v>1570</v>
      </c>
      <c r="N382" t="s">
        <v>1588</v>
      </c>
    </row>
    <row r="383" spans="1:14" ht="14.25" customHeight="1">
      <c r="A383">
        <v>382</v>
      </c>
      <c r="B383" t="s">
        <v>9</v>
      </c>
      <c r="C383" t="s">
        <v>1549</v>
      </c>
      <c r="D383" t="s">
        <v>2840</v>
      </c>
      <c r="E383" t="s">
        <v>2841</v>
      </c>
      <c r="F383">
        <v>2024</v>
      </c>
      <c r="G383" t="s">
        <v>1073</v>
      </c>
      <c r="H383" t="s">
        <v>2842</v>
      </c>
      <c r="J383" t="s">
        <v>91</v>
      </c>
      <c r="K383" t="s">
        <v>91</v>
      </c>
      <c r="L383" t="s">
        <v>91</v>
      </c>
      <c r="M383" t="s">
        <v>1570</v>
      </c>
      <c r="N383" t="s">
        <v>1555</v>
      </c>
    </row>
    <row r="384" spans="1:14" ht="14.25" customHeight="1">
      <c r="A384">
        <v>383</v>
      </c>
      <c r="B384" t="s">
        <v>9</v>
      </c>
      <c r="C384" t="s">
        <v>1549</v>
      </c>
      <c r="D384" t="s">
        <v>2843</v>
      </c>
      <c r="E384" t="s">
        <v>2844</v>
      </c>
      <c r="F384">
        <v>2024</v>
      </c>
      <c r="G384" t="s">
        <v>2845</v>
      </c>
      <c r="H384" t="s">
        <v>2846</v>
      </c>
      <c r="J384" t="s">
        <v>91</v>
      </c>
      <c r="K384" t="s">
        <v>91</v>
      </c>
      <c r="L384" t="s">
        <v>91</v>
      </c>
      <c r="M384" t="s">
        <v>1570</v>
      </c>
      <c r="N384" t="s">
        <v>1555</v>
      </c>
    </row>
    <row r="385" spans="1:14" ht="14.25" customHeight="1">
      <c r="A385">
        <v>384</v>
      </c>
      <c r="B385" t="s">
        <v>9</v>
      </c>
      <c r="C385" t="s">
        <v>1549</v>
      </c>
      <c r="D385" t="s">
        <v>2847</v>
      </c>
      <c r="E385" t="s">
        <v>2848</v>
      </c>
      <c r="F385">
        <v>2024</v>
      </c>
      <c r="G385" t="s">
        <v>982</v>
      </c>
      <c r="H385" t="s">
        <v>2849</v>
      </c>
      <c r="J385" t="s">
        <v>91</v>
      </c>
      <c r="K385" t="s">
        <v>91</v>
      </c>
      <c r="L385" t="s">
        <v>91</v>
      </c>
      <c r="M385" t="s">
        <v>1587</v>
      </c>
      <c r="N385" t="s">
        <v>1588</v>
      </c>
    </row>
    <row r="386" spans="1:14" ht="14.25" customHeight="1">
      <c r="A386">
        <v>385</v>
      </c>
      <c r="B386" t="s">
        <v>9</v>
      </c>
      <c r="C386" t="s">
        <v>1549</v>
      </c>
      <c r="D386" t="s">
        <v>2850</v>
      </c>
      <c r="E386" t="s">
        <v>2851</v>
      </c>
      <c r="F386">
        <v>2024</v>
      </c>
      <c r="G386" t="s">
        <v>2852</v>
      </c>
      <c r="H386" t="s">
        <v>2853</v>
      </c>
      <c r="J386" t="s">
        <v>91</v>
      </c>
      <c r="K386" t="s">
        <v>91</v>
      </c>
      <c r="L386" t="s">
        <v>91</v>
      </c>
      <c r="M386" t="s">
        <v>1554</v>
      </c>
      <c r="N386" t="s">
        <v>1588</v>
      </c>
    </row>
    <row r="387" spans="1:14" ht="14.25" customHeight="1">
      <c r="A387">
        <v>386</v>
      </c>
      <c r="B387" t="s">
        <v>9</v>
      </c>
      <c r="C387" t="s">
        <v>1549</v>
      </c>
      <c r="D387" t="s">
        <v>2854</v>
      </c>
      <c r="E387" t="s">
        <v>2855</v>
      </c>
      <c r="F387">
        <v>2024</v>
      </c>
      <c r="G387" t="s">
        <v>2856</v>
      </c>
      <c r="H387" t="s">
        <v>2857</v>
      </c>
      <c r="J387" t="s">
        <v>91</v>
      </c>
      <c r="K387" t="s">
        <v>91</v>
      </c>
      <c r="L387" t="s">
        <v>91</v>
      </c>
      <c r="M387" t="s">
        <v>1601</v>
      </c>
      <c r="N387" t="s">
        <v>1588</v>
      </c>
    </row>
    <row r="388" spans="1:14" ht="14.25" customHeight="1">
      <c r="A388">
        <v>387</v>
      </c>
      <c r="B388" t="s">
        <v>9</v>
      </c>
      <c r="C388" t="s">
        <v>1549</v>
      </c>
      <c r="D388" t="s">
        <v>2858</v>
      </c>
      <c r="E388" t="s">
        <v>2859</v>
      </c>
      <c r="F388">
        <v>2024</v>
      </c>
      <c r="G388" t="s">
        <v>2860</v>
      </c>
      <c r="H388" t="s">
        <v>2861</v>
      </c>
      <c r="J388" t="s">
        <v>91</v>
      </c>
      <c r="K388" t="s">
        <v>91</v>
      </c>
      <c r="L388" t="s">
        <v>91</v>
      </c>
      <c r="M388" t="s">
        <v>1570</v>
      </c>
      <c r="N388" t="s">
        <v>1555</v>
      </c>
    </row>
    <row r="389" spans="1:14" ht="14.25" customHeight="1">
      <c r="A389">
        <v>388</v>
      </c>
      <c r="B389" t="s">
        <v>9</v>
      </c>
      <c r="C389" t="s">
        <v>1549</v>
      </c>
      <c r="D389" t="s">
        <v>2862</v>
      </c>
      <c r="E389" t="s">
        <v>2863</v>
      </c>
      <c r="F389">
        <v>2024</v>
      </c>
      <c r="G389" t="s">
        <v>2864</v>
      </c>
      <c r="H389" t="s">
        <v>2865</v>
      </c>
      <c r="J389" t="s">
        <v>91</v>
      </c>
      <c r="K389" t="s">
        <v>91</v>
      </c>
      <c r="L389" t="s">
        <v>91</v>
      </c>
      <c r="M389" t="s">
        <v>1570</v>
      </c>
      <c r="N389" t="s">
        <v>1555</v>
      </c>
    </row>
    <row r="390" spans="1:14" ht="14.25" customHeight="1">
      <c r="A390">
        <v>389</v>
      </c>
      <c r="B390" t="s">
        <v>9</v>
      </c>
      <c r="C390" t="s">
        <v>1549</v>
      </c>
      <c r="D390" t="s">
        <v>2866</v>
      </c>
      <c r="E390" t="s">
        <v>2867</v>
      </c>
      <c r="F390">
        <v>2024</v>
      </c>
      <c r="G390" t="s">
        <v>2868</v>
      </c>
      <c r="H390" t="s">
        <v>2869</v>
      </c>
      <c r="J390" t="s">
        <v>91</v>
      </c>
      <c r="K390" t="s">
        <v>91</v>
      </c>
      <c r="L390" t="s">
        <v>91</v>
      </c>
      <c r="M390" t="s">
        <v>1570</v>
      </c>
      <c r="N390" t="s">
        <v>1588</v>
      </c>
    </row>
    <row r="391" spans="1:14" ht="14.25" customHeight="1">
      <c r="A391">
        <v>390</v>
      </c>
      <c r="B391" t="s">
        <v>9</v>
      </c>
      <c r="C391" t="s">
        <v>1549</v>
      </c>
      <c r="D391" t="s">
        <v>2870</v>
      </c>
      <c r="E391" t="s">
        <v>2871</v>
      </c>
      <c r="F391">
        <v>2024</v>
      </c>
      <c r="G391" t="s">
        <v>1023</v>
      </c>
      <c r="H391" t="s">
        <v>2872</v>
      </c>
      <c r="J391" t="s">
        <v>91</v>
      </c>
      <c r="K391" t="s">
        <v>91</v>
      </c>
      <c r="L391" t="s">
        <v>91</v>
      </c>
      <c r="M391" t="s">
        <v>1587</v>
      </c>
      <c r="N391" t="s">
        <v>1555</v>
      </c>
    </row>
    <row r="392" spans="1:14" ht="14.25" customHeight="1">
      <c r="A392">
        <v>391</v>
      </c>
      <c r="B392" t="s">
        <v>9</v>
      </c>
      <c r="C392" t="s">
        <v>1549</v>
      </c>
      <c r="D392" t="s">
        <v>2873</v>
      </c>
      <c r="E392" t="s">
        <v>2874</v>
      </c>
      <c r="F392">
        <v>2024</v>
      </c>
      <c r="G392" t="s">
        <v>1622</v>
      </c>
      <c r="H392" t="s">
        <v>2875</v>
      </c>
      <c r="J392" t="s">
        <v>91</v>
      </c>
      <c r="K392" t="s">
        <v>91</v>
      </c>
      <c r="L392" t="s">
        <v>91</v>
      </c>
      <c r="M392" t="s">
        <v>1570</v>
      </c>
      <c r="N392" t="s">
        <v>1588</v>
      </c>
    </row>
    <row r="393" spans="1:14" ht="14.25" customHeight="1">
      <c r="A393">
        <v>392</v>
      </c>
      <c r="B393" t="s">
        <v>9</v>
      </c>
      <c r="C393" t="s">
        <v>1549</v>
      </c>
      <c r="D393" t="s">
        <v>2876</v>
      </c>
      <c r="E393" t="s">
        <v>2877</v>
      </c>
      <c r="F393">
        <v>2024</v>
      </c>
      <c r="G393" t="s">
        <v>2878</v>
      </c>
      <c r="H393" t="s">
        <v>2879</v>
      </c>
      <c r="J393" t="s">
        <v>91</v>
      </c>
      <c r="K393" t="s">
        <v>91</v>
      </c>
      <c r="L393" t="s">
        <v>91</v>
      </c>
      <c r="M393" t="s">
        <v>1570</v>
      </c>
      <c r="N393" t="s">
        <v>1588</v>
      </c>
    </row>
    <row r="394" spans="1:14" ht="14.25" customHeight="1">
      <c r="A394">
        <v>393</v>
      </c>
      <c r="B394" t="s">
        <v>9</v>
      </c>
      <c r="C394" t="s">
        <v>1549</v>
      </c>
      <c r="D394" t="s">
        <v>2880</v>
      </c>
      <c r="E394" t="s">
        <v>2881</v>
      </c>
      <c r="F394">
        <v>2024</v>
      </c>
      <c r="G394" t="s">
        <v>2882</v>
      </c>
      <c r="H394" t="s">
        <v>2883</v>
      </c>
      <c r="J394" t="s">
        <v>91</v>
      </c>
      <c r="K394" t="s">
        <v>91</v>
      </c>
      <c r="L394" t="s">
        <v>91</v>
      </c>
      <c r="M394" t="s">
        <v>1570</v>
      </c>
      <c r="N394" t="s">
        <v>1555</v>
      </c>
    </row>
    <row r="395" spans="1:14" ht="14.25" customHeight="1">
      <c r="A395">
        <v>394</v>
      </c>
      <c r="B395" t="s">
        <v>9</v>
      </c>
      <c r="C395" t="s">
        <v>1549</v>
      </c>
      <c r="D395" t="s">
        <v>2884</v>
      </c>
      <c r="E395" t="s">
        <v>2885</v>
      </c>
      <c r="F395">
        <v>2024</v>
      </c>
      <c r="G395" t="s">
        <v>2886</v>
      </c>
      <c r="H395" t="s">
        <v>2887</v>
      </c>
      <c r="J395" t="s">
        <v>91</v>
      </c>
      <c r="K395" t="s">
        <v>91</v>
      </c>
      <c r="L395" t="s">
        <v>91</v>
      </c>
      <c r="M395" t="s">
        <v>1570</v>
      </c>
      <c r="N395" t="s">
        <v>1555</v>
      </c>
    </row>
    <row r="396" spans="1:14" ht="14.25" customHeight="1">
      <c r="A396">
        <v>395</v>
      </c>
      <c r="B396" t="s">
        <v>9</v>
      </c>
      <c r="C396" t="s">
        <v>1549</v>
      </c>
      <c r="D396" t="s">
        <v>2888</v>
      </c>
      <c r="E396" t="s">
        <v>2889</v>
      </c>
      <c r="F396">
        <v>2024</v>
      </c>
      <c r="G396" t="s">
        <v>2890</v>
      </c>
      <c r="H396" t="s">
        <v>2891</v>
      </c>
      <c r="J396" t="s">
        <v>91</v>
      </c>
      <c r="K396" t="s">
        <v>91</v>
      </c>
      <c r="L396" t="s">
        <v>91</v>
      </c>
      <c r="M396" t="s">
        <v>1570</v>
      </c>
      <c r="N396" t="s">
        <v>1588</v>
      </c>
    </row>
    <row r="397" spans="1:14" ht="14.25" customHeight="1">
      <c r="A397">
        <v>396</v>
      </c>
      <c r="B397" t="s">
        <v>9</v>
      </c>
      <c r="C397" t="s">
        <v>1549</v>
      </c>
      <c r="D397" t="s">
        <v>2892</v>
      </c>
      <c r="E397" t="s">
        <v>2893</v>
      </c>
      <c r="F397">
        <v>2024</v>
      </c>
      <c r="G397" t="s">
        <v>2868</v>
      </c>
      <c r="H397" t="s">
        <v>2894</v>
      </c>
      <c r="J397" t="s">
        <v>91</v>
      </c>
      <c r="K397" t="s">
        <v>91</v>
      </c>
      <c r="L397" t="s">
        <v>91</v>
      </c>
      <c r="M397" t="s">
        <v>1570</v>
      </c>
      <c r="N397" t="s">
        <v>1588</v>
      </c>
    </row>
    <row r="398" spans="1:14" ht="14.25" customHeight="1">
      <c r="A398">
        <v>397</v>
      </c>
      <c r="B398" t="s">
        <v>9</v>
      </c>
      <c r="C398" t="s">
        <v>1549</v>
      </c>
      <c r="D398" t="s">
        <v>2895</v>
      </c>
      <c r="E398" t="s">
        <v>2896</v>
      </c>
      <c r="F398">
        <v>2024</v>
      </c>
      <c r="G398" t="s">
        <v>2897</v>
      </c>
      <c r="H398" t="s">
        <v>2898</v>
      </c>
      <c r="J398" t="s">
        <v>91</v>
      </c>
      <c r="K398" t="s">
        <v>91</v>
      </c>
      <c r="L398" t="s">
        <v>91</v>
      </c>
      <c r="M398" t="s">
        <v>1587</v>
      </c>
      <c r="N398" t="s">
        <v>1555</v>
      </c>
    </row>
    <row r="399" spans="1:14" ht="14.25" customHeight="1">
      <c r="A399">
        <v>398</v>
      </c>
      <c r="B399" t="s">
        <v>9</v>
      </c>
      <c r="C399" t="s">
        <v>1549</v>
      </c>
      <c r="D399" t="s">
        <v>2899</v>
      </c>
      <c r="E399" t="s">
        <v>2900</v>
      </c>
      <c r="F399">
        <v>2024</v>
      </c>
      <c r="G399" t="s">
        <v>923</v>
      </c>
      <c r="H399" t="s">
        <v>2901</v>
      </c>
      <c r="J399" t="s">
        <v>91</v>
      </c>
      <c r="K399" t="s">
        <v>91</v>
      </c>
      <c r="L399" t="s">
        <v>91</v>
      </c>
      <c r="M399" t="s">
        <v>1570</v>
      </c>
      <c r="N399" t="s">
        <v>1555</v>
      </c>
    </row>
    <row r="400" spans="1:14" ht="14.25" customHeight="1">
      <c r="A400">
        <v>399</v>
      </c>
      <c r="B400" t="s">
        <v>9</v>
      </c>
      <c r="C400" t="s">
        <v>1549</v>
      </c>
      <c r="D400" t="s">
        <v>2902</v>
      </c>
      <c r="E400" t="s">
        <v>2903</v>
      </c>
      <c r="F400">
        <v>2024</v>
      </c>
      <c r="G400" t="s">
        <v>2904</v>
      </c>
      <c r="H400" t="s">
        <v>2905</v>
      </c>
      <c r="J400" t="s">
        <v>91</v>
      </c>
      <c r="K400" t="s">
        <v>91</v>
      </c>
      <c r="L400" t="s">
        <v>91</v>
      </c>
      <c r="M400" t="s">
        <v>1587</v>
      </c>
      <c r="N400" t="s">
        <v>1588</v>
      </c>
    </row>
    <row r="401" spans="1:14" ht="14.25" customHeight="1">
      <c r="A401">
        <v>400</v>
      </c>
      <c r="B401" t="s">
        <v>9</v>
      </c>
      <c r="C401" t="s">
        <v>1549</v>
      </c>
      <c r="D401" t="s">
        <v>2906</v>
      </c>
      <c r="E401" t="s">
        <v>2907</v>
      </c>
      <c r="F401">
        <v>2024</v>
      </c>
      <c r="G401" t="s">
        <v>2908</v>
      </c>
      <c r="H401" t="s">
        <v>2909</v>
      </c>
      <c r="J401" t="s">
        <v>91</v>
      </c>
      <c r="K401" t="s">
        <v>91</v>
      </c>
      <c r="L401" t="s">
        <v>91</v>
      </c>
      <c r="M401" t="s">
        <v>1570</v>
      </c>
      <c r="N401" t="s">
        <v>1588</v>
      </c>
    </row>
    <row r="402" spans="1:14" ht="14.25" customHeight="1">
      <c r="A402">
        <v>401</v>
      </c>
      <c r="B402" t="s">
        <v>9</v>
      </c>
      <c r="C402" t="s">
        <v>1549</v>
      </c>
      <c r="D402" t="s">
        <v>2910</v>
      </c>
      <c r="E402" t="s">
        <v>2911</v>
      </c>
      <c r="F402">
        <v>2024</v>
      </c>
      <c r="G402" t="s">
        <v>2912</v>
      </c>
      <c r="H402" t="s">
        <v>2913</v>
      </c>
      <c r="J402" t="s">
        <v>91</v>
      </c>
      <c r="K402" t="s">
        <v>91</v>
      </c>
      <c r="L402" t="s">
        <v>91</v>
      </c>
      <c r="M402" t="s">
        <v>1570</v>
      </c>
      <c r="N402" t="s">
        <v>1588</v>
      </c>
    </row>
    <row r="403" spans="1:14" ht="14.25" customHeight="1">
      <c r="A403">
        <v>402</v>
      </c>
      <c r="B403" t="s">
        <v>9</v>
      </c>
      <c r="C403" t="s">
        <v>1549</v>
      </c>
      <c r="D403" t="s">
        <v>2914</v>
      </c>
      <c r="E403" t="s">
        <v>2915</v>
      </c>
      <c r="F403">
        <v>2024</v>
      </c>
      <c r="G403" t="s">
        <v>2916</v>
      </c>
      <c r="H403" t="s">
        <v>2917</v>
      </c>
      <c r="J403" t="s">
        <v>91</v>
      </c>
      <c r="K403" t="s">
        <v>91</v>
      </c>
      <c r="L403" t="s">
        <v>91</v>
      </c>
      <c r="M403" t="s">
        <v>1570</v>
      </c>
      <c r="N403" t="s">
        <v>1588</v>
      </c>
    </row>
    <row r="404" spans="1:14" ht="14.25" customHeight="1">
      <c r="A404">
        <v>403</v>
      </c>
      <c r="B404" t="s">
        <v>9</v>
      </c>
      <c r="C404" t="s">
        <v>1549</v>
      </c>
      <c r="D404" t="s">
        <v>2918</v>
      </c>
      <c r="E404" t="s">
        <v>2919</v>
      </c>
      <c r="F404">
        <v>2024</v>
      </c>
      <c r="G404" t="s">
        <v>2190</v>
      </c>
      <c r="H404" t="s">
        <v>2920</v>
      </c>
      <c r="J404" t="s">
        <v>91</v>
      </c>
      <c r="K404" t="s">
        <v>91</v>
      </c>
      <c r="L404" t="s">
        <v>91</v>
      </c>
      <c r="M404" t="s">
        <v>1587</v>
      </c>
      <c r="N404" t="s">
        <v>1555</v>
      </c>
    </row>
    <row r="405" spans="1:14" ht="14.25" customHeight="1">
      <c r="A405">
        <v>404</v>
      </c>
      <c r="B405" t="s">
        <v>9</v>
      </c>
      <c r="C405" t="s">
        <v>1549</v>
      </c>
      <c r="D405" t="s">
        <v>2921</v>
      </c>
      <c r="E405" t="s">
        <v>2922</v>
      </c>
      <c r="F405">
        <v>2024</v>
      </c>
      <c r="G405" t="s">
        <v>2923</v>
      </c>
      <c r="H405" t="s">
        <v>2924</v>
      </c>
      <c r="J405" t="s">
        <v>91</v>
      </c>
      <c r="K405" t="s">
        <v>91</v>
      </c>
      <c r="L405" t="s">
        <v>91</v>
      </c>
      <c r="M405" t="s">
        <v>1554</v>
      </c>
      <c r="N405" t="s">
        <v>1555</v>
      </c>
    </row>
    <row r="406" spans="1:14" ht="14.25" customHeight="1">
      <c r="A406">
        <v>405</v>
      </c>
      <c r="B406" t="s">
        <v>9</v>
      </c>
      <c r="C406" t="s">
        <v>1549</v>
      </c>
      <c r="D406" t="s">
        <v>2925</v>
      </c>
      <c r="E406" t="s">
        <v>2926</v>
      </c>
      <c r="F406">
        <v>2024</v>
      </c>
      <c r="G406" t="s">
        <v>2927</v>
      </c>
      <c r="H406" t="s">
        <v>2928</v>
      </c>
      <c r="J406" t="s">
        <v>91</v>
      </c>
      <c r="K406" t="s">
        <v>91</v>
      </c>
      <c r="L406" t="s">
        <v>91</v>
      </c>
      <c r="M406" t="s">
        <v>1570</v>
      </c>
      <c r="N406" t="s">
        <v>1588</v>
      </c>
    </row>
    <row r="407" spans="1:14" ht="14.25" customHeight="1">
      <c r="A407">
        <v>406</v>
      </c>
      <c r="B407" t="s">
        <v>9</v>
      </c>
      <c r="C407" t="s">
        <v>1549</v>
      </c>
      <c r="D407" t="s">
        <v>2929</v>
      </c>
      <c r="E407" t="s">
        <v>2930</v>
      </c>
      <c r="F407">
        <v>2024</v>
      </c>
      <c r="G407" t="s">
        <v>1949</v>
      </c>
      <c r="H407" t="s">
        <v>2931</v>
      </c>
      <c r="J407" t="s">
        <v>91</v>
      </c>
      <c r="K407" t="s">
        <v>91</v>
      </c>
      <c r="L407" t="s">
        <v>91</v>
      </c>
      <c r="M407" t="s">
        <v>1587</v>
      </c>
      <c r="N407" t="s">
        <v>1555</v>
      </c>
    </row>
    <row r="408" spans="1:14" ht="14.25" customHeight="1">
      <c r="A408">
        <v>407</v>
      </c>
      <c r="B408" t="s">
        <v>9</v>
      </c>
      <c r="C408" t="s">
        <v>1549</v>
      </c>
      <c r="D408" t="s">
        <v>2932</v>
      </c>
      <c r="E408" t="s">
        <v>2933</v>
      </c>
      <c r="F408">
        <v>2024</v>
      </c>
      <c r="G408" t="s">
        <v>2934</v>
      </c>
      <c r="H408" t="s">
        <v>2935</v>
      </c>
      <c r="J408" t="s">
        <v>91</v>
      </c>
      <c r="K408" t="s">
        <v>91</v>
      </c>
      <c r="L408" t="s">
        <v>91</v>
      </c>
      <c r="M408" t="s">
        <v>1570</v>
      </c>
      <c r="N408" t="s">
        <v>1588</v>
      </c>
    </row>
    <row r="409" spans="1:14" ht="14.25" customHeight="1">
      <c r="A409">
        <v>408</v>
      </c>
      <c r="B409" t="s">
        <v>9</v>
      </c>
      <c r="C409" t="s">
        <v>1549</v>
      </c>
      <c r="D409" t="s">
        <v>2936</v>
      </c>
      <c r="E409" t="s">
        <v>2937</v>
      </c>
      <c r="F409">
        <v>2024</v>
      </c>
      <c r="G409" t="s">
        <v>2783</v>
      </c>
      <c r="H409" t="s">
        <v>2938</v>
      </c>
      <c r="J409" t="s">
        <v>91</v>
      </c>
      <c r="K409" t="s">
        <v>91</v>
      </c>
      <c r="L409" t="s">
        <v>91</v>
      </c>
      <c r="M409" t="s">
        <v>1570</v>
      </c>
      <c r="N409" t="s">
        <v>1588</v>
      </c>
    </row>
    <row r="410" spans="1:14" ht="14.25" customHeight="1">
      <c r="A410">
        <v>409</v>
      </c>
      <c r="B410" t="s">
        <v>9</v>
      </c>
      <c r="C410" t="s">
        <v>1549</v>
      </c>
      <c r="D410" t="s">
        <v>2939</v>
      </c>
      <c r="E410" t="s">
        <v>2940</v>
      </c>
      <c r="F410">
        <v>2024</v>
      </c>
      <c r="G410" t="s">
        <v>1058</v>
      </c>
      <c r="H410" t="s">
        <v>2941</v>
      </c>
      <c r="J410" t="s">
        <v>91</v>
      </c>
      <c r="K410" t="s">
        <v>91</v>
      </c>
      <c r="L410" t="s">
        <v>91</v>
      </c>
      <c r="M410" t="s">
        <v>1570</v>
      </c>
      <c r="N410" t="s">
        <v>1588</v>
      </c>
    </row>
    <row r="411" spans="1:14" ht="14.25" customHeight="1">
      <c r="A411">
        <v>410</v>
      </c>
      <c r="B411" t="s">
        <v>9</v>
      </c>
      <c r="C411" t="s">
        <v>1549</v>
      </c>
      <c r="D411" t="s">
        <v>2942</v>
      </c>
      <c r="F411">
        <v>2024</v>
      </c>
      <c r="G411" t="s">
        <v>2943</v>
      </c>
      <c r="H411" t="s">
        <v>2944</v>
      </c>
      <c r="J411" t="s">
        <v>91</v>
      </c>
      <c r="K411" t="s">
        <v>91</v>
      </c>
      <c r="L411" t="s">
        <v>91</v>
      </c>
      <c r="M411" t="s">
        <v>1570</v>
      </c>
      <c r="N411" t="s">
        <v>1555</v>
      </c>
    </row>
    <row r="412" spans="1:14" ht="14.25" customHeight="1">
      <c r="A412">
        <v>411</v>
      </c>
      <c r="B412" t="s">
        <v>9</v>
      </c>
      <c r="C412" t="s">
        <v>1549</v>
      </c>
      <c r="D412" t="s">
        <v>2945</v>
      </c>
      <c r="E412" t="s">
        <v>2946</v>
      </c>
      <c r="F412">
        <v>2024</v>
      </c>
      <c r="G412" t="s">
        <v>2947</v>
      </c>
      <c r="H412" t="s">
        <v>2948</v>
      </c>
      <c r="J412" t="s">
        <v>91</v>
      </c>
      <c r="K412" t="s">
        <v>91</v>
      </c>
      <c r="L412" t="s">
        <v>91</v>
      </c>
      <c r="M412" t="s">
        <v>1570</v>
      </c>
      <c r="N412" t="s">
        <v>1555</v>
      </c>
    </row>
    <row r="413" spans="1:14" ht="14.25" customHeight="1">
      <c r="A413">
        <v>412</v>
      </c>
      <c r="B413" t="s">
        <v>9</v>
      </c>
      <c r="C413" t="s">
        <v>1549</v>
      </c>
      <c r="D413" t="s">
        <v>2949</v>
      </c>
      <c r="E413" t="s">
        <v>2950</v>
      </c>
      <c r="F413">
        <v>2024</v>
      </c>
      <c r="G413" t="s">
        <v>1140</v>
      </c>
      <c r="H413" t="s">
        <v>2951</v>
      </c>
      <c r="J413" t="s">
        <v>91</v>
      </c>
      <c r="K413" t="s">
        <v>91</v>
      </c>
      <c r="L413" t="s">
        <v>91</v>
      </c>
      <c r="M413" t="s">
        <v>1570</v>
      </c>
      <c r="N413" t="s">
        <v>1588</v>
      </c>
    </row>
    <row r="414" spans="1:14" ht="14.25" customHeight="1">
      <c r="A414">
        <v>413</v>
      </c>
      <c r="B414" t="s">
        <v>9</v>
      </c>
      <c r="C414" t="s">
        <v>1549</v>
      </c>
      <c r="D414" t="s">
        <v>2952</v>
      </c>
      <c r="E414" t="s">
        <v>2953</v>
      </c>
      <c r="F414">
        <v>2024</v>
      </c>
      <c r="G414" t="s">
        <v>2954</v>
      </c>
      <c r="H414" t="s">
        <v>2955</v>
      </c>
      <c r="J414" t="s">
        <v>91</v>
      </c>
      <c r="K414" t="s">
        <v>91</v>
      </c>
      <c r="L414" t="s">
        <v>91</v>
      </c>
      <c r="M414" t="s">
        <v>1593</v>
      </c>
      <c r="N414" t="s">
        <v>1588</v>
      </c>
    </row>
    <row r="415" spans="1:14" ht="14.25" customHeight="1">
      <c r="A415">
        <v>414</v>
      </c>
      <c r="B415" t="s">
        <v>9</v>
      </c>
      <c r="C415" t="s">
        <v>1549</v>
      </c>
      <c r="D415" t="s">
        <v>2956</v>
      </c>
      <c r="E415" t="s">
        <v>2957</v>
      </c>
      <c r="F415">
        <v>2024</v>
      </c>
      <c r="G415" t="s">
        <v>1825</v>
      </c>
      <c r="H415" t="s">
        <v>2958</v>
      </c>
      <c r="J415" t="s">
        <v>91</v>
      </c>
      <c r="K415" t="s">
        <v>91</v>
      </c>
      <c r="L415" t="s">
        <v>91</v>
      </c>
      <c r="M415" t="s">
        <v>1570</v>
      </c>
      <c r="N415" t="s">
        <v>1555</v>
      </c>
    </row>
    <row r="416" spans="1:14" ht="14.25" customHeight="1">
      <c r="A416">
        <v>415</v>
      </c>
      <c r="B416" t="s">
        <v>9</v>
      </c>
      <c r="C416" t="s">
        <v>1549</v>
      </c>
      <c r="D416" t="s">
        <v>2959</v>
      </c>
      <c r="E416" t="s">
        <v>2960</v>
      </c>
      <c r="F416">
        <v>2024</v>
      </c>
      <c r="G416" t="s">
        <v>2961</v>
      </c>
      <c r="H416" t="s">
        <v>2962</v>
      </c>
      <c r="J416" t="s">
        <v>91</v>
      </c>
      <c r="K416" t="s">
        <v>91</v>
      </c>
      <c r="L416" t="s">
        <v>91</v>
      </c>
      <c r="M416" t="s">
        <v>1587</v>
      </c>
      <c r="N416" t="s">
        <v>1588</v>
      </c>
    </row>
    <row r="417" spans="1:16" ht="14.25" customHeight="1">
      <c r="A417">
        <v>416</v>
      </c>
      <c r="B417" t="s">
        <v>9</v>
      </c>
      <c r="C417" t="s">
        <v>1549</v>
      </c>
      <c r="D417" t="s">
        <v>2963</v>
      </c>
      <c r="E417" t="s">
        <v>2964</v>
      </c>
      <c r="F417">
        <v>2024</v>
      </c>
      <c r="G417" t="s">
        <v>2965</v>
      </c>
      <c r="H417" t="s">
        <v>2966</v>
      </c>
      <c r="J417" t="s">
        <v>91</v>
      </c>
      <c r="K417" t="s">
        <v>91</v>
      </c>
      <c r="L417" t="s">
        <v>91</v>
      </c>
      <c r="M417" t="s">
        <v>1570</v>
      </c>
      <c r="N417" t="s">
        <v>1555</v>
      </c>
    </row>
    <row r="418" spans="1:16" ht="14.25" customHeight="1">
      <c r="A418">
        <v>417</v>
      </c>
      <c r="B418" t="s">
        <v>9</v>
      </c>
      <c r="C418" t="s">
        <v>1549</v>
      </c>
      <c r="D418" t="s">
        <v>2967</v>
      </c>
      <c r="E418" t="s">
        <v>2968</v>
      </c>
      <c r="F418">
        <v>2024</v>
      </c>
      <c r="G418" t="s">
        <v>969</v>
      </c>
      <c r="H418" t="s">
        <v>2969</v>
      </c>
      <c r="J418" t="s">
        <v>91</v>
      </c>
      <c r="K418" t="s">
        <v>91</v>
      </c>
      <c r="L418" t="s">
        <v>91</v>
      </c>
      <c r="M418" t="s">
        <v>1570</v>
      </c>
      <c r="N418" t="s">
        <v>1555</v>
      </c>
    </row>
    <row r="419" spans="1:16" ht="14.25" customHeight="1">
      <c r="A419">
        <v>418</v>
      </c>
      <c r="B419" t="s">
        <v>9</v>
      </c>
      <c r="C419" t="s">
        <v>1549</v>
      </c>
      <c r="D419" t="s">
        <v>2970</v>
      </c>
      <c r="E419" t="s">
        <v>2971</v>
      </c>
      <c r="F419">
        <v>2024</v>
      </c>
      <c r="G419" t="s">
        <v>1942</v>
      </c>
      <c r="H419" t="s">
        <v>2972</v>
      </c>
      <c r="J419" t="s">
        <v>91</v>
      </c>
      <c r="K419" t="s">
        <v>91</v>
      </c>
      <c r="L419" t="s">
        <v>91</v>
      </c>
      <c r="M419" t="s">
        <v>1587</v>
      </c>
      <c r="N419" t="s">
        <v>1555</v>
      </c>
    </row>
    <row r="420" spans="1:16" ht="14.25" customHeight="1">
      <c r="A420">
        <v>419</v>
      </c>
      <c r="B420" t="s">
        <v>9</v>
      </c>
      <c r="C420" t="s">
        <v>1549</v>
      </c>
      <c r="D420" t="s">
        <v>2973</v>
      </c>
      <c r="E420" t="s">
        <v>2974</v>
      </c>
      <c r="F420">
        <v>2024</v>
      </c>
      <c r="G420" t="s">
        <v>2975</v>
      </c>
      <c r="H420" t="s">
        <v>2976</v>
      </c>
      <c r="J420" t="s">
        <v>91</v>
      </c>
      <c r="K420" t="s">
        <v>91</v>
      </c>
      <c r="L420" t="s">
        <v>91</v>
      </c>
      <c r="M420" t="s">
        <v>1587</v>
      </c>
      <c r="N420" t="s">
        <v>1555</v>
      </c>
    </row>
    <row r="421" spans="1:16" ht="14.25" customHeight="1">
      <c r="A421">
        <v>420</v>
      </c>
      <c r="B421" t="s">
        <v>9</v>
      </c>
      <c r="C421" t="s">
        <v>1549</v>
      </c>
      <c r="D421" t="s">
        <v>2977</v>
      </c>
      <c r="E421" t="s">
        <v>2978</v>
      </c>
      <c r="F421">
        <v>2024</v>
      </c>
      <c r="G421" t="s">
        <v>1573</v>
      </c>
      <c r="H421" t="s">
        <v>2979</v>
      </c>
      <c r="J421" t="s">
        <v>91</v>
      </c>
      <c r="K421" t="s">
        <v>91</v>
      </c>
      <c r="L421" t="s">
        <v>91</v>
      </c>
      <c r="M421" t="s">
        <v>1554</v>
      </c>
      <c r="N421" t="s">
        <v>1555</v>
      </c>
    </row>
    <row r="422" spans="1:16" ht="14.25" customHeight="1">
      <c r="A422" s="20">
        <v>421</v>
      </c>
      <c r="B422" s="20" t="s">
        <v>9</v>
      </c>
      <c r="C422" s="20" t="s">
        <v>1549</v>
      </c>
      <c r="D422" s="20" t="s">
        <v>1021</v>
      </c>
      <c r="E422" s="20" t="s">
        <v>1022</v>
      </c>
      <c r="F422" s="20">
        <v>2025</v>
      </c>
      <c r="G422" s="20" t="s">
        <v>1023</v>
      </c>
      <c r="H422" s="20" t="s">
        <v>1024</v>
      </c>
      <c r="I422" s="20"/>
      <c r="J422" s="20" t="s">
        <v>76</v>
      </c>
      <c r="K422" s="20" t="s">
        <v>76</v>
      </c>
      <c r="L422" s="20" t="s">
        <v>76</v>
      </c>
      <c r="M422" s="20" t="s">
        <v>1625</v>
      </c>
      <c r="N422" s="20" t="s">
        <v>1555</v>
      </c>
      <c r="O422" s="20"/>
      <c r="P422" s="20"/>
    </row>
    <row r="423" spans="1:16" ht="14.25" customHeight="1">
      <c r="A423">
        <v>422</v>
      </c>
      <c r="B423" t="s">
        <v>9</v>
      </c>
      <c r="C423" t="s">
        <v>1549</v>
      </c>
      <c r="D423" t="s">
        <v>2980</v>
      </c>
      <c r="E423" t="s">
        <v>2981</v>
      </c>
      <c r="F423">
        <v>2025</v>
      </c>
      <c r="G423" t="s">
        <v>923</v>
      </c>
      <c r="H423" t="s">
        <v>2982</v>
      </c>
      <c r="J423" t="s">
        <v>91</v>
      </c>
      <c r="K423" t="s">
        <v>91</v>
      </c>
      <c r="L423" t="s">
        <v>91</v>
      </c>
      <c r="M423" t="s">
        <v>1570</v>
      </c>
      <c r="N423" t="s">
        <v>1555</v>
      </c>
    </row>
    <row r="424" spans="1:16" ht="14.25" customHeight="1">
      <c r="A424">
        <v>423</v>
      </c>
      <c r="B424" t="s">
        <v>9</v>
      </c>
      <c r="C424" t="s">
        <v>1549</v>
      </c>
      <c r="D424" t="s">
        <v>2983</v>
      </c>
      <c r="E424" t="s">
        <v>1621</v>
      </c>
      <c r="F424">
        <v>2025</v>
      </c>
      <c r="G424" t="s">
        <v>923</v>
      </c>
      <c r="H424" t="s">
        <v>2984</v>
      </c>
      <c r="J424" t="s">
        <v>91</v>
      </c>
      <c r="K424" t="s">
        <v>91</v>
      </c>
      <c r="L424" t="s">
        <v>91</v>
      </c>
      <c r="M424" t="s">
        <v>1570</v>
      </c>
      <c r="N424" t="s">
        <v>1555</v>
      </c>
    </row>
    <row r="425" spans="1:16" ht="14.25" customHeight="1">
      <c r="A425">
        <v>424</v>
      </c>
      <c r="B425" t="s">
        <v>9</v>
      </c>
      <c r="C425" t="s">
        <v>1549</v>
      </c>
      <c r="D425" t="s">
        <v>2985</v>
      </c>
      <c r="E425" t="s">
        <v>2986</v>
      </c>
      <c r="F425">
        <v>2025</v>
      </c>
      <c r="G425" t="s">
        <v>923</v>
      </c>
      <c r="H425" t="s">
        <v>2987</v>
      </c>
      <c r="J425" t="s">
        <v>91</v>
      </c>
      <c r="K425" t="s">
        <v>91</v>
      </c>
      <c r="L425" t="s">
        <v>91</v>
      </c>
      <c r="M425" t="s">
        <v>1554</v>
      </c>
      <c r="N425" t="s">
        <v>1555</v>
      </c>
    </row>
    <row r="426" spans="1:16" ht="14.25" customHeight="1">
      <c r="A426">
        <v>425</v>
      </c>
      <c r="B426" t="s">
        <v>9</v>
      </c>
      <c r="C426" t="s">
        <v>1549</v>
      </c>
      <c r="D426" t="s">
        <v>2988</v>
      </c>
      <c r="E426" t="s">
        <v>2989</v>
      </c>
      <c r="F426">
        <v>2025</v>
      </c>
      <c r="G426" t="s">
        <v>2882</v>
      </c>
      <c r="H426" t="s">
        <v>2990</v>
      </c>
      <c r="J426" t="s">
        <v>91</v>
      </c>
      <c r="K426" t="s">
        <v>91</v>
      </c>
      <c r="L426" t="s">
        <v>91</v>
      </c>
      <c r="M426" t="s">
        <v>1570</v>
      </c>
      <c r="N426" t="s">
        <v>1555</v>
      </c>
    </row>
    <row r="427" spans="1:16" ht="14.25" customHeight="1">
      <c r="A427">
        <v>426</v>
      </c>
      <c r="B427" t="s">
        <v>9</v>
      </c>
      <c r="C427" t="s">
        <v>1549</v>
      </c>
      <c r="D427" t="s">
        <v>2991</v>
      </c>
      <c r="E427" t="s">
        <v>2992</v>
      </c>
      <c r="F427">
        <v>2025</v>
      </c>
      <c r="G427" t="s">
        <v>2993</v>
      </c>
      <c r="H427" t="s">
        <v>2994</v>
      </c>
      <c r="J427" t="s">
        <v>91</v>
      </c>
      <c r="K427" t="s">
        <v>91</v>
      </c>
      <c r="L427" t="s">
        <v>91</v>
      </c>
      <c r="M427" t="s">
        <v>1570</v>
      </c>
      <c r="N427" t="s">
        <v>1588</v>
      </c>
    </row>
    <row r="428" spans="1:16" ht="14.25" customHeight="1">
      <c r="A428">
        <v>427</v>
      </c>
      <c r="B428" t="s">
        <v>9</v>
      </c>
      <c r="C428" t="s">
        <v>1549</v>
      </c>
      <c r="D428" t="s">
        <v>2995</v>
      </c>
      <c r="E428" t="s">
        <v>2996</v>
      </c>
      <c r="F428">
        <v>2025</v>
      </c>
      <c r="G428" t="s">
        <v>1949</v>
      </c>
      <c r="H428" t="s">
        <v>2997</v>
      </c>
      <c r="J428" t="s">
        <v>91</v>
      </c>
      <c r="K428" t="s">
        <v>91</v>
      </c>
      <c r="L428" t="s">
        <v>91</v>
      </c>
      <c r="M428" t="s">
        <v>1570</v>
      </c>
      <c r="N428" t="s">
        <v>1555</v>
      </c>
    </row>
    <row r="429" spans="1:16" ht="14.25" customHeight="1">
      <c r="A429">
        <v>428</v>
      </c>
      <c r="B429" t="s">
        <v>9</v>
      </c>
      <c r="C429" t="s">
        <v>1549</v>
      </c>
      <c r="D429" t="s">
        <v>2998</v>
      </c>
      <c r="E429" t="s">
        <v>2999</v>
      </c>
      <c r="F429">
        <v>2025</v>
      </c>
      <c r="G429" t="s">
        <v>1094</v>
      </c>
      <c r="H429" t="s">
        <v>3000</v>
      </c>
      <c r="J429" t="s">
        <v>91</v>
      </c>
      <c r="K429" t="s">
        <v>91</v>
      </c>
      <c r="L429" t="s">
        <v>91</v>
      </c>
      <c r="M429" t="s">
        <v>1554</v>
      </c>
      <c r="N429" t="s">
        <v>1555</v>
      </c>
    </row>
    <row r="430" spans="1:16" ht="14.25" customHeight="1">
      <c r="A430">
        <v>429</v>
      </c>
      <c r="B430" t="s">
        <v>9</v>
      </c>
      <c r="C430" t="s">
        <v>1549</v>
      </c>
      <c r="D430" t="s">
        <v>3001</v>
      </c>
      <c r="E430" t="s">
        <v>3002</v>
      </c>
      <c r="F430">
        <v>2025</v>
      </c>
      <c r="G430" t="s">
        <v>923</v>
      </c>
      <c r="H430" t="s">
        <v>3003</v>
      </c>
      <c r="J430" t="s">
        <v>91</v>
      </c>
      <c r="K430" t="s">
        <v>91</v>
      </c>
      <c r="L430" t="s">
        <v>91</v>
      </c>
      <c r="M430" t="s">
        <v>1554</v>
      </c>
      <c r="N430" t="s">
        <v>1555</v>
      </c>
    </row>
    <row r="431" spans="1:16" ht="14.25" customHeight="1">
      <c r="A431">
        <v>430</v>
      </c>
      <c r="B431" t="s">
        <v>9</v>
      </c>
      <c r="C431" t="s">
        <v>1549</v>
      </c>
      <c r="D431" t="s">
        <v>3004</v>
      </c>
      <c r="E431" t="s">
        <v>3005</v>
      </c>
      <c r="F431">
        <v>2025</v>
      </c>
      <c r="G431" t="s">
        <v>3006</v>
      </c>
      <c r="H431" t="s">
        <v>3007</v>
      </c>
      <c r="J431" t="s">
        <v>91</v>
      </c>
      <c r="K431" t="s">
        <v>91</v>
      </c>
      <c r="L431" t="s">
        <v>91</v>
      </c>
      <c r="M431" t="s">
        <v>1570</v>
      </c>
      <c r="N431" t="s">
        <v>1555</v>
      </c>
    </row>
    <row r="432" spans="1:16" ht="14.25" customHeight="1">
      <c r="A432">
        <v>431</v>
      </c>
      <c r="B432" t="s">
        <v>9</v>
      </c>
      <c r="C432" t="s">
        <v>1549</v>
      </c>
      <c r="D432" t="s">
        <v>3008</v>
      </c>
      <c r="E432" t="s">
        <v>1072</v>
      </c>
      <c r="F432">
        <v>2025</v>
      </c>
      <c r="G432" t="s">
        <v>923</v>
      </c>
      <c r="H432" t="s">
        <v>3009</v>
      </c>
      <c r="J432" t="s">
        <v>91</v>
      </c>
      <c r="K432" t="s">
        <v>91</v>
      </c>
      <c r="L432" t="s">
        <v>91</v>
      </c>
      <c r="M432" t="s">
        <v>1593</v>
      </c>
      <c r="N432" t="s">
        <v>1555</v>
      </c>
    </row>
    <row r="433" spans="1:16" ht="14.25" customHeight="1">
      <c r="A433" s="20">
        <v>432</v>
      </c>
      <c r="B433" s="20" t="s">
        <v>9</v>
      </c>
      <c r="C433" s="20" t="s">
        <v>1549</v>
      </c>
      <c r="D433" s="20" t="s">
        <v>1025</v>
      </c>
      <c r="E433" s="20" t="s">
        <v>1026</v>
      </c>
      <c r="F433" s="20">
        <v>2025</v>
      </c>
      <c r="G433" s="20" t="s">
        <v>1027</v>
      </c>
      <c r="H433" s="20" t="s">
        <v>1028</v>
      </c>
      <c r="I433" s="20"/>
      <c r="J433" s="20" t="s">
        <v>76</v>
      </c>
      <c r="K433" s="20" t="s">
        <v>76</v>
      </c>
      <c r="L433" s="20" t="s">
        <v>76</v>
      </c>
      <c r="M433" s="20" t="s">
        <v>1625</v>
      </c>
      <c r="N433" s="20" t="s">
        <v>1588</v>
      </c>
      <c r="O433" s="20"/>
      <c r="P433" s="20"/>
    </row>
    <row r="434" spans="1:16" ht="14.25" customHeight="1">
      <c r="A434">
        <v>433</v>
      </c>
      <c r="B434" t="s">
        <v>9</v>
      </c>
      <c r="C434" t="s">
        <v>1549</v>
      </c>
      <c r="D434" t="s">
        <v>3010</v>
      </c>
      <c r="E434" t="s">
        <v>3011</v>
      </c>
      <c r="F434">
        <v>2025</v>
      </c>
      <c r="G434" t="s">
        <v>2190</v>
      </c>
      <c r="H434" t="s">
        <v>3012</v>
      </c>
      <c r="J434" t="s">
        <v>91</v>
      </c>
      <c r="K434" t="s">
        <v>91</v>
      </c>
      <c r="L434" t="s">
        <v>91</v>
      </c>
      <c r="M434" t="s">
        <v>1570</v>
      </c>
      <c r="N434" t="s">
        <v>1555</v>
      </c>
    </row>
    <row r="435" spans="1:16" ht="14.25" customHeight="1">
      <c r="A435">
        <v>434</v>
      </c>
      <c r="B435" t="s">
        <v>9</v>
      </c>
      <c r="C435" t="s">
        <v>1549</v>
      </c>
      <c r="D435" t="s">
        <v>3013</v>
      </c>
      <c r="E435" t="s">
        <v>992</v>
      </c>
      <c r="F435">
        <v>2025</v>
      </c>
      <c r="G435" t="s">
        <v>3014</v>
      </c>
      <c r="H435" t="s">
        <v>3015</v>
      </c>
      <c r="J435" t="s">
        <v>91</v>
      </c>
      <c r="K435" t="s">
        <v>91</v>
      </c>
      <c r="L435" t="s">
        <v>91</v>
      </c>
      <c r="M435" t="s">
        <v>1570</v>
      </c>
      <c r="N435" t="s">
        <v>1588</v>
      </c>
    </row>
    <row r="436" spans="1:16" ht="14.25" customHeight="1">
      <c r="A436">
        <v>435</v>
      </c>
      <c r="B436" t="s">
        <v>9</v>
      </c>
      <c r="C436" t="s">
        <v>1549</v>
      </c>
      <c r="D436" t="s">
        <v>3016</v>
      </c>
      <c r="E436" t="s">
        <v>3017</v>
      </c>
      <c r="F436">
        <v>2025</v>
      </c>
      <c r="G436" t="s">
        <v>1050</v>
      </c>
      <c r="H436" t="s">
        <v>3018</v>
      </c>
      <c r="J436" t="s">
        <v>91</v>
      </c>
      <c r="K436" t="s">
        <v>91</v>
      </c>
      <c r="L436" t="s">
        <v>91</v>
      </c>
      <c r="M436" t="s">
        <v>1587</v>
      </c>
      <c r="N436" t="s">
        <v>1555</v>
      </c>
    </row>
    <row r="437" spans="1:16" ht="14.25" customHeight="1">
      <c r="A437">
        <v>436</v>
      </c>
      <c r="B437" t="s">
        <v>9</v>
      </c>
      <c r="C437" t="s">
        <v>1549</v>
      </c>
      <c r="D437" t="s">
        <v>3019</v>
      </c>
      <c r="E437" t="s">
        <v>3020</v>
      </c>
      <c r="F437">
        <v>2025</v>
      </c>
      <c r="G437" t="s">
        <v>1094</v>
      </c>
      <c r="H437" t="s">
        <v>3021</v>
      </c>
      <c r="J437" t="s">
        <v>91</v>
      </c>
      <c r="K437" t="s">
        <v>91</v>
      </c>
      <c r="L437" t="s">
        <v>91</v>
      </c>
      <c r="M437" t="s">
        <v>1593</v>
      </c>
      <c r="N437" t="s">
        <v>1555</v>
      </c>
    </row>
    <row r="438" spans="1:16" ht="14.25" customHeight="1">
      <c r="A438">
        <v>437</v>
      </c>
      <c r="B438" t="s">
        <v>9</v>
      </c>
      <c r="C438" t="s">
        <v>1549</v>
      </c>
      <c r="D438" t="s">
        <v>3022</v>
      </c>
      <c r="E438" t="s">
        <v>3023</v>
      </c>
      <c r="F438">
        <v>2025</v>
      </c>
      <c r="G438" t="s">
        <v>1054</v>
      </c>
      <c r="H438" t="s">
        <v>3024</v>
      </c>
      <c r="J438" t="s">
        <v>91</v>
      </c>
      <c r="K438" t="s">
        <v>91</v>
      </c>
      <c r="L438" t="s">
        <v>91</v>
      </c>
      <c r="M438" t="s">
        <v>1570</v>
      </c>
      <c r="N438" t="s">
        <v>1588</v>
      </c>
    </row>
    <row r="439" spans="1:16" ht="14.25" customHeight="1">
      <c r="A439">
        <v>438</v>
      </c>
      <c r="B439" t="s">
        <v>9</v>
      </c>
      <c r="C439" t="s">
        <v>1549</v>
      </c>
      <c r="D439" t="s">
        <v>3025</v>
      </c>
      <c r="E439" t="s">
        <v>3026</v>
      </c>
      <c r="F439">
        <v>2025</v>
      </c>
      <c r="G439" t="s">
        <v>1046</v>
      </c>
      <c r="H439" t="s">
        <v>3027</v>
      </c>
      <c r="J439" t="s">
        <v>91</v>
      </c>
      <c r="K439" t="s">
        <v>91</v>
      </c>
      <c r="L439" t="s">
        <v>91</v>
      </c>
      <c r="M439" t="s">
        <v>1570</v>
      </c>
      <c r="N439" t="s">
        <v>1588</v>
      </c>
    </row>
    <row r="440" spans="1:16" ht="14.25" customHeight="1">
      <c r="A440">
        <v>439</v>
      </c>
      <c r="B440" t="s">
        <v>9</v>
      </c>
      <c r="C440" t="s">
        <v>1549</v>
      </c>
      <c r="D440" t="s">
        <v>3028</v>
      </c>
      <c r="E440" t="s">
        <v>3029</v>
      </c>
      <c r="F440">
        <v>2025</v>
      </c>
      <c r="G440" t="s">
        <v>923</v>
      </c>
      <c r="H440" t="s">
        <v>3030</v>
      </c>
      <c r="J440" t="s">
        <v>91</v>
      </c>
      <c r="K440" t="s">
        <v>91</v>
      </c>
      <c r="L440" t="s">
        <v>91</v>
      </c>
      <c r="M440" t="s">
        <v>1554</v>
      </c>
      <c r="N440" t="s">
        <v>1555</v>
      </c>
    </row>
    <row r="441" spans="1:16" ht="14.25" customHeight="1">
      <c r="A441">
        <v>440</v>
      </c>
      <c r="B441" t="s">
        <v>9</v>
      </c>
      <c r="C441" t="s">
        <v>1549</v>
      </c>
      <c r="D441" t="s">
        <v>804</v>
      </c>
      <c r="E441" t="s">
        <v>3031</v>
      </c>
      <c r="F441">
        <v>2025</v>
      </c>
      <c r="G441" t="s">
        <v>923</v>
      </c>
      <c r="H441" t="s">
        <v>3032</v>
      </c>
      <c r="J441" t="s">
        <v>91</v>
      </c>
      <c r="K441" t="s">
        <v>91</v>
      </c>
      <c r="L441" t="s">
        <v>91</v>
      </c>
      <c r="M441" t="s">
        <v>1570</v>
      </c>
      <c r="N441" t="s">
        <v>1555</v>
      </c>
    </row>
    <row r="442" spans="1:16" ht="14.25" customHeight="1">
      <c r="A442">
        <v>441</v>
      </c>
      <c r="B442" t="s">
        <v>9</v>
      </c>
      <c r="C442" t="s">
        <v>1549</v>
      </c>
      <c r="D442" t="s">
        <v>3033</v>
      </c>
      <c r="E442" t="s">
        <v>3034</v>
      </c>
      <c r="F442">
        <v>2025</v>
      </c>
      <c r="G442" t="s">
        <v>1733</v>
      </c>
      <c r="H442" t="s">
        <v>3035</v>
      </c>
      <c r="J442" t="s">
        <v>91</v>
      </c>
      <c r="K442" t="s">
        <v>91</v>
      </c>
      <c r="L442" t="s">
        <v>91</v>
      </c>
      <c r="M442" t="s">
        <v>1570</v>
      </c>
      <c r="N442" t="s">
        <v>1555</v>
      </c>
    </row>
    <row r="443" spans="1:16" ht="14.25" customHeight="1">
      <c r="A443">
        <v>442</v>
      </c>
      <c r="B443" t="s">
        <v>9</v>
      </c>
      <c r="C443" t="s">
        <v>1549</v>
      </c>
      <c r="D443" t="s">
        <v>3036</v>
      </c>
      <c r="E443" t="s">
        <v>3037</v>
      </c>
      <c r="F443">
        <v>2025</v>
      </c>
      <c r="G443" t="s">
        <v>923</v>
      </c>
      <c r="H443" t="s">
        <v>3038</v>
      </c>
      <c r="J443" t="s">
        <v>91</v>
      </c>
      <c r="K443" t="s">
        <v>91</v>
      </c>
      <c r="L443" t="s">
        <v>91</v>
      </c>
      <c r="M443" t="s">
        <v>1593</v>
      </c>
      <c r="N443" t="s">
        <v>1555</v>
      </c>
    </row>
    <row r="444" spans="1:16" ht="14.25" customHeight="1">
      <c r="A444" s="20">
        <v>443</v>
      </c>
      <c r="B444" s="20" t="s">
        <v>9</v>
      </c>
      <c r="C444" s="20" t="s">
        <v>1549</v>
      </c>
      <c r="D444" s="20" t="s">
        <v>1029</v>
      </c>
      <c r="E444" s="20" t="s">
        <v>1030</v>
      </c>
      <c r="F444" s="20">
        <v>2025</v>
      </c>
      <c r="G444" s="20" t="s">
        <v>1031</v>
      </c>
      <c r="H444" s="20" t="s">
        <v>1032</v>
      </c>
      <c r="I444" s="20"/>
      <c r="J444" s="20" t="s">
        <v>76</v>
      </c>
      <c r="K444" s="20" t="s">
        <v>76</v>
      </c>
      <c r="L444" s="20" t="s">
        <v>76</v>
      </c>
      <c r="M444" s="20" t="s">
        <v>1625</v>
      </c>
      <c r="N444" s="20" t="s">
        <v>1588</v>
      </c>
      <c r="O444" s="20"/>
      <c r="P444" s="20"/>
    </row>
    <row r="445" spans="1:16" ht="14.25" customHeight="1">
      <c r="A445">
        <v>444</v>
      </c>
      <c r="B445" t="s">
        <v>9</v>
      </c>
      <c r="C445" t="s">
        <v>1549</v>
      </c>
      <c r="D445" t="s">
        <v>3039</v>
      </c>
      <c r="E445" t="s">
        <v>3040</v>
      </c>
      <c r="F445">
        <v>2025</v>
      </c>
      <c r="G445" t="s">
        <v>923</v>
      </c>
      <c r="H445" t="s">
        <v>3041</v>
      </c>
      <c r="J445" t="s">
        <v>91</v>
      </c>
      <c r="K445" t="s">
        <v>91</v>
      </c>
      <c r="L445" t="s">
        <v>91</v>
      </c>
      <c r="M445" t="s">
        <v>1570</v>
      </c>
      <c r="N445" t="s">
        <v>1555</v>
      </c>
    </row>
    <row r="446" spans="1:16" ht="14.25" customHeight="1">
      <c r="A446">
        <v>445</v>
      </c>
      <c r="B446" t="s">
        <v>9</v>
      </c>
      <c r="C446" t="s">
        <v>1549</v>
      </c>
      <c r="D446" t="s">
        <v>3042</v>
      </c>
      <c r="E446" t="s">
        <v>3043</v>
      </c>
      <c r="F446">
        <v>2025</v>
      </c>
      <c r="G446" t="s">
        <v>923</v>
      </c>
      <c r="H446" t="s">
        <v>3044</v>
      </c>
      <c r="J446" t="s">
        <v>91</v>
      </c>
      <c r="K446" t="s">
        <v>91</v>
      </c>
      <c r="L446" t="s">
        <v>91</v>
      </c>
      <c r="M446" t="s">
        <v>1570</v>
      </c>
      <c r="N446" t="s">
        <v>1555</v>
      </c>
    </row>
    <row r="447" spans="1:16" ht="14.25" customHeight="1">
      <c r="A447">
        <v>446</v>
      </c>
      <c r="B447" t="s">
        <v>9</v>
      </c>
      <c r="C447" t="s">
        <v>1549</v>
      </c>
      <c r="D447" t="s">
        <v>3045</v>
      </c>
      <c r="E447" t="s">
        <v>3046</v>
      </c>
      <c r="F447">
        <v>2025</v>
      </c>
      <c r="G447" t="s">
        <v>923</v>
      </c>
      <c r="H447" t="s">
        <v>3047</v>
      </c>
      <c r="J447" t="s">
        <v>91</v>
      </c>
      <c r="K447" t="s">
        <v>91</v>
      </c>
      <c r="L447" t="s">
        <v>91</v>
      </c>
      <c r="M447" t="s">
        <v>1570</v>
      </c>
      <c r="N447" t="s">
        <v>1555</v>
      </c>
    </row>
    <row r="448" spans="1:16" ht="14.25" customHeight="1">
      <c r="A448" s="20">
        <v>447</v>
      </c>
      <c r="B448" s="20" t="s">
        <v>9</v>
      </c>
      <c r="C448" s="20" t="s">
        <v>1549</v>
      </c>
      <c r="D448" s="20" t="s">
        <v>1033</v>
      </c>
      <c r="E448" s="20" t="s">
        <v>1034</v>
      </c>
      <c r="F448" s="20">
        <v>2025</v>
      </c>
      <c r="G448" s="20" t="s">
        <v>1035</v>
      </c>
      <c r="H448" s="20" t="s">
        <v>1036</v>
      </c>
      <c r="I448" s="20"/>
      <c r="J448" s="20" t="s">
        <v>76</v>
      </c>
      <c r="K448" s="20" t="s">
        <v>76</v>
      </c>
      <c r="L448" s="20" t="s">
        <v>76</v>
      </c>
      <c r="M448" s="20" t="s">
        <v>1625</v>
      </c>
      <c r="N448" s="20" t="s">
        <v>1588</v>
      </c>
      <c r="O448" s="20"/>
      <c r="P448" s="20"/>
    </row>
    <row r="449" spans="1:16" ht="14.25" customHeight="1">
      <c r="A449">
        <v>448</v>
      </c>
      <c r="B449" t="s">
        <v>9</v>
      </c>
      <c r="C449" t="s">
        <v>1549</v>
      </c>
      <c r="D449" t="s">
        <v>3048</v>
      </c>
      <c r="E449" t="s">
        <v>3049</v>
      </c>
      <c r="F449">
        <v>2025</v>
      </c>
      <c r="G449" t="s">
        <v>1094</v>
      </c>
      <c r="H449" t="s">
        <v>3050</v>
      </c>
      <c r="J449" t="s">
        <v>91</v>
      </c>
      <c r="K449" t="s">
        <v>91</v>
      </c>
      <c r="L449" t="s">
        <v>91</v>
      </c>
      <c r="M449" t="s">
        <v>1570</v>
      </c>
      <c r="N449" t="s">
        <v>1555</v>
      </c>
    </row>
    <row r="450" spans="1:16" ht="14.25" customHeight="1">
      <c r="A450">
        <v>449</v>
      </c>
      <c r="B450" t="s">
        <v>9</v>
      </c>
      <c r="C450" t="s">
        <v>1549</v>
      </c>
      <c r="D450" t="s">
        <v>3051</v>
      </c>
      <c r="E450" t="s">
        <v>3052</v>
      </c>
      <c r="F450">
        <v>2025</v>
      </c>
      <c r="G450" t="s">
        <v>2559</v>
      </c>
      <c r="H450" t="s">
        <v>3053</v>
      </c>
      <c r="J450" t="s">
        <v>91</v>
      </c>
      <c r="K450" t="s">
        <v>91</v>
      </c>
      <c r="L450" t="s">
        <v>91</v>
      </c>
      <c r="M450" t="s">
        <v>1570</v>
      </c>
      <c r="N450" t="s">
        <v>1588</v>
      </c>
    </row>
    <row r="451" spans="1:16" ht="14.25" customHeight="1">
      <c r="A451">
        <v>450</v>
      </c>
      <c r="B451" t="s">
        <v>9</v>
      </c>
      <c r="C451" t="s">
        <v>1549</v>
      </c>
      <c r="D451" t="s">
        <v>3054</v>
      </c>
      <c r="E451" t="s">
        <v>3055</v>
      </c>
      <c r="F451">
        <v>2025</v>
      </c>
      <c r="G451" t="s">
        <v>1825</v>
      </c>
      <c r="H451" t="s">
        <v>3056</v>
      </c>
      <c r="J451" t="s">
        <v>91</v>
      </c>
      <c r="K451" t="s">
        <v>91</v>
      </c>
      <c r="L451" t="s">
        <v>91</v>
      </c>
      <c r="M451" t="s">
        <v>1587</v>
      </c>
      <c r="N451" t="s">
        <v>1555</v>
      </c>
    </row>
    <row r="452" spans="1:16" ht="14.25" customHeight="1">
      <c r="A452">
        <v>451</v>
      </c>
      <c r="B452" t="s">
        <v>9</v>
      </c>
      <c r="C452" t="s">
        <v>1549</v>
      </c>
      <c r="D452" t="s">
        <v>3057</v>
      </c>
      <c r="E452" t="s">
        <v>3058</v>
      </c>
      <c r="F452">
        <v>2025</v>
      </c>
      <c r="G452" t="s">
        <v>1560</v>
      </c>
      <c r="H452" t="s">
        <v>3059</v>
      </c>
      <c r="J452" t="s">
        <v>91</v>
      </c>
      <c r="K452" t="s">
        <v>91</v>
      </c>
      <c r="L452" t="s">
        <v>91</v>
      </c>
      <c r="M452" t="s">
        <v>1554</v>
      </c>
      <c r="N452" t="s">
        <v>1555</v>
      </c>
    </row>
    <row r="453" spans="1:16" ht="14.25" customHeight="1">
      <c r="A453" s="20">
        <v>452</v>
      </c>
      <c r="B453" s="20" t="s">
        <v>9</v>
      </c>
      <c r="C453" s="20" t="s">
        <v>1549</v>
      </c>
      <c r="D453" s="20" t="s">
        <v>1037</v>
      </c>
      <c r="E453" s="20" t="s">
        <v>1038</v>
      </c>
      <c r="F453" s="20">
        <v>2025</v>
      </c>
      <c r="G453" s="20" t="s">
        <v>923</v>
      </c>
      <c r="H453" s="20" t="s">
        <v>1039</v>
      </c>
      <c r="I453" s="20"/>
      <c r="J453" s="20" t="s">
        <v>76</v>
      </c>
      <c r="K453" s="20" t="s">
        <v>76</v>
      </c>
      <c r="L453" s="20" t="s">
        <v>76</v>
      </c>
      <c r="M453" s="20" t="s">
        <v>1625</v>
      </c>
      <c r="N453" s="20" t="s">
        <v>1555</v>
      </c>
      <c r="O453" s="20"/>
      <c r="P453" s="20"/>
    </row>
    <row r="454" spans="1:16" ht="14.25" customHeight="1">
      <c r="A454">
        <v>453</v>
      </c>
      <c r="B454" t="s">
        <v>9</v>
      </c>
      <c r="C454" t="s">
        <v>1549</v>
      </c>
      <c r="D454" t="s">
        <v>3060</v>
      </c>
      <c r="E454" t="s">
        <v>3061</v>
      </c>
      <c r="F454">
        <v>2025</v>
      </c>
      <c r="G454" t="s">
        <v>2009</v>
      </c>
      <c r="H454" t="s">
        <v>3062</v>
      </c>
      <c r="J454" t="s">
        <v>91</v>
      </c>
      <c r="K454" t="s">
        <v>91</v>
      </c>
      <c r="L454" t="s">
        <v>91</v>
      </c>
      <c r="M454" t="s">
        <v>1593</v>
      </c>
      <c r="N454" t="s">
        <v>1555</v>
      </c>
    </row>
    <row r="455" spans="1:16" ht="14.25" customHeight="1">
      <c r="A455">
        <v>454</v>
      </c>
      <c r="B455" t="s">
        <v>9</v>
      </c>
      <c r="C455" t="s">
        <v>1549</v>
      </c>
      <c r="D455" t="s">
        <v>3063</v>
      </c>
      <c r="E455" t="s">
        <v>3064</v>
      </c>
      <c r="F455">
        <v>2025</v>
      </c>
      <c r="G455" t="s">
        <v>3065</v>
      </c>
      <c r="H455" t="s">
        <v>3066</v>
      </c>
      <c r="J455" t="s">
        <v>91</v>
      </c>
      <c r="K455" t="s">
        <v>91</v>
      </c>
      <c r="L455" t="s">
        <v>91</v>
      </c>
      <c r="M455" t="s">
        <v>1570</v>
      </c>
      <c r="N455" t="s">
        <v>1588</v>
      </c>
    </row>
    <row r="456" spans="1:16" ht="14.25" customHeight="1">
      <c r="A456">
        <v>455</v>
      </c>
      <c r="B456" t="s">
        <v>9</v>
      </c>
      <c r="C456" t="s">
        <v>1549</v>
      </c>
      <c r="D456" t="s">
        <v>3067</v>
      </c>
      <c r="E456" t="s">
        <v>3068</v>
      </c>
      <c r="F456">
        <v>2025</v>
      </c>
      <c r="G456" t="s">
        <v>1121</v>
      </c>
      <c r="H456" t="s">
        <v>3069</v>
      </c>
      <c r="J456" t="s">
        <v>91</v>
      </c>
      <c r="K456" t="s">
        <v>91</v>
      </c>
      <c r="L456" t="s">
        <v>91</v>
      </c>
      <c r="M456" t="s">
        <v>1570</v>
      </c>
      <c r="N456" t="s">
        <v>1588</v>
      </c>
    </row>
    <row r="457" spans="1:16" ht="14.25" customHeight="1">
      <c r="A457">
        <v>456</v>
      </c>
      <c r="B457" t="s">
        <v>9</v>
      </c>
      <c r="C457" t="s">
        <v>1549</v>
      </c>
      <c r="D457" t="s">
        <v>3070</v>
      </c>
      <c r="E457" t="s">
        <v>3071</v>
      </c>
      <c r="F457">
        <v>2025</v>
      </c>
      <c r="G457" t="s">
        <v>1721</v>
      </c>
      <c r="H457" t="s">
        <v>3072</v>
      </c>
      <c r="J457" t="s">
        <v>91</v>
      </c>
      <c r="K457" t="s">
        <v>91</v>
      </c>
      <c r="L457" t="s">
        <v>91</v>
      </c>
      <c r="M457" t="s">
        <v>1587</v>
      </c>
      <c r="N457" t="s">
        <v>1555</v>
      </c>
    </row>
    <row r="458" spans="1:16" ht="14.25" customHeight="1">
      <c r="A458">
        <v>457</v>
      </c>
      <c r="B458" t="s">
        <v>9</v>
      </c>
      <c r="C458" t="s">
        <v>1549</v>
      </c>
      <c r="D458" t="s">
        <v>3073</v>
      </c>
      <c r="E458" t="s">
        <v>3074</v>
      </c>
      <c r="F458">
        <v>2025</v>
      </c>
      <c r="G458" t="s">
        <v>3075</v>
      </c>
      <c r="H458" t="s">
        <v>3076</v>
      </c>
      <c r="J458" t="s">
        <v>91</v>
      </c>
      <c r="K458" t="s">
        <v>91</v>
      </c>
      <c r="L458" t="s">
        <v>91</v>
      </c>
      <c r="M458" t="s">
        <v>1570</v>
      </c>
      <c r="N458" t="s">
        <v>1588</v>
      </c>
    </row>
    <row r="459" spans="1:16" ht="14.25" customHeight="1">
      <c r="A459">
        <v>458</v>
      </c>
      <c r="B459" t="s">
        <v>9</v>
      </c>
      <c r="C459" t="s">
        <v>1549</v>
      </c>
      <c r="D459" t="s">
        <v>865</v>
      </c>
      <c r="E459" t="s">
        <v>3077</v>
      </c>
      <c r="F459">
        <v>2025</v>
      </c>
      <c r="G459" t="s">
        <v>3078</v>
      </c>
      <c r="H459" t="s">
        <v>3079</v>
      </c>
      <c r="J459" t="s">
        <v>91</v>
      </c>
      <c r="K459" t="s">
        <v>91</v>
      </c>
      <c r="L459" t="s">
        <v>91</v>
      </c>
      <c r="M459" t="s">
        <v>1587</v>
      </c>
      <c r="N459" t="s">
        <v>1555</v>
      </c>
    </row>
    <row r="460" spans="1:16" ht="14.25" customHeight="1">
      <c r="A460">
        <v>459</v>
      </c>
      <c r="B460" t="s">
        <v>9</v>
      </c>
      <c r="C460" t="s">
        <v>1549</v>
      </c>
      <c r="D460" t="s">
        <v>3080</v>
      </c>
      <c r="E460" t="s">
        <v>3081</v>
      </c>
      <c r="F460">
        <v>2025</v>
      </c>
      <c r="G460" t="s">
        <v>3082</v>
      </c>
      <c r="H460" t="s">
        <v>3083</v>
      </c>
      <c r="J460" t="s">
        <v>91</v>
      </c>
      <c r="K460" t="s">
        <v>91</v>
      </c>
      <c r="L460" t="s">
        <v>91</v>
      </c>
      <c r="M460" t="s">
        <v>1570</v>
      </c>
      <c r="N460" t="s">
        <v>1588</v>
      </c>
    </row>
    <row r="461" spans="1:16" ht="14.25" customHeight="1">
      <c r="A461">
        <v>460</v>
      </c>
      <c r="B461" t="s">
        <v>9</v>
      </c>
      <c r="C461" t="s">
        <v>1549</v>
      </c>
      <c r="D461" t="s">
        <v>3084</v>
      </c>
      <c r="E461" t="s">
        <v>3085</v>
      </c>
      <c r="F461">
        <v>2025</v>
      </c>
      <c r="G461" t="s">
        <v>1117</v>
      </c>
      <c r="H461" t="s">
        <v>3086</v>
      </c>
      <c r="J461" t="s">
        <v>91</v>
      </c>
      <c r="K461" t="s">
        <v>91</v>
      </c>
      <c r="L461" t="s">
        <v>91</v>
      </c>
      <c r="M461" t="s">
        <v>1554</v>
      </c>
      <c r="N461" t="s">
        <v>1588</v>
      </c>
    </row>
    <row r="462" spans="1:16" ht="14.25" customHeight="1">
      <c r="A462">
        <v>461</v>
      </c>
      <c r="B462" t="s">
        <v>9</v>
      </c>
      <c r="C462" t="s">
        <v>1549</v>
      </c>
      <c r="D462" t="s">
        <v>3087</v>
      </c>
      <c r="E462" t="s">
        <v>3088</v>
      </c>
      <c r="F462">
        <v>2025</v>
      </c>
      <c r="G462" t="s">
        <v>3075</v>
      </c>
      <c r="H462" t="s">
        <v>3089</v>
      </c>
      <c r="J462" t="s">
        <v>91</v>
      </c>
      <c r="K462" t="s">
        <v>91</v>
      </c>
      <c r="L462" t="s">
        <v>91</v>
      </c>
      <c r="M462" t="s">
        <v>1587</v>
      </c>
      <c r="N462" t="s">
        <v>1588</v>
      </c>
    </row>
    <row r="463" spans="1:16" ht="14.25" customHeight="1">
      <c r="A463">
        <v>462</v>
      </c>
      <c r="B463" t="s">
        <v>9</v>
      </c>
      <c r="C463" t="s">
        <v>1549</v>
      </c>
      <c r="D463" t="s">
        <v>3090</v>
      </c>
      <c r="E463" t="s">
        <v>3091</v>
      </c>
      <c r="F463">
        <v>2025</v>
      </c>
      <c r="G463" t="s">
        <v>3092</v>
      </c>
      <c r="H463" t="s">
        <v>3093</v>
      </c>
      <c r="J463" t="s">
        <v>91</v>
      </c>
      <c r="K463" t="s">
        <v>91</v>
      </c>
      <c r="L463" t="s">
        <v>91</v>
      </c>
      <c r="M463" t="s">
        <v>1587</v>
      </c>
      <c r="N463" t="s">
        <v>1588</v>
      </c>
    </row>
    <row r="464" spans="1:16" ht="14.25" customHeight="1">
      <c r="A464">
        <v>463</v>
      </c>
      <c r="B464" t="s">
        <v>9</v>
      </c>
      <c r="C464" t="s">
        <v>1549</v>
      </c>
      <c r="D464" t="s">
        <v>3094</v>
      </c>
      <c r="E464" t="s">
        <v>3095</v>
      </c>
      <c r="F464">
        <v>2025</v>
      </c>
      <c r="G464" t="s">
        <v>923</v>
      </c>
      <c r="H464" t="s">
        <v>3096</v>
      </c>
      <c r="J464" t="s">
        <v>91</v>
      </c>
      <c r="K464" t="s">
        <v>91</v>
      </c>
      <c r="L464" t="s">
        <v>91</v>
      </c>
      <c r="M464" t="s">
        <v>1570</v>
      </c>
      <c r="N464" t="s">
        <v>1555</v>
      </c>
    </row>
    <row r="465" spans="1:16" ht="14.25" customHeight="1">
      <c r="A465">
        <v>464</v>
      </c>
      <c r="B465" t="s">
        <v>9</v>
      </c>
      <c r="C465" t="s">
        <v>1549</v>
      </c>
      <c r="D465" t="s">
        <v>3097</v>
      </c>
      <c r="E465" t="s">
        <v>3098</v>
      </c>
      <c r="F465">
        <v>2025</v>
      </c>
      <c r="G465" t="s">
        <v>923</v>
      </c>
      <c r="H465" t="s">
        <v>3099</v>
      </c>
      <c r="J465" t="s">
        <v>91</v>
      </c>
      <c r="K465" t="s">
        <v>91</v>
      </c>
      <c r="L465" t="s">
        <v>91</v>
      </c>
      <c r="M465" t="s">
        <v>1570</v>
      </c>
      <c r="N465" t="s">
        <v>1555</v>
      </c>
    </row>
    <row r="466" spans="1:16" ht="14.25" customHeight="1">
      <c r="A466" s="20">
        <v>465</v>
      </c>
      <c r="B466" s="20" t="s">
        <v>9</v>
      </c>
      <c r="C466" s="20" t="s">
        <v>1549</v>
      </c>
      <c r="D466" s="20" t="s">
        <v>1040</v>
      </c>
      <c r="E466" s="20" t="s">
        <v>1041</v>
      </c>
      <c r="F466" s="20">
        <v>2025</v>
      </c>
      <c r="G466" s="20" t="s">
        <v>923</v>
      </c>
      <c r="H466" s="20" t="s">
        <v>1042</v>
      </c>
      <c r="I466" s="20"/>
      <c r="J466" s="20" t="s">
        <v>76</v>
      </c>
      <c r="K466" s="20" t="s">
        <v>76</v>
      </c>
      <c r="L466" s="20" t="s">
        <v>76</v>
      </c>
      <c r="M466" s="20" t="s">
        <v>1625</v>
      </c>
      <c r="N466" s="20" t="s">
        <v>1555</v>
      </c>
      <c r="O466" s="20"/>
      <c r="P466" s="20"/>
    </row>
    <row r="467" spans="1:16" ht="14.25" customHeight="1">
      <c r="A467">
        <v>466</v>
      </c>
      <c r="B467" t="s">
        <v>9</v>
      </c>
      <c r="C467" t="s">
        <v>1549</v>
      </c>
      <c r="D467" t="s">
        <v>3100</v>
      </c>
      <c r="E467" t="s">
        <v>3101</v>
      </c>
      <c r="F467">
        <v>2025</v>
      </c>
      <c r="G467" t="s">
        <v>923</v>
      </c>
      <c r="H467" t="s">
        <v>3102</v>
      </c>
      <c r="J467" t="s">
        <v>91</v>
      </c>
      <c r="K467" t="s">
        <v>91</v>
      </c>
      <c r="L467" t="s">
        <v>91</v>
      </c>
      <c r="M467" t="s">
        <v>1570</v>
      </c>
      <c r="N467" t="s">
        <v>1555</v>
      </c>
    </row>
    <row r="468" spans="1:16" ht="14.25" customHeight="1">
      <c r="A468">
        <v>467</v>
      </c>
      <c r="B468" t="s">
        <v>9</v>
      </c>
      <c r="C468" t="s">
        <v>1549</v>
      </c>
      <c r="D468" t="s">
        <v>3103</v>
      </c>
      <c r="E468" t="s">
        <v>3104</v>
      </c>
      <c r="F468">
        <v>2025</v>
      </c>
      <c r="G468" t="s">
        <v>3105</v>
      </c>
      <c r="H468" t="s">
        <v>3106</v>
      </c>
      <c r="J468" t="s">
        <v>91</v>
      </c>
      <c r="K468" t="s">
        <v>91</v>
      </c>
      <c r="L468" t="s">
        <v>91</v>
      </c>
      <c r="M468" t="s">
        <v>1593</v>
      </c>
      <c r="N468" t="s">
        <v>1588</v>
      </c>
    </row>
    <row r="469" spans="1:16" ht="14.25" customHeight="1">
      <c r="A469">
        <v>468</v>
      </c>
      <c r="B469" t="s">
        <v>9</v>
      </c>
      <c r="C469" t="s">
        <v>1549</v>
      </c>
      <c r="D469" t="s">
        <v>3107</v>
      </c>
      <c r="E469" t="s">
        <v>3108</v>
      </c>
      <c r="F469">
        <v>2025</v>
      </c>
      <c r="G469" t="s">
        <v>3109</v>
      </c>
      <c r="H469" t="s">
        <v>3110</v>
      </c>
      <c r="J469" t="s">
        <v>91</v>
      </c>
      <c r="K469" t="s">
        <v>91</v>
      </c>
      <c r="L469" t="s">
        <v>91</v>
      </c>
      <c r="M469" t="s">
        <v>1593</v>
      </c>
      <c r="N469" t="s">
        <v>1555</v>
      </c>
    </row>
    <row r="470" spans="1:16" ht="14.25" customHeight="1">
      <c r="A470">
        <v>469</v>
      </c>
      <c r="B470" t="s">
        <v>9</v>
      </c>
      <c r="C470" t="s">
        <v>1549</v>
      </c>
      <c r="D470" t="s">
        <v>3111</v>
      </c>
      <c r="E470" t="s">
        <v>3112</v>
      </c>
      <c r="F470">
        <v>2025</v>
      </c>
      <c r="G470" t="s">
        <v>1058</v>
      </c>
      <c r="H470" t="s">
        <v>3113</v>
      </c>
      <c r="J470" t="s">
        <v>91</v>
      </c>
      <c r="K470" t="s">
        <v>91</v>
      </c>
      <c r="L470" t="s">
        <v>91</v>
      </c>
      <c r="M470" t="s">
        <v>1570</v>
      </c>
      <c r="N470" t="s">
        <v>1588</v>
      </c>
    </row>
    <row r="471" spans="1:16" ht="14.25" customHeight="1">
      <c r="A471">
        <v>470</v>
      </c>
      <c r="B471" t="s">
        <v>9</v>
      </c>
      <c r="C471" t="s">
        <v>1549</v>
      </c>
      <c r="D471" t="s">
        <v>3114</v>
      </c>
      <c r="E471" t="s">
        <v>3115</v>
      </c>
      <c r="F471">
        <v>2025</v>
      </c>
      <c r="G471" t="s">
        <v>2882</v>
      </c>
      <c r="H471" t="s">
        <v>3116</v>
      </c>
      <c r="J471" t="s">
        <v>91</v>
      </c>
      <c r="K471" t="s">
        <v>91</v>
      </c>
      <c r="L471" t="s">
        <v>91</v>
      </c>
      <c r="M471" t="s">
        <v>1570</v>
      </c>
      <c r="N471" t="s">
        <v>1555</v>
      </c>
    </row>
    <row r="472" spans="1:16" ht="14.25" customHeight="1">
      <c r="A472">
        <v>471</v>
      </c>
      <c r="B472" t="s">
        <v>9</v>
      </c>
      <c r="C472" t="s">
        <v>1549</v>
      </c>
      <c r="D472" t="s">
        <v>3117</v>
      </c>
      <c r="E472" t="s">
        <v>3118</v>
      </c>
      <c r="F472">
        <v>2025</v>
      </c>
      <c r="G472" t="s">
        <v>1094</v>
      </c>
      <c r="H472" t="s">
        <v>3119</v>
      </c>
      <c r="J472" t="s">
        <v>91</v>
      </c>
      <c r="K472" t="s">
        <v>91</v>
      </c>
      <c r="L472" t="s">
        <v>91</v>
      </c>
      <c r="M472" t="s">
        <v>1587</v>
      </c>
      <c r="N472" t="s">
        <v>1555</v>
      </c>
    </row>
    <row r="473" spans="1:16" ht="14.25" customHeight="1">
      <c r="A473">
        <v>472</v>
      </c>
      <c r="B473" t="s">
        <v>9</v>
      </c>
      <c r="C473" t="s">
        <v>1549</v>
      </c>
      <c r="D473" t="s">
        <v>3120</v>
      </c>
      <c r="E473" t="s">
        <v>3121</v>
      </c>
      <c r="F473">
        <v>2025</v>
      </c>
      <c r="G473" t="s">
        <v>3122</v>
      </c>
      <c r="H473" t="s">
        <v>3123</v>
      </c>
      <c r="J473" t="s">
        <v>91</v>
      </c>
      <c r="K473" t="s">
        <v>91</v>
      </c>
      <c r="L473" t="s">
        <v>91</v>
      </c>
      <c r="M473" t="s">
        <v>1570</v>
      </c>
      <c r="N473" t="s">
        <v>1588</v>
      </c>
    </row>
    <row r="474" spans="1:16" ht="14.25" customHeight="1">
      <c r="A474">
        <v>473</v>
      </c>
      <c r="B474" t="s">
        <v>9</v>
      </c>
      <c r="C474" t="s">
        <v>1549</v>
      </c>
      <c r="D474" t="s">
        <v>797</v>
      </c>
      <c r="E474" t="s">
        <v>3124</v>
      </c>
      <c r="F474">
        <v>2025</v>
      </c>
      <c r="G474" t="s">
        <v>2882</v>
      </c>
      <c r="H474" t="s">
        <v>3125</v>
      </c>
      <c r="J474" t="s">
        <v>91</v>
      </c>
      <c r="K474" t="s">
        <v>91</v>
      </c>
      <c r="L474" t="s">
        <v>91</v>
      </c>
      <c r="M474" t="s">
        <v>1587</v>
      </c>
      <c r="N474" t="s">
        <v>1555</v>
      </c>
    </row>
    <row r="475" spans="1:16" ht="14.25" customHeight="1">
      <c r="A475">
        <v>474</v>
      </c>
      <c r="B475" t="s">
        <v>9</v>
      </c>
      <c r="C475" t="s">
        <v>1549</v>
      </c>
      <c r="D475" t="s">
        <v>3126</v>
      </c>
      <c r="E475" t="s">
        <v>3127</v>
      </c>
      <c r="F475">
        <v>2025</v>
      </c>
      <c r="G475" t="s">
        <v>3128</v>
      </c>
      <c r="H475" t="s">
        <v>3129</v>
      </c>
      <c r="J475" t="s">
        <v>91</v>
      </c>
      <c r="K475" t="s">
        <v>91</v>
      </c>
      <c r="L475" t="s">
        <v>91</v>
      </c>
      <c r="M475" t="s">
        <v>1587</v>
      </c>
      <c r="N475" t="s">
        <v>1588</v>
      </c>
    </row>
    <row r="476" spans="1:16" ht="14.25" customHeight="1">
      <c r="A476">
        <v>475</v>
      </c>
      <c r="B476" t="s">
        <v>9</v>
      </c>
      <c r="C476" t="s">
        <v>1549</v>
      </c>
      <c r="D476" t="s">
        <v>3130</v>
      </c>
      <c r="E476" t="s">
        <v>3131</v>
      </c>
      <c r="F476">
        <v>2025</v>
      </c>
      <c r="G476" t="s">
        <v>923</v>
      </c>
      <c r="H476" t="s">
        <v>3132</v>
      </c>
      <c r="J476" t="s">
        <v>91</v>
      </c>
      <c r="K476" t="s">
        <v>91</v>
      </c>
      <c r="L476" t="s">
        <v>91</v>
      </c>
      <c r="M476" t="s">
        <v>1570</v>
      </c>
      <c r="N476" t="s">
        <v>1555</v>
      </c>
    </row>
    <row r="477" spans="1:16" ht="14.25" customHeight="1">
      <c r="A477">
        <v>476</v>
      </c>
      <c r="B477" t="s">
        <v>9</v>
      </c>
      <c r="C477" t="s">
        <v>1549</v>
      </c>
      <c r="D477" t="s">
        <v>3133</v>
      </c>
      <c r="E477" t="s">
        <v>3134</v>
      </c>
      <c r="F477">
        <v>2025</v>
      </c>
      <c r="G477" t="s">
        <v>2269</v>
      </c>
      <c r="H477" t="s">
        <v>3135</v>
      </c>
      <c r="J477" t="s">
        <v>91</v>
      </c>
      <c r="K477" t="s">
        <v>91</v>
      </c>
      <c r="L477" t="s">
        <v>91</v>
      </c>
      <c r="M477" t="s">
        <v>1587</v>
      </c>
      <c r="N477" t="s">
        <v>1555</v>
      </c>
    </row>
    <row r="478" spans="1:16" ht="14.25" customHeight="1">
      <c r="A478">
        <v>477</v>
      </c>
      <c r="B478" t="s">
        <v>9</v>
      </c>
      <c r="C478" t="s">
        <v>1549</v>
      </c>
      <c r="D478" t="s">
        <v>3136</v>
      </c>
      <c r="E478" t="s">
        <v>3137</v>
      </c>
      <c r="F478">
        <v>2025</v>
      </c>
      <c r="G478" t="s">
        <v>3138</v>
      </c>
      <c r="H478" t="s">
        <v>3139</v>
      </c>
      <c r="J478" t="s">
        <v>91</v>
      </c>
      <c r="K478" t="s">
        <v>91</v>
      </c>
      <c r="L478" t="s">
        <v>91</v>
      </c>
      <c r="M478" t="s">
        <v>1570</v>
      </c>
      <c r="N478" t="s">
        <v>1588</v>
      </c>
    </row>
    <row r="479" spans="1:16" ht="14.25" customHeight="1">
      <c r="A479">
        <v>478</v>
      </c>
      <c r="B479" t="s">
        <v>9</v>
      </c>
      <c r="C479" t="s">
        <v>1549</v>
      </c>
      <c r="D479" t="s">
        <v>3140</v>
      </c>
      <c r="E479" t="s">
        <v>3141</v>
      </c>
      <c r="F479">
        <v>2025</v>
      </c>
      <c r="G479" t="s">
        <v>3142</v>
      </c>
      <c r="H479" t="s">
        <v>3143</v>
      </c>
      <c r="J479" t="s">
        <v>91</v>
      </c>
      <c r="K479" t="s">
        <v>91</v>
      </c>
      <c r="L479" t="s">
        <v>91</v>
      </c>
      <c r="M479" t="s">
        <v>1587</v>
      </c>
      <c r="N479" t="s">
        <v>1555</v>
      </c>
    </row>
    <row r="480" spans="1:16" ht="14.25" customHeight="1">
      <c r="A480" s="20">
        <v>479</v>
      </c>
      <c r="B480" s="20" t="s">
        <v>9</v>
      </c>
      <c r="C480" s="20" t="s">
        <v>1549</v>
      </c>
      <c r="D480" s="20" t="s">
        <v>1044</v>
      </c>
      <c r="E480" s="20" t="s">
        <v>1045</v>
      </c>
      <c r="F480" s="20">
        <v>2025</v>
      </c>
      <c r="G480" s="20" t="s">
        <v>1046</v>
      </c>
      <c r="H480" s="20" t="s">
        <v>1047</v>
      </c>
      <c r="I480" s="20"/>
      <c r="J480" s="20" t="s">
        <v>76</v>
      </c>
      <c r="K480" s="20" t="s">
        <v>76</v>
      </c>
      <c r="L480" s="20" t="s">
        <v>76</v>
      </c>
      <c r="M480" s="20" t="s">
        <v>1625</v>
      </c>
      <c r="N480" s="20" t="s">
        <v>1588</v>
      </c>
      <c r="O480" s="20"/>
      <c r="P480" s="20"/>
    </row>
    <row r="481" spans="1:14" ht="14.25" customHeight="1">
      <c r="A481">
        <v>480</v>
      </c>
      <c r="B481" t="s">
        <v>9</v>
      </c>
      <c r="C481" t="s">
        <v>1549</v>
      </c>
      <c r="D481" t="s">
        <v>3144</v>
      </c>
      <c r="E481" t="s">
        <v>3145</v>
      </c>
      <c r="F481">
        <v>2025</v>
      </c>
      <c r="G481" t="s">
        <v>3146</v>
      </c>
      <c r="H481" t="s">
        <v>3147</v>
      </c>
      <c r="J481" t="s">
        <v>91</v>
      </c>
      <c r="K481" t="s">
        <v>91</v>
      </c>
      <c r="L481" t="s">
        <v>91</v>
      </c>
      <c r="M481" t="s">
        <v>1587</v>
      </c>
      <c r="N481" t="s">
        <v>1588</v>
      </c>
    </row>
    <row r="482" spans="1:14" ht="14.25" customHeight="1">
      <c r="A482">
        <v>481</v>
      </c>
      <c r="B482" t="s">
        <v>9</v>
      </c>
      <c r="C482" t="s">
        <v>1549</v>
      </c>
      <c r="D482" t="s">
        <v>3148</v>
      </c>
      <c r="E482" t="s">
        <v>3149</v>
      </c>
      <c r="F482">
        <v>2025</v>
      </c>
      <c r="G482" t="s">
        <v>3150</v>
      </c>
      <c r="H482" t="s">
        <v>3151</v>
      </c>
      <c r="J482" t="s">
        <v>91</v>
      </c>
      <c r="K482" t="s">
        <v>91</v>
      </c>
      <c r="L482" t="s">
        <v>91</v>
      </c>
      <c r="M482" t="s">
        <v>1554</v>
      </c>
      <c r="N482" t="s">
        <v>1555</v>
      </c>
    </row>
    <row r="483" spans="1:14" ht="14.25" customHeight="1">
      <c r="A483">
        <v>482</v>
      </c>
      <c r="B483" t="s">
        <v>9</v>
      </c>
      <c r="C483" t="s">
        <v>1549</v>
      </c>
      <c r="D483" t="s">
        <v>3152</v>
      </c>
      <c r="E483" t="s">
        <v>3153</v>
      </c>
      <c r="F483">
        <v>2025</v>
      </c>
      <c r="G483" t="s">
        <v>1117</v>
      </c>
      <c r="H483" t="s">
        <v>3154</v>
      </c>
      <c r="J483" t="s">
        <v>91</v>
      </c>
      <c r="K483" t="s">
        <v>91</v>
      </c>
      <c r="L483" t="s">
        <v>91</v>
      </c>
      <c r="M483" t="s">
        <v>1570</v>
      </c>
      <c r="N483" t="s">
        <v>1588</v>
      </c>
    </row>
    <row r="484" spans="1:14" ht="14.25" customHeight="1">
      <c r="A484">
        <v>483</v>
      </c>
      <c r="B484" t="s">
        <v>9</v>
      </c>
      <c r="C484" t="s">
        <v>1549</v>
      </c>
      <c r="D484" t="s">
        <v>3155</v>
      </c>
      <c r="E484" t="s">
        <v>3156</v>
      </c>
      <c r="F484">
        <v>2025</v>
      </c>
      <c r="G484" t="s">
        <v>3157</v>
      </c>
      <c r="H484" t="s">
        <v>3158</v>
      </c>
      <c r="J484" t="s">
        <v>91</v>
      </c>
      <c r="K484" t="s">
        <v>91</v>
      </c>
      <c r="L484" t="s">
        <v>91</v>
      </c>
      <c r="M484" t="s">
        <v>1554</v>
      </c>
      <c r="N484" t="s">
        <v>1588</v>
      </c>
    </row>
    <row r="485" spans="1:14" ht="14.25" customHeight="1">
      <c r="A485">
        <v>484</v>
      </c>
      <c r="B485" t="s">
        <v>9</v>
      </c>
      <c r="C485" t="s">
        <v>1549</v>
      </c>
      <c r="D485" t="s">
        <v>3159</v>
      </c>
      <c r="E485" t="s">
        <v>3160</v>
      </c>
      <c r="F485">
        <v>2025</v>
      </c>
      <c r="G485" t="s">
        <v>1152</v>
      </c>
      <c r="H485" t="s">
        <v>3161</v>
      </c>
      <c r="J485" t="s">
        <v>91</v>
      </c>
      <c r="K485" t="s">
        <v>91</v>
      </c>
      <c r="L485" t="s">
        <v>91</v>
      </c>
      <c r="M485" t="s">
        <v>1554</v>
      </c>
      <c r="N485" t="s">
        <v>1555</v>
      </c>
    </row>
    <row r="486" spans="1:14" ht="14.25" customHeight="1">
      <c r="A486">
        <v>485</v>
      </c>
      <c r="B486" t="s">
        <v>9</v>
      </c>
      <c r="C486" t="s">
        <v>1549</v>
      </c>
      <c r="D486" t="s">
        <v>3162</v>
      </c>
      <c r="E486" t="s">
        <v>3163</v>
      </c>
      <c r="F486">
        <v>2025</v>
      </c>
      <c r="G486" t="s">
        <v>1573</v>
      </c>
      <c r="H486" t="s">
        <v>3164</v>
      </c>
      <c r="J486" t="s">
        <v>91</v>
      </c>
      <c r="K486" t="s">
        <v>91</v>
      </c>
      <c r="L486" t="s">
        <v>91</v>
      </c>
      <c r="M486" t="s">
        <v>1593</v>
      </c>
      <c r="N486" t="s">
        <v>1555</v>
      </c>
    </row>
    <row r="487" spans="1:14" ht="14.25" customHeight="1">
      <c r="A487">
        <v>486</v>
      </c>
      <c r="B487" t="s">
        <v>9</v>
      </c>
      <c r="C487" t="s">
        <v>1549</v>
      </c>
      <c r="D487" t="s">
        <v>3165</v>
      </c>
      <c r="E487" t="s">
        <v>3166</v>
      </c>
      <c r="F487">
        <v>2025</v>
      </c>
      <c r="G487" t="s">
        <v>3167</v>
      </c>
      <c r="H487" t="s">
        <v>3168</v>
      </c>
      <c r="J487" t="s">
        <v>91</v>
      </c>
      <c r="K487" t="s">
        <v>91</v>
      </c>
      <c r="L487" t="s">
        <v>91</v>
      </c>
      <c r="M487" t="s">
        <v>1554</v>
      </c>
      <c r="N487" t="s">
        <v>1588</v>
      </c>
    </row>
    <row r="488" spans="1:14" ht="14.25" customHeight="1">
      <c r="A488">
        <v>487</v>
      </c>
      <c r="B488" t="s">
        <v>9</v>
      </c>
      <c r="C488" t="s">
        <v>1549</v>
      </c>
      <c r="D488" t="s">
        <v>3169</v>
      </c>
      <c r="E488" t="s">
        <v>3170</v>
      </c>
      <c r="F488">
        <v>2025</v>
      </c>
      <c r="G488" t="s">
        <v>3171</v>
      </c>
      <c r="H488" t="s">
        <v>3172</v>
      </c>
      <c r="J488" t="s">
        <v>91</v>
      </c>
      <c r="K488" t="s">
        <v>91</v>
      </c>
      <c r="L488" t="s">
        <v>91</v>
      </c>
      <c r="M488" t="s">
        <v>1593</v>
      </c>
      <c r="N488" t="s">
        <v>1588</v>
      </c>
    </row>
    <row r="489" spans="1:14" ht="14.25" customHeight="1">
      <c r="A489">
        <v>488</v>
      </c>
      <c r="B489" t="s">
        <v>9</v>
      </c>
      <c r="C489" t="s">
        <v>1549</v>
      </c>
      <c r="D489" t="s">
        <v>3173</v>
      </c>
      <c r="E489" t="s">
        <v>3174</v>
      </c>
      <c r="F489">
        <v>2025</v>
      </c>
      <c r="G489" t="s">
        <v>3175</v>
      </c>
      <c r="H489" t="s">
        <v>3176</v>
      </c>
      <c r="J489" t="s">
        <v>91</v>
      </c>
      <c r="K489" t="s">
        <v>91</v>
      </c>
      <c r="L489" t="s">
        <v>91</v>
      </c>
      <c r="M489" t="s">
        <v>1593</v>
      </c>
      <c r="N489" t="s">
        <v>1555</v>
      </c>
    </row>
    <row r="490" spans="1:14" ht="14.25" customHeight="1">
      <c r="A490">
        <v>489</v>
      </c>
      <c r="B490" t="s">
        <v>9</v>
      </c>
      <c r="C490" t="s">
        <v>1549</v>
      </c>
      <c r="D490" t="s">
        <v>3177</v>
      </c>
      <c r="E490" t="s">
        <v>3178</v>
      </c>
      <c r="F490">
        <v>2025</v>
      </c>
      <c r="G490" t="s">
        <v>2528</v>
      </c>
      <c r="H490" t="s">
        <v>3179</v>
      </c>
      <c r="J490" t="s">
        <v>91</v>
      </c>
      <c r="K490" t="s">
        <v>91</v>
      </c>
      <c r="L490" t="s">
        <v>91</v>
      </c>
      <c r="M490" t="s">
        <v>1587</v>
      </c>
      <c r="N490" t="s">
        <v>1555</v>
      </c>
    </row>
    <row r="491" spans="1:14" ht="14.25" customHeight="1">
      <c r="A491">
        <v>490</v>
      </c>
      <c r="B491" t="s">
        <v>9</v>
      </c>
      <c r="C491" t="s">
        <v>1549</v>
      </c>
      <c r="D491" t="s">
        <v>3180</v>
      </c>
      <c r="E491" t="s">
        <v>3181</v>
      </c>
      <c r="F491">
        <v>2025</v>
      </c>
      <c r="G491" t="s">
        <v>2190</v>
      </c>
      <c r="H491" t="s">
        <v>3182</v>
      </c>
      <c r="J491" t="s">
        <v>91</v>
      </c>
      <c r="K491" t="s">
        <v>91</v>
      </c>
      <c r="L491" t="s">
        <v>91</v>
      </c>
      <c r="M491" t="s">
        <v>1587</v>
      </c>
      <c r="N491" t="s">
        <v>1555</v>
      </c>
    </row>
    <row r="492" spans="1:14" ht="14.25" customHeight="1">
      <c r="A492">
        <v>491</v>
      </c>
      <c r="B492" t="s">
        <v>9</v>
      </c>
      <c r="C492" t="s">
        <v>1549</v>
      </c>
      <c r="D492" t="s">
        <v>3183</v>
      </c>
      <c r="E492" t="s">
        <v>3184</v>
      </c>
      <c r="F492">
        <v>2025</v>
      </c>
      <c r="G492" t="s">
        <v>2860</v>
      </c>
      <c r="H492" t="s">
        <v>3185</v>
      </c>
      <c r="J492" t="s">
        <v>91</v>
      </c>
      <c r="K492" t="s">
        <v>91</v>
      </c>
      <c r="L492" t="s">
        <v>91</v>
      </c>
      <c r="M492" t="s">
        <v>1593</v>
      </c>
      <c r="N492" t="s">
        <v>1555</v>
      </c>
    </row>
    <row r="493" spans="1:14" ht="14.25" customHeight="1">
      <c r="A493">
        <v>492</v>
      </c>
      <c r="B493" t="s">
        <v>9</v>
      </c>
      <c r="C493" t="s">
        <v>1549</v>
      </c>
      <c r="D493" t="s">
        <v>3186</v>
      </c>
      <c r="E493" t="s">
        <v>3187</v>
      </c>
      <c r="F493">
        <v>2025</v>
      </c>
      <c r="G493" t="s">
        <v>3188</v>
      </c>
      <c r="H493" t="s">
        <v>3189</v>
      </c>
      <c r="J493" t="s">
        <v>91</v>
      </c>
      <c r="K493" t="s">
        <v>91</v>
      </c>
      <c r="L493" t="s">
        <v>91</v>
      </c>
      <c r="M493" t="s">
        <v>1587</v>
      </c>
      <c r="N493" t="s">
        <v>1588</v>
      </c>
    </row>
    <row r="494" spans="1:14" ht="14.25" customHeight="1">
      <c r="A494">
        <v>493</v>
      </c>
      <c r="B494" t="s">
        <v>9</v>
      </c>
      <c r="C494" t="s">
        <v>1549</v>
      </c>
      <c r="D494" t="s">
        <v>3190</v>
      </c>
      <c r="E494" t="s">
        <v>3191</v>
      </c>
      <c r="F494">
        <v>2025</v>
      </c>
      <c r="G494" t="s">
        <v>1121</v>
      </c>
      <c r="H494" t="s">
        <v>3192</v>
      </c>
      <c r="J494" t="s">
        <v>91</v>
      </c>
      <c r="K494" t="s">
        <v>91</v>
      </c>
      <c r="L494" t="s">
        <v>91</v>
      </c>
      <c r="M494" t="s">
        <v>1570</v>
      </c>
      <c r="N494" t="s">
        <v>1588</v>
      </c>
    </row>
    <row r="495" spans="1:14" ht="14.25" customHeight="1">
      <c r="A495">
        <v>494</v>
      </c>
      <c r="B495" t="s">
        <v>9</v>
      </c>
      <c r="C495" t="s">
        <v>1549</v>
      </c>
      <c r="D495" t="s">
        <v>3193</v>
      </c>
      <c r="E495" t="s">
        <v>3194</v>
      </c>
      <c r="F495">
        <v>2025</v>
      </c>
      <c r="G495" t="s">
        <v>2882</v>
      </c>
      <c r="H495" t="s">
        <v>3195</v>
      </c>
      <c r="J495" t="s">
        <v>91</v>
      </c>
      <c r="K495" t="s">
        <v>91</v>
      </c>
      <c r="L495" t="s">
        <v>91</v>
      </c>
      <c r="M495" t="s">
        <v>1570</v>
      </c>
      <c r="N495" t="s">
        <v>1555</v>
      </c>
    </row>
    <row r="496" spans="1:14" ht="14.25" customHeight="1">
      <c r="A496">
        <v>495</v>
      </c>
      <c r="B496" t="s">
        <v>9</v>
      </c>
      <c r="C496" t="s">
        <v>1549</v>
      </c>
      <c r="D496" t="s">
        <v>3196</v>
      </c>
      <c r="E496" t="s">
        <v>3197</v>
      </c>
      <c r="F496">
        <v>2025</v>
      </c>
      <c r="G496" t="s">
        <v>3198</v>
      </c>
      <c r="H496" t="s">
        <v>3199</v>
      </c>
      <c r="J496" t="s">
        <v>91</v>
      </c>
      <c r="K496" t="s">
        <v>91</v>
      </c>
      <c r="L496" t="s">
        <v>91</v>
      </c>
      <c r="M496" t="s">
        <v>1587</v>
      </c>
      <c r="N496" t="s">
        <v>1588</v>
      </c>
    </row>
    <row r="497" spans="1:16" ht="14.25" customHeight="1">
      <c r="A497">
        <v>496</v>
      </c>
      <c r="B497" t="s">
        <v>9</v>
      </c>
      <c r="C497" t="s">
        <v>1549</v>
      </c>
      <c r="D497" t="s">
        <v>3200</v>
      </c>
      <c r="E497" t="s">
        <v>2555</v>
      </c>
      <c r="F497">
        <v>2025</v>
      </c>
      <c r="G497" t="s">
        <v>1023</v>
      </c>
      <c r="H497" t="s">
        <v>3201</v>
      </c>
      <c r="J497" t="s">
        <v>91</v>
      </c>
      <c r="K497" t="s">
        <v>91</v>
      </c>
      <c r="L497" t="s">
        <v>91</v>
      </c>
      <c r="M497" t="s">
        <v>1587</v>
      </c>
      <c r="N497" t="s">
        <v>1555</v>
      </c>
    </row>
    <row r="498" spans="1:16" ht="14.25" customHeight="1">
      <c r="A498">
        <v>497</v>
      </c>
      <c r="B498" t="s">
        <v>9</v>
      </c>
      <c r="C498" t="s">
        <v>1549</v>
      </c>
      <c r="D498" t="s">
        <v>3202</v>
      </c>
      <c r="E498" t="s">
        <v>3203</v>
      </c>
      <c r="F498">
        <v>2025</v>
      </c>
      <c r="G498" t="s">
        <v>2491</v>
      </c>
      <c r="H498" t="s">
        <v>3204</v>
      </c>
      <c r="J498" t="s">
        <v>91</v>
      </c>
      <c r="K498" t="s">
        <v>91</v>
      </c>
      <c r="L498" t="s">
        <v>91</v>
      </c>
      <c r="M498" t="s">
        <v>1570</v>
      </c>
      <c r="N498" t="s">
        <v>1555</v>
      </c>
    </row>
    <row r="499" spans="1:16" ht="14.25" customHeight="1">
      <c r="A499">
        <v>498</v>
      </c>
      <c r="B499" t="s">
        <v>9</v>
      </c>
      <c r="C499" t="s">
        <v>1549</v>
      </c>
      <c r="D499" t="s">
        <v>3205</v>
      </c>
      <c r="E499" t="s">
        <v>3206</v>
      </c>
      <c r="F499">
        <v>2025</v>
      </c>
      <c r="G499" t="s">
        <v>969</v>
      </c>
      <c r="H499" t="s">
        <v>3207</v>
      </c>
      <c r="J499" t="s">
        <v>91</v>
      </c>
      <c r="K499" t="s">
        <v>91</v>
      </c>
      <c r="L499" t="s">
        <v>91</v>
      </c>
      <c r="M499" t="s">
        <v>1587</v>
      </c>
      <c r="N499" t="s">
        <v>1555</v>
      </c>
    </row>
    <row r="500" spans="1:16" ht="14.25" customHeight="1">
      <c r="A500">
        <v>499</v>
      </c>
      <c r="B500" t="s">
        <v>9</v>
      </c>
      <c r="C500" t="s">
        <v>1549</v>
      </c>
      <c r="D500" t="s">
        <v>3208</v>
      </c>
      <c r="E500" t="s">
        <v>3209</v>
      </c>
      <c r="F500">
        <v>2025</v>
      </c>
      <c r="G500" t="s">
        <v>1050</v>
      </c>
      <c r="H500" t="s">
        <v>3210</v>
      </c>
      <c r="J500" t="s">
        <v>91</v>
      </c>
      <c r="K500" t="s">
        <v>91</v>
      </c>
      <c r="L500" t="s">
        <v>91</v>
      </c>
      <c r="M500" t="s">
        <v>1593</v>
      </c>
      <c r="N500" t="s">
        <v>1555</v>
      </c>
    </row>
    <row r="501" spans="1:16" ht="14.25" customHeight="1">
      <c r="A501">
        <v>500</v>
      </c>
      <c r="B501" t="s">
        <v>9</v>
      </c>
      <c r="C501" t="s">
        <v>1549</v>
      </c>
      <c r="D501" t="s">
        <v>3211</v>
      </c>
      <c r="E501" t="s">
        <v>3212</v>
      </c>
      <c r="F501">
        <v>2025</v>
      </c>
      <c r="G501" t="s">
        <v>2542</v>
      </c>
      <c r="H501" t="s">
        <v>3213</v>
      </c>
      <c r="J501" t="s">
        <v>91</v>
      </c>
      <c r="K501" t="s">
        <v>91</v>
      </c>
      <c r="L501" t="s">
        <v>91</v>
      </c>
      <c r="M501" t="s">
        <v>1587</v>
      </c>
      <c r="N501" t="s">
        <v>1588</v>
      </c>
    </row>
    <row r="502" spans="1:16" ht="14.25" customHeight="1">
      <c r="A502">
        <v>501</v>
      </c>
      <c r="B502" t="s">
        <v>9</v>
      </c>
      <c r="C502" t="s">
        <v>1549</v>
      </c>
      <c r="D502" t="s">
        <v>3214</v>
      </c>
      <c r="E502" t="s">
        <v>3215</v>
      </c>
      <c r="F502">
        <v>2025</v>
      </c>
      <c r="G502" t="s">
        <v>923</v>
      </c>
      <c r="H502" t="s">
        <v>3216</v>
      </c>
      <c r="J502" t="s">
        <v>91</v>
      </c>
      <c r="K502" t="s">
        <v>91</v>
      </c>
      <c r="L502" t="s">
        <v>91</v>
      </c>
      <c r="M502" t="s">
        <v>1570</v>
      </c>
      <c r="N502" t="s">
        <v>1555</v>
      </c>
    </row>
    <row r="503" spans="1:16" ht="14.25" customHeight="1">
      <c r="A503" s="20">
        <v>502</v>
      </c>
      <c r="B503" s="20" t="s">
        <v>9</v>
      </c>
      <c r="C503" s="20" t="s">
        <v>1549</v>
      </c>
      <c r="D503" s="20" t="s">
        <v>1048</v>
      </c>
      <c r="E503" s="20" t="s">
        <v>1049</v>
      </c>
      <c r="F503" s="20">
        <v>2025</v>
      </c>
      <c r="G503" s="20" t="s">
        <v>1050</v>
      </c>
      <c r="H503" s="20" t="s">
        <v>1051</v>
      </c>
      <c r="I503" s="20"/>
      <c r="J503" s="20" t="s">
        <v>76</v>
      </c>
      <c r="K503" s="20" t="s">
        <v>76</v>
      </c>
      <c r="L503" s="20" t="s">
        <v>76</v>
      </c>
      <c r="M503" s="20" t="s">
        <v>1625</v>
      </c>
      <c r="N503" s="20" t="s">
        <v>1555</v>
      </c>
      <c r="O503" s="20"/>
      <c r="P503" s="20"/>
    </row>
    <row r="504" spans="1:16" ht="14.25" customHeight="1">
      <c r="A504">
        <v>503</v>
      </c>
      <c r="B504" t="s">
        <v>9</v>
      </c>
      <c r="C504" t="s">
        <v>1549</v>
      </c>
      <c r="D504" t="s">
        <v>3217</v>
      </c>
      <c r="E504" t="s">
        <v>3218</v>
      </c>
      <c r="F504">
        <v>2025</v>
      </c>
      <c r="G504" t="s">
        <v>3219</v>
      </c>
      <c r="H504" t="s">
        <v>3220</v>
      </c>
      <c r="J504" t="s">
        <v>91</v>
      </c>
      <c r="K504" t="s">
        <v>91</v>
      </c>
      <c r="L504" t="s">
        <v>91</v>
      </c>
      <c r="M504" t="s">
        <v>1570</v>
      </c>
      <c r="N504" t="s">
        <v>1588</v>
      </c>
    </row>
    <row r="505" spans="1:16" ht="14.25" customHeight="1">
      <c r="A505">
        <v>504</v>
      </c>
      <c r="B505" t="s">
        <v>9</v>
      </c>
      <c r="C505" t="s">
        <v>1549</v>
      </c>
      <c r="D505" t="s">
        <v>3221</v>
      </c>
      <c r="E505" t="s">
        <v>2782</v>
      </c>
      <c r="F505">
        <v>2025</v>
      </c>
      <c r="G505" t="s">
        <v>1050</v>
      </c>
      <c r="H505" t="s">
        <v>3222</v>
      </c>
      <c r="J505" t="s">
        <v>91</v>
      </c>
      <c r="K505" t="s">
        <v>91</v>
      </c>
      <c r="L505" t="s">
        <v>91</v>
      </c>
      <c r="M505" t="s">
        <v>1570</v>
      </c>
      <c r="N505" t="s">
        <v>1555</v>
      </c>
    </row>
    <row r="506" spans="1:16" ht="14.25" customHeight="1">
      <c r="A506">
        <v>505</v>
      </c>
      <c r="B506" t="s">
        <v>9</v>
      </c>
      <c r="C506" t="s">
        <v>1549</v>
      </c>
      <c r="D506" t="s">
        <v>3223</v>
      </c>
      <c r="E506" t="s">
        <v>3224</v>
      </c>
      <c r="F506">
        <v>2025</v>
      </c>
      <c r="G506" t="s">
        <v>3225</v>
      </c>
      <c r="H506" t="s">
        <v>3226</v>
      </c>
      <c r="J506" t="s">
        <v>91</v>
      </c>
      <c r="K506" t="s">
        <v>91</v>
      </c>
      <c r="L506" t="s">
        <v>91</v>
      </c>
      <c r="M506" t="s">
        <v>1587</v>
      </c>
      <c r="N506" t="s">
        <v>1588</v>
      </c>
    </row>
    <row r="507" spans="1:16" ht="14.25" customHeight="1">
      <c r="A507">
        <v>506</v>
      </c>
      <c r="B507" t="s">
        <v>9</v>
      </c>
      <c r="C507" t="s">
        <v>1549</v>
      </c>
      <c r="D507" t="s">
        <v>3227</v>
      </c>
      <c r="E507" t="s">
        <v>3228</v>
      </c>
      <c r="F507">
        <v>2025</v>
      </c>
      <c r="G507" t="s">
        <v>923</v>
      </c>
      <c r="H507" t="s">
        <v>3229</v>
      </c>
      <c r="J507" t="s">
        <v>91</v>
      </c>
      <c r="K507" t="s">
        <v>91</v>
      </c>
      <c r="L507" t="s">
        <v>91</v>
      </c>
      <c r="M507" t="s">
        <v>1554</v>
      </c>
      <c r="N507" t="s">
        <v>1555</v>
      </c>
    </row>
    <row r="508" spans="1:16" ht="14.25" customHeight="1">
      <c r="A508">
        <v>507</v>
      </c>
      <c r="B508" t="s">
        <v>9</v>
      </c>
      <c r="C508" t="s">
        <v>1549</v>
      </c>
      <c r="D508" t="s">
        <v>3230</v>
      </c>
      <c r="E508" t="s">
        <v>3231</v>
      </c>
      <c r="F508">
        <v>2025</v>
      </c>
      <c r="G508" t="s">
        <v>969</v>
      </c>
      <c r="H508" t="s">
        <v>3232</v>
      </c>
      <c r="J508" t="s">
        <v>91</v>
      </c>
      <c r="K508" t="s">
        <v>91</v>
      </c>
      <c r="L508" t="s">
        <v>91</v>
      </c>
      <c r="M508" t="s">
        <v>1570</v>
      </c>
      <c r="N508" t="s">
        <v>1555</v>
      </c>
    </row>
    <row r="509" spans="1:16" ht="14.25" customHeight="1">
      <c r="A509" s="20">
        <v>508</v>
      </c>
      <c r="B509" s="20" t="s">
        <v>9</v>
      </c>
      <c r="C509" s="20" t="s">
        <v>1549</v>
      </c>
      <c r="D509" s="20" t="s">
        <v>1052</v>
      </c>
      <c r="E509" s="20" t="s">
        <v>1053</v>
      </c>
      <c r="F509" s="20">
        <v>2025</v>
      </c>
      <c r="G509" s="20" t="s">
        <v>1054</v>
      </c>
      <c r="H509" s="20" t="s">
        <v>1055</v>
      </c>
      <c r="I509" s="20"/>
      <c r="J509" s="20" t="s">
        <v>76</v>
      </c>
      <c r="K509" s="20" t="s">
        <v>76</v>
      </c>
      <c r="L509" s="20" t="s">
        <v>76</v>
      </c>
      <c r="M509" s="20" t="s">
        <v>1625</v>
      </c>
      <c r="N509" s="20" t="s">
        <v>1588</v>
      </c>
      <c r="O509" s="20"/>
      <c r="P509" s="20"/>
    </row>
    <row r="510" spans="1:16" ht="14.25" customHeight="1">
      <c r="A510">
        <v>509</v>
      </c>
      <c r="B510" t="s">
        <v>9</v>
      </c>
      <c r="C510" t="s">
        <v>1549</v>
      </c>
      <c r="D510" t="s">
        <v>3233</v>
      </c>
      <c r="E510" t="s">
        <v>3234</v>
      </c>
      <c r="F510">
        <v>2025</v>
      </c>
      <c r="G510" t="s">
        <v>1066</v>
      </c>
      <c r="H510" t="s">
        <v>3235</v>
      </c>
      <c r="J510" t="s">
        <v>91</v>
      </c>
      <c r="K510" t="s">
        <v>91</v>
      </c>
      <c r="L510" t="s">
        <v>91</v>
      </c>
      <c r="M510" t="s">
        <v>1587</v>
      </c>
      <c r="N510" t="s">
        <v>1588</v>
      </c>
    </row>
    <row r="511" spans="1:16" ht="14.25" customHeight="1">
      <c r="A511">
        <v>510</v>
      </c>
      <c r="B511" t="s">
        <v>9</v>
      </c>
      <c r="C511" t="s">
        <v>1549</v>
      </c>
      <c r="D511" t="s">
        <v>3236</v>
      </c>
      <c r="E511" t="s">
        <v>3237</v>
      </c>
      <c r="F511">
        <v>2025</v>
      </c>
      <c r="G511" t="s">
        <v>923</v>
      </c>
      <c r="H511" t="s">
        <v>3238</v>
      </c>
      <c r="J511" t="s">
        <v>91</v>
      </c>
      <c r="K511" t="s">
        <v>91</v>
      </c>
      <c r="L511" t="s">
        <v>91</v>
      </c>
      <c r="M511" t="s">
        <v>1570</v>
      </c>
      <c r="N511" t="s">
        <v>1555</v>
      </c>
    </row>
    <row r="512" spans="1:16" ht="14.25" customHeight="1">
      <c r="A512">
        <v>511</v>
      </c>
      <c r="B512" t="s">
        <v>9</v>
      </c>
      <c r="C512" t="s">
        <v>1549</v>
      </c>
      <c r="D512" t="s">
        <v>3239</v>
      </c>
      <c r="E512" t="s">
        <v>3240</v>
      </c>
      <c r="F512">
        <v>2025</v>
      </c>
      <c r="G512" t="s">
        <v>923</v>
      </c>
      <c r="H512" t="s">
        <v>3241</v>
      </c>
      <c r="J512" t="s">
        <v>91</v>
      </c>
      <c r="K512" t="s">
        <v>91</v>
      </c>
      <c r="L512" t="s">
        <v>91</v>
      </c>
      <c r="M512" t="s">
        <v>1570</v>
      </c>
      <c r="N512" t="s">
        <v>1555</v>
      </c>
    </row>
    <row r="513" spans="1:16" ht="14.25" customHeight="1">
      <c r="A513" s="20">
        <v>512</v>
      </c>
      <c r="B513" s="20" t="s">
        <v>9</v>
      </c>
      <c r="C513" s="20" t="s">
        <v>1549</v>
      </c>
      <c r="D513" s="20" t="s">
        <v>1056</v>
      </c>
      <c r="E513" s="20" t="s">
        <v>1057</v>
      </c>
      <c r="F513" s="20">
        <v>2025</v>
      </c>
      <c r="G513" s="20" t="s">
        <v>1058</v>
      </c>
      <c r="H513" s="20" t="s">
        <v>1059</v>
      </c>
      <c r="I513" s="20"/>
      <c r="J513" s="20" t="s">
        <v>76</v>
      </c>
      <c r="K513" s="20" t="s">
        <v>76</v>
      </c>
      <c r="L513" s="20" t="s">
        <v>76</v>
      </c>
      <c r="M513" s="20" t="s">
        <v>1625</v>
      </c>
      <c r="N513" s="20" t="s">
        <v>1588</v>
      </c>
      <c r="O513" s="20"/>
      <c r="P513" s="20"/>
    </row>
    <row r="514" spans="1:16" ht="14.25" customHeight="1">
      <c r="A514">
        <v>513</v>
      </c>
      <c r="B514" t="s">
        <v>9</v>
      </c>
      <c r="C514" t="s">
        <v>1549</v>
      </c>
      <c r="D514" t="s">
        <v>3242</v>
      </c>
      <c r="E514" t="s">
        <v>3243</v>
      </c>
      <c r="F514">
        <v>2025</v>
      </c>
      <c r="G514" t="s">
        <v>923</v>
      </c>
      <c r="H514" t="s">
        <v>3244</v>
      </c>
      <c r="J514" t="s">
        <v>91</v>
      </c>
      <c r="K514" t="s">
        <v>91</v>
      </c>
      <c r="L514" t="s">
        <v>91</v>
      </c>
      <c r="M514" t="s">
        <v>1570</v>
      </c>
      <c r="N514" t="s">
        <v>1555</v>
      </c>
    </row>
    <row r="515" spans="1:16" ht="14.25" customHeight="1">
      <c r="A515" s="20">
        <v>514</v>
      </c>
      <c r="B515" s="20" t="s">
        <v>9</v>
      </c>
      <c r="C515" s="20" t="s">
        <v>1549</v>
      </c>
      <c r="D515" s="20" t="s">
        <v>1060</v>
      </c>
      <c r="E515" s="20" t="s">
        <v>1061</v>
      </c>
      <c r="F515" s="20">
        <v>2025</v>
      </c>
      <c r="G515" s="20" t="s">
        <v>1062</v>
      </c>
      <c r="H515" s="20" t="s">
        <v>1063</v>
      </c>
      <c r="I515" s="20"/>
      <c r="J515" s="20" t="s">
        <v>76</v>
      </c>
      <c r="K515" s="20" t="s">
        <v>76</v>
      </c>
      <c r="L515" s="20" t="s">
        <v>76</v>
      </c>
      <c r="M515" s="20" t="s">
        <v>1625</v>
      </c>
      <c r="N515" s="20" t="s">
        <v>1588</v>
      </c>
      <c r="O515" s="20"/>
      <c r="P515" s="20"/>
    </row>
    <row r="516" spans="1:16" ht="14.25" customHeight="1">
      <c r="A516">
        <v>515</v>
      </c>
      <c r="B516" t="s">
        <v>9</v>
      </c>
      <c r="C516" t="s">
        <v>1549</v>
      </c>
      <c r="D516" t="s">
        <v>3245</v>
      </c>
      <c r="E516" t="s">
        <v>3246</v>
      </c>
      <c r="F516">
        <v>2025</v>
      </c>
      <c r="G516" t="s">
        <v>2009</v>
      </c>
      <c r="H516" t="s">
        <v>3247</v>
      </c>
      <c r="J516" t="s">
        <v>91</v>
      </c>
      <c r="K516" t="s">
        <v>91</v>
      </c>
      <c r="L516" t="s">
        <v>91</v>
      </c>
      <c r="M516" t="s">
        <v>1570</v>
      </c>
      <c r="N516" t="s">
        <v>1555</v>
      </c>
    </row>
    <row r="517" spans="1:16" ht="14.25" customHeight="1">
      <c r="A517">
        <v>516</v>
      </c>
      <c r="B517" t="s">
        <v>9</v>
      </c>
      <c r="C517" t="s">
        <v>1549</v>
      </c>
      <c r="D517" t="s">
        <v>3248</v>
      </c>
      <c r="E517" t="s">
        <v>3249</v>
      </c>
      <c r="F517">
        <v>2025</v>
      </c>
      <c r="G517" t="s">
        <v>923</v>
      </c>
      <c r="H517" t="s">
        <v>3250</v>
      </c>
      <c r="J517" t="s">
        <v>91</v>
      </c>
      <c r="K517" t="s">
        <v>91</v>
      </c>
      <c r="L517" t="s">
        <v>91</v>
      </c>
      <c r="M517" t="s">
        <v>1570</v>
      </c>
      <c r="N517" t="s">
        <v>1555</v>
      </c>
    </row>
    <row r="518" spans="1:16" ht="14.25" customHeight="1">
      <c r="A518">
        <v>517</v>
      </c>
      <c r="B518" t="s">
        <v>9</v>
      </c>
      <c r="C518" t="s">
        <v>1549</v>
      </c>
      <c r="D518" t="s">
        <v>3251</v>
      </c>
      <c r="E518" t="s">
        <v>3252</v>
      </c>
      <c r="F518">
        <v>2025</v>
      </c>
      <c r="G518" t="s">
        <v>1046</v>
      </c>
      <c r="H518" t="s">
        <v>3253</v>
      </c>
      <c r="J518" t="s">
        <v>91</v>
      </c>
      <c r="K518" t="s">
        <v>91</v>
      </c>
      <c r="L518" t="s">
        <v>91</v>
      </c>
      <c r="M518" t="s">
        <v>1570</v>
      </c>
      <c r="N518" t="s">
        <v>1588</v>
      </c>
    </row>
    <row r="519" spans="1:16" ht="14.25" customHeight="1">
      <c r="A519">
        <v>518</v>
      </c>
      <c r="B519" t="s">
        <v>9</v>
      </c>
      <c r="C519" t="s">
        <v>1549</v>
      </c>
      <c r="D519" t="s">
        <v>3254</v>
      </c>
      <c r="E519" t="s">
        <v>3255</v>
      </c>
      <c r="F519">
        <v>2025</v>
      </c>
      <c r="G519" t="s">
        <v>3256</v>
      </c>
      <c r="H519" t="s">
        <v>3257</v>
      </c>
      <c r="J519" t="s">
        <v>91</v>
      </c>
      <c r="K519" t="s">
        <v>91</v>
      </c>
      <c r="L519" t="s">
        <v>91</v>
      </c>
      <c r="M519" t="s">
        <v>1593</v>
      </c>
      <c r="N519" t="s">
        <v>1555</v>
      </c>
    </row>
    <row r="520" spans="1:16" ht="14.25" customHeight="1">
      <c r="A520">
        <v>519</v>
      </c>
      <c r="B520" t="s">
        <v>9</v>
      </c>
      <c r="C520" t="s">
        <v>1549</v>
      </c>
      <c r="D520" t="s">
        <v>3258</v>
      </c>
      <c r="E520" t="s">
        <v>3259</v>
      </c>
      <c r="F520">
        <v>2025</v>
      </c>
      <c r="G520" t="s">
        <v>2552</v>
      </c>
      <c r="H520" t="s">
        <v>3260</v>
      </c>
      <c r="J520" t="s">
        <v>91</v>
      </c>
      <c r="K520" t="s">
        <v>91</v>
      </c>
      <c r="L520" t="s">
        <v>91</v>
      </c>
      <c r="M520" t="s">
        <v>1570</v>
      </c>
      <c r="N520" t="s">
        <v>1588</v>
      </c>
    </row>
    <row r="521" spans="1:16" ht="14.25" customHeight="1">
      <c r="A521">
        <v>520</v>
      </c>
      <c r="B521" t="s">
        <v>9</v>
      </c>
      <c r="C521" t="s">
        <v>1549</v>
      </c>
      <c r="D521" t="s">
        <v>3261</v>
      </c>
      <c r="E521" t="s">
        <v>3262</v>
      </c>
      <c r="F521">
        <v>2025</v>
      </c>
      <c r="G521" t="s">
        <v>3263</v>
      </c>
      <c r="H521" t="s">
        <v>3264</v>
      </c>
      <c r="J521" t="s">
        <v>91</v>
      </c>
      <c r="K521" t="s">
        <v>91</v>
      </c>
      <c r="L521" t="s">
        <v>91</v>
      </c>
      <c r="M521" t="s">
        <v>1587</v>
      </c>
      <c r="N521" t="s">
        <v>1588</v>
      </c>
    </row>
    <row r="522" spans="1:16" ht="14.25" customHeight="1">
      <c r="A522">
        <v>521</v>
      </c>
      <c r="B522" t="s">
        <v>9</v>
      </c>
      <c r="C522" t="s">
        <v>1549</v>
      </c>
      <c r="D522" t="s">
        <v>3265</v>
      </c>
      <c r="E522" t="s">
        <v>3266</v>
      </c>
      <c r="F522">
        <v>2025</v>
      </c>
      <c r="G522" t="s">
        <v>923</v>
      </c>
      <c r="H522" t="s">
        <v>3267</v>
      </c>
      <c r="J522" t="s">
        <v>91</v>
      </c>
      <c r="K522" t="s">
        <v>91</v>
      </c>
      <c r="L522" t="s">
        <v>91</v>
      </c>
      <c r="M522" t="s">
        <v>1554</v>
      </c>
      <c r="N522" t="s">
        <v>1555</v>
      </c>
    </row>
    <row r="523" spans="1:16" ht="14.25" customHeight="1">
      <c r="A523">
        <v>522</v>
      </c>
      <c r="B523" t="s">
        <v>9</v>
      </c>
      <c r="C523" t="s">
        <v>1549</v>
      </c>
      <c r="D523" t="s">
        <v>3268</v>
      </c>
      <c r="E523" t="s">
        <v>3269</v>
      </c>
      <c r="F523">
        <v>2025</v>
      </c>
      <c r="G523" t="s">
        <v>3270</v>
      </c>
      <c r="H523" t="s">
        <v>3271</v>
      </c>
      <c r="J523" t="s">
        <v>91</v>
      </c>
      <c r="K523" t="s">
        <v>91</v>
      </c>
      <c r="L523" t="s">
        <v>91</v>
      </c>
      <c r="M523" t="s">
        <v>1570</v>
      </c>
      <c r="N523" t="s">
        <v>1555</v>
      </c>
    </row>
    <row r="524" spans="1:16" ht="14.25" customHeight="1">
      <c r="A524">
        <v>523</v>
      </c>
      <c r="B524" t="s">
        <v>9</v>
      </c>
      <c r="C524" t="s">
        <v>1549</v>
      </c>
      <c r="D524" t="s">
        <v>905</v>
      </c>
      <c r="E524" t="s">
        <v>3272</v>
      </c>
      <c r="F524">
        <v>2025</v>
      </c>
      <c r="G524" t="s">
        <v>923</v>
      </c>
      <c r="H524" t="s">
        <v>3273</v>
      </c>
      <c r="J524" t="s">
        <v>91</v>
      </c>
      <c r="K524" t="s">
        <v>91</v>
      </c>
      <c r="L524" t="s">
        <v>91</v>
      </c>
      <c r="M524" t="s">
        <v>1587</v>
      </c>
      <c r="N524" t="s">
        <v>1555</v>
      </c>
    </row>
    <row r="525" spans="1:16" ht="14.25" customHeight="1">
      <c r="A525">
        <v>524</v>
      </c>
      <c r="B525" t="s">
        <v>9</v>
      </c>
      <c r="C525" t="s">
        <v>1549</v>
      </c>
      <c r="D525" t="s">
        <v>3274</v>
      </c>
      <c r="E525" t="s">
        <v>3275</v>
      </c>
      <c r="F525">
        <v>2025</v>
      </c>
      <c r="G525" t="s">
        <v>2078</v>
      </c>
      <c r="H525" t="s">
        <v>3276</v>
      </c>
      <c r="J525" t="s">
        <v>91</v>
      </c>
      <c r="K525" t="s">
        <v>91</v>
      </c>
      <c r="L525" t="s">
        <v>91</v>
      </c>
      <c r="M525" t="s">
        <v>1570</v>
      </c>
      <c r="N525" t="s">
        <v>1555</v>
      </c>
    </row>
    <row r="526" spans="1:16" ht="14.25" customHeight="1">
      <c r="A526">
        <v>525</v>
      </c>
      <c r="B526" t="s">
        <v>9</v>
      </c>
      <c r="C526" t="s">
        <v>1549</v>
      </c>
      <c r="D526" t="s">
        <v>3277</v>
      </c>
      <c r="E526" t="s">
        <v>3278</v>
      </c>
      <c r="F526">
        <v>2025</v>
      </c>
      <c r="G526" t="s">
        <v>1077</v>
      </c>
      <c r="H526" t="s">
        <v>3279</v>
      </c>
      <c r="J526" t="s">
        <v>91</v>
      </c>
      <c r="K526" t="s">
        <v>91</v>
      </c>
      <c r="L526" t="s">
        <v>91</v>
      </c>
      <c r="M526" t="s">
        <v>1570</v>
      </c>
      <c r="N526" t="s">
        <v>1555</v>
      </c>
    </row>
    <row r="527" spans="1:16" ht="14.25" customHeight="1">
      <c r="A527">
        <v>526</v>
      </c>
      <c r="B527" t="s">
        <v>9</v>
      </c>
      <c r="C527" t="s">
        <v>1549</v>
      </c>
      <c r="D527" t="s">
        <v>3280</v>
      </c>
      <c r="E527" t="s">
        <v>3281</v>
      </c>
      <c r="F527">
        <v>2025</v>
      </c>
      <c r="G527" t="s">
        <v>1825</v>
      </c>
      <c r="H527" t="s">
        <v>3282</v>
      </c>
      <c r="J527" t="s">
        <v>91</v>
      </c>
      <c r="K527" t="s">
        <v>91</v>
      </c>
      <c r="L527" t="s">
        <v>91</v>
      </c>
      <c r="M527" t="s">
        <v>1570</v>
      </c>
      <c r="N527" t="s">
        <v>1555</v>
      </c>
    </row>
    <row r="528" spans="1:16" ht="14.25" customHeight="1">
      <c r="A528">
        <v>527</v>
      </c>
      <c r="B528" t="s">
        <v>9</v>
      </c>
      <c r="C528" t="s">
        <v>1549</v>
      </c>
      <c r="D528" t="s">
        <v>3283</v>
      </c>
      <c r="E528" t="s">
        <v>3284</v>
      </c>
      <c r="F528">
        <v>2025</v>
      </c>
      <c r="G528" t="s">
        <v>3285</v>
      </c>
      <c r="H528" t="s">
        <v>3286</v>
      </c>
      <c r="J528" t="s">
        <v>91</v>
      </c>
      <c r="K528" t="s">
        <v>91</v>
      </c>
      <c r="L528" t="s">
        <v>91</v>
      </c>
      <c r="M528" t="s">
        <v>1570</v>
      </c>
      <c r="N528" t="s">
        <v>1555</v>
      </c>
    </row>
    <row r="529" spans="1:16" ht="14.25" customHeight="1">
      <c r="A529">
        <v>528</v>
      </c>
      <c r="B529" t="s">
        <v>9</v>
      </c>
      <c r="C529" t="s">
        <v>1549</v>
      </c>
      <c r="D529" t="s">
        <v>3287</v>
      </c>
      <c r="E529" t="s">
        <v>3288</v>
      </c>
      <c r="F529">
        <v>2025</v>
      </c>
      <c r="G529" t="s">
        <v>3289</v>
      </c>
      <c r="H529" t="s">
        <v>3290</v>
      </c>
      <c r="J529" t="s">
        <v>91</v>
      </c>
      <c r="K529" t="s">
        <v>91</v>
      </c>
      <c r="L529" t="s">
        <v>91</v>
      </c>
      <c r="M529" t="s">
        <v>1587</v>
      </c>
      <c r="N529" t="s">
        <v>1588</v>
      </c>
    </row>
    <row r="530" spans="1:16" ht="14.25" customHeight="1">
      <c r="A530">
        <v>529</v>
      </c>
      <c r="B530" t="s">
        <v>9</v>
      </c>
      <c r="C530" t="s">
        <v>1549</v>
      </c>
      <c r="D530" t="s">
        <v>3291</v>
      </c>
      <c r="E530" t="s">
        <v>3292</v>
      </c>
      <c r="F530">
        <v>2025</v>
      </c>
      <c r="G530" t="s">
        <v>3293</v>
      </c>
      <c r="H530" t="s">
        <v>3294</v>
      </c>
      <c r="J530" t="s">
        <v>91</v>
      </c>
      <c r="K530" t="s">
        <v>91</v>
      </c>
      <c r="L530" t="s">
        <v>91</v>
      </c>
      <c r="M530" t="s">
        <v>1587</v>
      </c>
      <c r="N530" t="s">
        <v>1588</v>
      </c>
    </row>
    <row r="531" spans="1:16" ht="14.25" customHeight="1">
      <c r="A531">
        <v>530</v>
      </c>
      <c r="B531" t="s">
        <v>9</v>
      </c>
      <c r="C531" t="s">
        <v>1549</v>
      </c>
      <c r="D531" t="s">
        <v>3295</v>
      </c>
      <c r="E531" t="s">
        <v>3296</v>
      </c>
      <c r="F531">
        <v>2025</v>
      </c>
      <c r="G531" t="s">
        <v>3297</v>
      </c>
      <c r="H531" t="s">
        <v>3298</v>
      </c>
      <c r="J531" t="s">
        <v>91</v>
      </c>
      <c r="K531" t="s">
        <v>91</v>
      </c>
      <c r="L531" t="s">
        <v>91</v>
      </c>
      <c r="M531" t="s">
        <v>1570</v>
      </c>
      <c r="N531" t="s">
        <v>1555</v>
      </c>
    </row>
    <row r="532" spans="1:16" ht="14.25" customHeight="1">
      <c r="A532">
        <v>531</v>
      </c>
      <c r="B532" t="s">
        <v>9</v>
      </c>
      <c r="C532" t="s">
        <v>1549</v>
      </c>
      <c r="D532" t="s">
        <v>3299</v>
      </c>
      <c r="E532" t="s">
        <v>2480</v>
      </c>
      <c r="F532">
        <v>2025</v>
      </c>
      <c r="G532" t="s">
        <v>923</v>
      </c>
      <c r="H532" t="s">
        <v>3300</v>
      </c>
      <c r="J532" t="s">
        <v>91</v>
      </c>
      <c r="K532" t="s">
        <v>91</v>
      </c>
      <c r="L532" t="s">
        <v>91</v>
      </c>
      <c r="M532" t="s">
        <v>1570</v>
      </c>
      <c r="N532" t="s">
        <v>1555</v>
      </c>
    </row>
    <row r="533" spans="1:16" ht="14.25" customHeight="1">
      <c r="A533">
        <v>532</v>
      </c>
      <c r="B533" t="s">
        <v>9</v>
      </c>
      <c r="C533" t="s">
        <v>1549</v>
      </c>
      <c r="D533" t="s">
        <v>3301</v>
      </c>
      <c r="E533" t="s">
        <v>3302</v>
      </c>
      <c r="F533">
        <v>2025</v>
      </c>
      <c r="G533" t="s">
        <v>3303</v>
      </c>
      <c r="H533" t="s">
        <v>3304</v>
      </c>
      <c r="J533" t="s">
        <v>91</v>
      </c>
      <c r="K533" t="s">
        <v>91</v>
      </c>
      <c r="L533" t="s">
        <v>91</v>
      </c>
      <c r="M533" t="s">
        <v>1570</v>
      </c>
      <c r="N533" t="s">
        <v>1588</v>
      </c>
    </row>
    <row r="534" spans="1:16" ht="14.25" customHeight="1">
      <c r="A534">
        <v>533</v>
      </c>
      <c r="B534" t="s">
        <v>9</v>
      </c>
      <c r="C534" t="s">
        <v>1549</v>
      </c>
      <c r="D534" t="s">
        <v>3305</v>
      </c>
      <c r="E534" t="s">
        <v>3306</v>
      </c>
      <c r="F534">
        <v>2025</v>
      </c>
      <c r="G534" t="s">
        <v>2009</v>
      </c>
      <c r="H534" t="s">
        <v>3307</v>
      </c>
      <c r="J534" t="s">
        <v>91</v>
      </c>
      <c r="K534" t="s">
        <v>91</v>
      </c>
      <c r="L534" t="s">
        <v>91</v>
      </c>
      <c r="M534" t="s">
        <v>1570</v>
      </c>
      <c r="N534" t="s">
        <v>1555</v>
      </c>
    </row>
    <row r="535" spans="1:16" ht="14.25" customHeight="1">
      <c r="A535">
        <v>534</v>
      </c>
      <c r="B535" t="s">
        <v>9</v>
      </c>
      <c r="C535" t="s">
        <v>1549</v>
      </c>
      <c r="D535" t="s">
        <v>3308</v>
      </c>
      <c r="E535" t="s">
        <v>3309</v>
      </c>
      <c r="F535">
        <v>2025</v>
      </c>
      <c r="G535" t="s">
        <v>3310</v>
      </c>
      <c r="H535" t="s">
        <v>3311</v>
      </c>
      <c r="J535" t="s">
        <v>91</v>
      </c>
      <c r="K535" t="s">
        <v>91</v>
      </c>
      <c r="L535" t="s">
        <v>91</v>
      </c>
      <c r="M535" t="s">
        <v>1593</v>
      </c>
      <c r="N535" t="s">
        <v>1588</v>
      </c>
    </row>
    <row r="536" spans="1:16" ht="14.25" customHeight="1">
      <c r="A536">
        <v>535</v>
      </c>
      <c r="B536" t="s">
        <v>9</v>
      </c>
      <c r="C536" t="s">
        <v>1549</v>
      </c>
      <c r="D536" t="s">
        <v>3312</v>
      </c>
      <c r="E536" t="s">
        <v>3313</v>
      </c>
      <c r="F536">
        <v>2025</v>
      </c>
      <c r="G536" t="s">
        <v>3314</v>
      </c>
      <c r="H536" t="s">
        <v>3315</v>
      </c>
      <c r="J536" t="s">
        <v>91</v>
      </c>
      <c r="K536" t="s">
        <v>91</v>
      </c>
      <c r="L536" t="s">
        <v>91</v>
      </c>
      <c r="M536" t="s">
        <v>1570</v>
      </c>
      <c r="N536" t="s">
        <v>1588</v>
      </c>
    </row>
    <row r="537" spans="1:16" ht="14.25" customHeight="1">
      <c r="A537">
        <v>536</v>
      </c>
      <c r="B537" t="s">
        <v>9</v>
      </c>
      <c r="C537" t="s">
        <v>1549</v>
      </c>
      <c r="D537" t="s">
        <v>3316</v>
      </c>
      <c r="E537" t="s">
        <v>3317</v>
      </c>
      <c r="F537">
        <v>2025</v>
      </c>
      <c r="G537" t="s">
        <v>923</v>
      </c>
      <c r="H537" t="s">
        <v>3318</v>
      </c>
      <c r="J537" t="s">
        <v>91</v>
      </c>
      <c r="K537" t="s">
        <v>91</v>
      </c>
      <c r="L537" t="s">
        <v>91</v>
      </c>
      <c r="M537" t="s">
        <v>1570</v>
      </c>
      <c r="N537" t="s">
        <v>1555</v>
      </c>
    </row>
    <row r="538" spans="1:16" ht="14.25" customHeight="1">
      <c r="A538">
        <v>537</v>
      </c>
      <c r="B538" t="s">
        <v>9</v>
      </c>
      <c r="C538" t="s">
        <v>1549</v>
      </c>
      <c r="D538" t="s">
        <v>3319</v>
      </c>
      <c r="E538" t="s">
        <v>3320</v>
      </c>
      <c r="F538">
        <v>2025</v>
      </c>
      <c r="G538" t="s">
        <v>3321</v>
      </c>
      <c r="H538" t="s">
        <v>3322</v>
      </c>
      <c r="J538" t="s">
        <v>91</v>
      </c>
      <c r="K538" t="s">
        <v>91</v>
      </c>
      <c r="L538" t="s">
        <v>91</v>
      </c>
      <c r="M538" t="s">
        <v>1587</v>
      </c>
      <c r="N538" t="s">
        <v>1588</v>
      </c>
    </row>
    <row r="539" spans="1:16" ht="14.25" customHeight="1">
      <c r="A539">
        <v>538</v>
      </c>
      <c r="B539" t="s">
        <v>9</v>
      </c>
      <c r="C539" t="s">
        <v>1549</v>
      </c>
      <c r="D539" t="s">
        <v>3323</v>
      </c>
      <c r="E539" t="s">
        <v>3324</v>
      </c>
      <c r="F539">
        <v>2025</v>
      </c>
      <c r="G539" t="s">
        <v>1023</v>
      </c>
      <c r="H539" t="s">
        <v>3325</v>
      </c>
      <c r="J539" t="s">
        <v>91</v>
      </c>
      <c r="K539" t="s">
        <v>91</v>
      </c>
      <c r="L539" t="s">
        <v>91</v>
      </c>
      <c r="M539" t="s">
        <v>1570</v>
      </c>
      <c r="N539" t="s">
        <v>1555</v>
      </c>
    </row>
    <row r="540" spans="1:16" ht="14.25" customHeight="1">
      <c r="A540">
        <v>539</v>
      </c>
      <c r="B540" t="s">
        <v>9</v>
      </c>
      <c r="C540" t="s">
        <v>1549</v>
      </c>
      <c r="D540" t="s">
        <v>3326</v>
      </c>
      <c r="E540" t="s">
        <v>3327</v>
      </c>
      <c r="F540">
        <v>2025</v>
      </c>
      <c r="G540" t="s">
        <v>1058</v>
      </c>
      <c r="H540" t="s">
        <v>3328</v>
      </c>
      <c r="J540" t="s">
        <v>91</v>
      </c>
      <c r="K540" t="s">
        <v>91</v>
      </c>
      <c r="L540" t="s">
        <v>91</v>
      </c>
      <c r="M540" t="s">
        <v>1570</v>
      </c>
      <c r="N540" t="s">
        <v>1588</v>
      </c>
    </row>
    <row r="541" spans="1:16" ht="14.25" customHeight="1">
      <c r="A541" s="20">
        <v>540</v>
      </c>
      <c r="B541" s="20" t="s">
        <v>9</v>
      </c>
      <c r="C541" s="20" t="s">
        <v>1549</v>
      </c>
      <c r="D541" s="20" t="s">
        <v>1064</v>
      </c>
      <c r="E541" s="20" t="s">
        <v>1065</v>
      </c>
      <c r="F541" s="20">
        <v>2025</v>
      </c>
      <c r="G541" s="20" t="s">
        <v>1066</v>
      </c>
      <c r="H541" s="20" t="s">
        <v>1067</v>
      </c>
      <c r="I541" s="20"/>
      <c r="J541" s="20" t="s">
        <v>76</v>
      </c>
      <c r="K541" s="20" t="s">
        <v>76</v>
      </c>
      <c r="L541" s="20" t="s">
        <v>76</v>
      </c>
      <c r="M541" s="20" t="s">
        <v>1625</v>
      </c>
      <c r="N541" s="20" t="s">
        <v>1588</v>
      </c>
      <c r="O541" s="20"/>
      <c r="P541" s="20"/>
    </row>
    <row r="542" spans="1:16" ht="14.25" customHeight="1">
      <c r="A542">
        <v>541</v>
      </c>
      <c r="B542" t="s">
        <v>9</v>
      </c>
      <c r="C542" t="s">
        <v>1549</v>
      </c>
      <c r="D542" t="s">
        <v>3329</v>
      </c>
      <c r="E542" t="s">
        <v>3330</v>
      </c>
      <c r="F542">
        <v>2025</v>
      </c>
      <c r="G542" t="s">
        <v>3331</v>
      </c>
      <c r="H542" t="s">
        <v>3332</v>
      </c>
      <c r="J542" t="s">
        <v>91</v>
      </c>
      <c r="K542" t="s">
        <v>91</v>
      </c>
      <c r="L542" t="s">
        <v>91</v>
      </c>
      <c r="M542" t="s">
        <v>1587</v>
      </c>
      <c r="N542" t="s">
        <v>1555</v>
      </c>
    </row>
    <row r="543" spans="1:16" ht="14.25" customHeight="1">
      <c r="A543">
        <v>542</v>
      </c>
      <c r="B543" t="s">
        <v>9</v>
      </c>
      <c r="C543" t="s">
        <v>1549</v>
      </c>
      <c r="D543" t="s">
        <v>3333</v>
      </c>
      <c r="E543" t="s">
        <v>3334</v>
      </c>
      <c r="F543">
        <v>2025</v>
      </c>
      <c r="G543" t="s">
        <v>969</v>
      </c>
      <c r="H543" t="s">
        <v>3335</v>
      </c>
      <c r="J543" t="s">
        <v>91</v>
      </c>
      <c r="K543" t="s">
        <v>91</v>
      </c>
      <c r="L543" t="s">
        <v>91</v>
      </c>
      <c r="M543" t="s">
        <v>1570</v>
      </c>
      <c r="N543" t="s">
        <v>1555</v>
      </c>
    </row>
    <row r="544" spans="1:16" ht="14.25" customHeight="1">
      <c r="A544">
        <v>543</v>
      </c>
      <c r="B544" t="s">
        <v>9</v>
      </c>
      <c r="C544" t="s">
        <v>1549</v>
      </c>
      <c r="D544" t="s">
        <v>3336</v>
      </c>
      <c r="E544" t="s">
        <v>3337</v>
      </c>
      <c r="F544">
        <v>2025</v>
      </c>
      <c r="G544" t="s">
        <v>1560</v>
      </c>
      <c r="H544" t="s">
        <v>3338</v>
      </c>
      <c r="J544" t="s">
        <v>91</v>
      </c>
      <c r="K544" t="s">
        <v>91</v>
      </c>
      <c r="L544" t="s">
        <v>91</v>
      </c>
      <c r="M544" t="s">
        <v>1593</v>
      </c>
      <c r="N544" t="s">
        <v>1555</v>
      </c>
    </row>
    <row r="545" spans="1:14" ht="14.25" customHeight="1">
      <c r="A545">
        <v>544</v>
      </c>
      <c r="B545" t="s">
        <v>9</v>
      </c>
      <c r="C545" t="s">
        <v>1549</v>
      </c>
      <c r="D545" t="s">
        <v>3339</v>
      </c>
      <c r="E545" t="s">
        <v>3340</v>
      </c>
      <c r="F545">
        <v>2025</v>
      </c>
      <c r="G545" t="s">
        <v>3341</v>
      </c>
      <c r="H545" t="s">
        <v>3342</v>
      </c>
      <c r="J545" t="s">
        <v>91</v>
      </c>
      <c r="K545" t="s">
        <v>91</v>
      </c>
      <c r="L545" t="s">
        <v>91</v>
      </c>
      <c r="M545" t="s">
        <v>1593</v>
      </c>
      <c r="N545" t="s">
        <v>1555</v>
      </c>
    </row>
    <row r="546" spans="1:14" ht="14.25" customHeight="1">
      <c r="A546">
        <v>545</v>
      </c>
      <c r="B546" t="s">
        <v>9</v>
      </c>
      <c r="C546" t="s">
        <v>1549</v>
      </c>
      <c r="D546" t="s">
        <v>3343</v>
      </c>
      <c r="E546" t="s">
        <v>3344</v>
      </c>
      <c r="F546">
        <v>2025</v>
      </c>
      <c r="G546" t="s">
        <v>923</v>
      </c>
      <c r="H546" t="s">
        <v>3345</v>
      </c>
      <c r="J546" t="s">
        <v>91</v>
      </c>
      <c r="K546" t="s">
        <v>91</v>
      </c>
      <c r="L546" t="s">
        <v>91</v>
      </c>
      <c r="M546" t="s">
        <v>1570</v>
      </c>
      <c r="N546" t="s">
        <v>1555</v>
      </c>
    </row>
    <row r="547" spans="1:14" ht="14.25" customHeight="1">
      <c r="A547">
        <v>546</v>
      </c>
      <c r="B547" t="s">
        <v>9</v>
      </c>
      <c r="C547" t="s">
        <v>1549</v>
      </c>
      <c r="D547" t="s">
        <v>3346</v>
      </c>
      <c r="E547" t="s">
        <v>3347</v>
      </c>
      <c r="F547">
        <v>2025</v>
      </c>
      <c r="G547" t="s">
        <v>1046</v>
      </c>
      <c r="H547" t="s">
        <v>3348</v>
      </c>
      <c r="J547" t="s">
        <v>91</v>
      </c>
      <c r="K547" t="s">
        <v>91</v>
      </c>
      <c r="L547" t="s">
        <v>91</v>
      </c>
      <c r="M547" t="s">
        <v>1593</v>
      </c>
      <c r="N547" t="s">
        <v>1588</v>
      </c>
    </row>
    <row r="548" spans="1:14" ht="14.25" customHeight="1">
      <c r="A548">
        <v>547</v>
      </c>
      <c r="B548" t="s">
        <v>9</v>
      </c>
      <c r="C548" t="s">
        <v>1549</v>
      </c>
      <c r="D548" t="s">
        <v>3349</v>
      </c>
      <c r="E548" t="s">
        <v>3350</v>
      </c>
      <c r="F548">
        <v>2025</v>
      </c>
      <c r="G548" t="s">
        <v>3351</v>
      </c>
      <c r="H548" t="s">
        <v>3352</v>
      </c>
      <c r="J548" t="s">
        <v>91</v>
      </c>
      <c r="K548" t="s">
        <v>91</v>
      </c>
      <c r="L548" t="s">
        <v>91</v>
      </c>
      <c r="M548" t="s">
        <v>1593</v>
      </c>
      <c r="N548" t="s">
        <v>1588</v>
      </c>
    </row>
    <row r="549" spans="1:14" ht="14.25" customHeight="1">
      <c r="A549">
        <v>548</v>
      </c>
      <c r="B549" t="s">
        <v>9</v>
      </c>
      <c r="C549" t="s">
        <v>1549</v>
      </c>
      <c r="D549" t="s">
        <v>3353</v>
      </c>
      <c r="E549" t="s">
        <v>3354</v>
      </c>
      <c r="F549">
        <v>2025</v>
      </c>
      <c r="G549" t="s">
        <v>1825</v>
      </c>
      <c r="H549" t="s">
        <v>3355</v>
      </c>
      <c r="J549" t="s">
        <v>91</v>
      </c>
      <c r="K549" t="s">
        <v>91</v>
      </c>
      <c r="L549" t="s">
        <v>91</v>
      </c>
      <c r="M549" t="s">
        <v>1593</v>
      </c>
      <c r="N549" t="s">
        <v>1555</v>
      </c>
    </row>
    <row r="550" spans="1:14" ht="14.25" customHeight="1">
      <c r="A550">
        <v>549</v>
      </c>
      <c r="B550" t="s">
        <v>9</v>
      </c>
      <c r="C550" t="s">
        <v>1549</v>
      </c>
      <c r="D550" t="s">
        <v>3356</v>
      </c>
      <c r="E550" t="s">
        <v>3357</v>
      </c>
      <c r="F550">
        <v>2025</v>
      </c>
      <c r="G550" t="s">
        <v>1094</v>
      </c>
      <c r="H550" t="s">
        <v>3358</v>
      </c>
      <c r="J550" t="s">
        <v>91</v>
      </c>
      <c r="K550" t="s">
        <v>91</v>
      </c>
      <c r="L550" t="s">
        <v>91</v>
      </c>
      <c r="M550" t="s">
        <v>1570</v>
      </c>
      <c r="N550" t="s">
        <v>1555</v>
      </c>
    </row>
    <row r="551" spans="1:14" ht="14.25" customHeight="1">
      <c r="A551">
        <v>550</v>
      </c>
      <c r="B551" t="s">
        <v>9</v>
      </c>
      <c r="C551" t="s">
        <v>1549</v>
      </c>
      <c r="D551" t="s">
        <v>3359</v>
      </c>
      <c r="E551" t="s">
        <v>3360</v>
      </c>
      <c r="F551">
        <v>2025</v>
      </c>
      <c r="G551" t="s">
        <v>2947</v>
      </c>
      <c r="H551" t="s">
        <v>3361</v>
      </c>
      <c r="J551" t="s">
        <v>91</v>
      </c>
      <c r="K551" t="s">
        <v>91</v>
      </c>
      <c r="L551" t="s">
        <v>91</v>
      </c>
      <c r="M551" t="s">
        <v>1570</v>
      </c>
      <c r="N551" t="s">
        <v>1555</v>
      </c>
    </row>
    <row r="552" spans="1:14" ht="14.25" customHeight="1">
      <c r="A552">
        <v>551</v>
      </c>
      <c r="B552" t="s">
        <v>9</v>
      </c>
      <c r="C552" t="s">
        <v>1549</v>
      </c>
      <c r="D552" t="s">
        <v>3362</v>
      </c>
      <c r="E552" t="s">
        <v>3363</v>
      </c>
      <c r="F552">
        <v>2025</v>
      </c>
      <c r="G552" t="s">
        <v>1128</v>
      </c>
      <c r="H552" t="s">
        <v>3364</v>
      </c>
      <c r="J552" t="s">
        <v>91</v>
      </c>
      <c r="K552" t="s">
        <v>91</v>
      </c>
      <c r="L552" t="s">
        <v>91</v>
      </c>
      <c r="M552" t="s">
        <v>1570</v>
      </c>
      <c r="N552" t="s">
        <v>1588</v>
      </c>
    </row>
    <row r="553" spans="1:14" ht="14.25" customHeight="1">
      <c r="A553">
        <v>552</v>
      </c>
      <c r="B553" t="s">
        <v>9</v>
      </c>
      <c r="C553" t="s">
        <v>1549</v>
      </c>
      <c r="D553" t="s">
        <v>3365</v>
      </c>
      <c r="E553" t="s">
        <v>3366</v>
      </c>
      <c r="F553">
        <v>2025</v>
      </c>
      <c r="G553" t="s">
        <v>923</v>
      </c>
      <c r="H553" t="s">
        <v>3367</v>
      </c>
      <c r="J553" t="s">
        <v>91</v>
      </c>
      <c r="K553" t="s">
        <v>91</v>
      </c>
      <c r="L553" t="s">
        <v>91</v>
      </c>
      <c r="M553" t="s">
        <v>1587</v>
      </c>
      <c r="N553" t="s">
        <v>1555</v>
      </c>
    </row>
    <row r="554" spans="1:14" ht="14.25" customHeight="1">
      <c r="A554">
        <v>553</v>
      </c>
      <c r="B554" t="s">
        <v>9</v>
      </c>
      <c r="C554" t="s">
        <v>1549</v>
      </c>
      <c r="D554" t="s">
        <v>3368</v>
      </c>
      <c r="E554" t="s">
        <v>3369</v>
      </c>
      <c r="F554">
        <v>2025</v>
      </c>
      <c r="G554" t="s">
        <v>3370</v>
      </c>
      <c r="H554" t="s">
        <v>3371</v>
      </c>
      <c r="J554" t="s">
        <v>91</v>
      </c>
      <c r="K554" t="s">
        <v>91</v>
      </c>
      <c r="L554" t="s">
        <v>91</v>
      </c>
      <c r="M554" t="s">
        <v>1587</v>
      </c>
      <c r="N554" t="s">
        <v>1555</v>
      </c>
    </row>
    <row r="555" spans="1:14" ht="14.25" customHeight="1">
      <c r="A555">
        <v>554</v>
      </c>
      <c r="B555" t="s">
        <v>9</v>
      </c>
      <c r="C555" t="s">
        <v>1549</v>
      </c>
      <c r="D555" t="s">
        <v>3372</v>
      </c>
      <c r="E555" t="s">
        <v>3373</v>
      </c>
      <c r="F555">
        <v>2025</v>
      </c>
      <c r="G555" t="s">
        <v>969</v>
      </c>
      <c r="H555" t="s">
        <v>3374</v>
      </c>
      <c r="J555" t="s">
        <v>91</v>
      </c>
      <c r="K555" t="s">
        <v>91</v>
      </c>
      <c r="L555" t="s">
        <v>91</v>
      </c>
      <c r="M555" t="s">
        <v>1593</v>
      </c>
      <c r="N555" t="s">
        <v>1555</v>
      </c>
    </row>
    <row r="556" spans="1:14" ht="14.25" customHeight="1">
      <c r="A556">
        <v>555</v>
      </c>
      <c r="B556" t="s">
        <v>9</v>
      </c>
      <c r="C556" t="s">
        <v>1549</v>
      </c>
      <c r="D556" t="s">
        <v>3375</v>
      </c>
      <c r="E556" t="s">
        <v>3376</v>
      </c>
      <c r="F556">
        <v>2025</v>
      </c>
      <c r="G556" t="s">
        <v>3377</v>
      </c>
      <c r="H556" t="s">
        <v>3378</v>
      </c>
      <c r="J556" t="s">
        <v>91</v>
      </c>
      <c r="K556" t="s">
        <v>91</v>
      </c>
      <c r="L556" t="s">
        <v>91</v>
      </c>
      <c r="M556" t="s">
        <v>1570</v>
      </c>
      <c r="N556" t="s">
        <v>1555</v>
      </c>
    </row>
    <row r="557" spans="1:14" ht="14.25" customHeight="1">
      <c r="A557">
        <v>556</v>
      </c>
      <c r="B557" t="s">
        <v>9</v>
      </c>
      <c r="C557" t="s">
        <v>1549</v>
      </c>
      <c r="D557" t="s">
        <v>3379</v>
      </c>
      <c r="E557" t="s">
        <v>3380</v>
      </c>
      <c r="F557">
        <v>2025</v>
      </c>
      <c r="G557" t="s">
        <v>982</v>
      </c>
      <c r="H557" t="s">
        <v>3381</v>
      </c>
      <c r="J557" t="s">
        <v>91</v>
      </c>
      <c r="K557" t="s">
        <v>91</v>
      </c>
      <c r="L557" t="s">
        <v>91</v>
      </c>
      <c r="M557" t="s">
        <v>1570</v>
      </c>
      <c r="N557" t="s">
        <v>1588</v>
      </c>
    </row>
    <row r="558" spans="1:14" ht="14.25" customHeight="1">
      <c r="A558">
        <v>557</v>
      </c>
      <c r="B558" t="s">
        <v>9</v>
      </c>
      <c r="C558" t="s">
        <v>1549</v>
      </c>
      <c r="D558" t="s">
        <v>3382</v>
      </c>
      <c r="E558" t="s">
        <v>3383</v>
      </c>
      <c r="F558">
        <v>2025</v>
      </c>
      <c r="G558" t="s">
        <v>1121</v>
      </c>
      <c r="H558" t="s">
        <v>3384</v>
      </c>
      <c r="J558" t="s">
        <v>91</v>
      </c>
      <c r="K558" t="s">
        <v>91</v>
      </c>
      <c r="L558" t="s">
        <v>91</v>
      </c>
      <c r="M558" t="s">
        <v>1570</v>
      </c>
      <c r="N558" t="s">
        <v>1588</v>
      </c>
    </row>
    <row r="559" spans="1:14" ht="14.25" customHeight="1">
      <c r="A559">
        <v>558</v>
      </c>
      <c r="B559" t="s">
        <v>9</v>
      </c>
      <c r="C559" t="s">
        <v>1549</v>
      </c>
      <c r="D559" t="s">
        <v>3385</v>
      </c>
      <c r="E559" t="s">
        <v>3386</v>
      </c>
      <c r="F559">
        <v>2025</v>
      </c>
      <c r="G559" t="s">
        <v>1073</v>
      </c>
      <c r="H559" t="s">
        <v>3387</v>
      </c>
      <c r="J559" t="s">
        <v>91</v>
      </c>
      <c r="K559" t="s">
        <v>91</v>
      </c>
      <c r="L559" t="s">
        <v>91</v>
      </c>
      <c r="M559" t="s">
        <v>1570</v>
      </c>
      <c r="N559" t="s">
        <v>1555</v>
      </c>
    </row>
    <row r="560" spans="1:14" ht="14.25" customHeight="1">
      <c r="A560">
        <v>559</v>
      </c>
      <c r="B560" t="s">
        <v>9</v>
      </c>
      <c r="C560" t="s">
        <v>1549</v>
      </c>
      <c r="D560" t="s">
        <v>3388</v>
      </c>
      <c r="E560" t="s">
        <v>3389</v>
      </c>
      <c r="F560">
        <v>2025</v>
      </c>
      <c r="G560" t="s">
        <v>1733</v>
      </c>
      <c r="H560" t="s">
        <v>3390</v>
      </c>
      <c r="J560" t="s">
        <v>91</v>
      </c>
      <c r="K560" t="s">
        <v>91</v>
      </c>
      <c r="L560" t="s">
        <v>91</v>
      </c>
      <c r="M560" t="s">
        <v>1593</v>
      </c>
      <c r="N560" t="s">
        <v>1555</v>
      </c>
    </row>
    <row r="561" spans="1:14" ht="14.25" customHeight="1">
      <c r="A561">
        <v>560</v>
      </c>
      <c r="B561" t="s">
        <v>9</v>
      </c>
      <c r="C561" t="s">
        <v>1549</v>
      </c>
      <c r="D561" t="s">
        <v>3391</v>
      </c>
      <c r="E561" t="s">
        <v>3392</v>
      </c>
      <c r="F561">
        <v>2025</v>
      </c>
      <c r="G561" t="s">
        <v>2923</v>
      </c>
      <c r="H561" t="s">
        <v>3393</v>
      </c>
      <c r="J561" t="s">
        <v>91</v>
      </c>
      <c r="K561" t="s">
        <v>91</v>
      </c>
      <c r="L561" t="s">
        <v>91</v>
      </c>
      <c r="M561" t="s">
        <v>1570</v>
      </c>
      <c r="N561" t="s">
        <v>1555</v>
      </c>
    </row>
    <row r="562" spans="1:14" ht="14.25" customHeight="1">
      <c r="A562">
        <v>561</v>
      </c>
      <c r="B562" t="s">
        <v>9</v>
      </c>
      <c r="C562" t="s">
        <v>1549</v>
      </c>
      <c r="D562" t="s">
        <v>3394</v>
      </c>
      <c r="E562" t="s">
        <v>3395</v>
      </c>
      <c r="F562">
        <v>2025</v>
      </c>
      <c r="G562" t="s">
        <v>3396</v>
      </c>
      <c r="H562" t="s">
        <v>3397</v>
      </c>
      <c r="J562" t="s">
        <v>91</v>
      </c>
      <c r="K562" t="s">
        <v>91</v>
      </c>
      <c r="L562" t="s">
        <v>91</v>
      </c>
      <c r="M562" t="s">
        <v>1570</v>
      </c>
      <c r="N562" t="s">
        <v>1588</v>
      </c>
    </row>
    <row r="563" spans="1:14" ht="14.25" customHeight="1">
      <c r="A563">
        <v>562</v>
      </c>
      <c r="B563" t="s">
        <v>9</v>
      </c>
      <c r="C563" t="s">
        <v>1549</v>
      </c>
      <c r="D563" t="s">
        <v>3398</v>
      </c>
      <c r="E563" t="s">
        <v>3399</v>
      </c>
      <c r="F563">
        <v>2025</v>
      </c>
      <c r="G563" t="s">
        <v>2254</v>
      </c>
      <c r="H563" t="s">
        <v>3400</v>
      </c>
      <c r="J563" t="s">
        <v>91</v>
      </c>
      <c r="K563" t="s">
        <v>91</v>
      </c>
      <c r="L563" t="s">
        <v>91</v>
      </c>
      <c r="M563" t="s">
        <v>1587</v>
      </c>
      <c r="N563" t="s">
        <v>1555</v>
      </c>
    </row>
    <row r="564" spans="1:14" ht="14.25" customHeight="1">
      <c r="A564">
        <v>563</v>
      </c>
      <c r="B564" t="s">
        <v>9</v>
      </c>
      <c r="C564" t="s">
        <v>1549</v>
      </c>
      <c r="D564" t="s">
        <v>3401</v>
      </c>
      <c r="E564" t="s">
        <v>3402</v>
      </c>
      <c r="F564">
        <v>2025</v>
      </c>
      <c r="G564" t="s">
        <v>2328</v>
      </c>
      <c r="H564" t="s">
        <v>3403</v>
      </c>
      <c r="J564" t="s">
        <v>91</v>
      </c>
      <c r="K564" t="s">
        <v>91</v>
      </c>
      <c r="L564" t="s">
        <v>91</v>
      </c>
      <c r="M564" t="s">
        <v>1570</v>
      </c>
      <c r="N564" t="s">
        <v>1555</v>
      </c>
    </row>
    <row r="565" spans="1:14" ht="14.25" customHeight="1">
      <c r="A565">
        <v>564</v>
      </c>
      <c r="B565" t="s">
        <v>9</v>
      </c>
      <c r="C565" t="s">
        <v>1549</v>
      </c>
      <c r="D565" t="s">
        <v>3404</v>
      </c>
      <c r="E565" t="s">
        <v>3405</v>
      </c>
      <c r="F565">
        <v>2025</v>
      </c>
      <c r="G565" t="s">
        <v>3406</v>
      </c>
      <c r="H565" t="s">
        <v>3407</v>
      </c>
      <c r="J565" t="s">
        <v>91</v>
      </c>
      <c r="K565" t="s">
        <v>91</v>
      </c>
      <c r="L565" t="s">
        <v>91</v>
      </c>
      <c r="M565" t="s">
        <v>1570</v>
      </c>
      <c r="N565" t="s">
        <v>1588</v>
      </c>
    </row>
    <row r="566" spans="1:14" ht="14.25" customHeight="1">
      <c r="A566">
        <v>565</v>
      </c>
      <c r="B566" t="s">
        <v>9</v>
      </c>
      <c r="C566" t="s">
        <v>1549</v>
      </c>
      <c r="D566" t="s">
        <v>3408</v>
      </c>
      <c r="E566" t="s">
        <v>3409</v>
      </c>
      <c r="F566">
        <v>2025</v>
      </c>
      <c r="G566" t="s">
        <v>3410</v>
      </c>
      <c r="H566" t="s">
        <v>3411</v>
      </c>
      <c r="J566" t="s">
        <v>91</v>
      </c>
      <c r="K566" t="s">
        <v>91</v>
      </c>
      <c r="L566" t="s">
        <v>91</v>
      </c>
      <c r="M566" t="s">
        <v>1570</v>
      </c>
      <c r="N566" t="s">
        <v>1555</v>
      </c>
    </row>
    <row r="567" spans="1:14" ht="14.25" customHeight="1">
      <c r="A567">
        <v>566</v>
      </c>
      <c r="B567" t="s">
        <v>9</v>
      </c>
      <c r="C567" t="s">
        <v>1549</v>
      </c>
      <c r="D567" t="s">
        <v>3412</v>
      </c>
      <c r="E567" t="s">
        <v>3413</v>
      </c>
      <c r="F567">
        <v>2025</v>
      </c>
      <c r="G567" t="s">
        <v>3414</v>
      </c>
      <c r="H567" t="s">
        <v>3415</v>
      </c>
      <c r="J567" t="s">
        <v>91</v>
      </c>
      <c r="K567" t="s">
        <v>91</v>
      </c>
      <c r="L567" t="s">
        <v>91</v>
      </c>
      <c r="M567" t="s">
        <v>1570</v>
      </c>
      <c r="N567" t="s">
        <v>1555</v>
      </c>
    </row>
    <row r="568" spans="1:14" ht="14.25" customHeight="1">
      <c r="A568">
        <v>567</v>
      </c>
      <c r="B568" t="s">
        <v>9</v>
      </c>
      <c r="C568" t="s">
        <v>1549</v>
      </c>
      <c r="D568" t="s">
        <v>3416</v>
      </c>
      <c r="E568" t="s">
        <v>3417</v>
      </c>
      <c r="F568">
        <v>2025</v>
      </c>
      <c r="G568" t="s">
        <v>3418</v>
      </c>
      <c r="H568" t="s">
        <v>3419</v>
      </c>
      <c r="J568" t="s">
        <v>91</v>
      </c>
      <c r="K568" t="s">
        <v>91</v>
      </c>
      <c r="L568" t="s">
        <v>91</v>
      </c>
      <c r="M568" t="s">
        <v>1570</v>
      </c>
      <c r="N568" t="s">
        <v>1588</v>
      </c>
    </row>
    <row r="569" spans="1:14" ht="14.25" customHeight="1">
      <c r="A569">
        <v>568</v>
      </c>
      <c r="B569" t="s">
        <v>9</v>
      </c>
      <c r="C569" t="s">
        <v>1549</v>
      </c>
      <c r="D569" t="s">
        <v>3420</v>
      </c>
      <c r="E569" t="s">
        <v>3421</v>
      </c>
      <c r="F569">
        <v>2025</v>
      </c>
      <c r="G569" t="s">
        <v>1094</v>
      </c>
      <c r="H569" t="s">
        <v>3422</v>
      </c>
      <c r="J569" t="s">
        <v>91</v>
      </c>
      <c r="K569" t="s">
        <v>91</v>
      </c>
      <c r="L569" t="s">
        <v>91</v>
      </c>
      <c r="M569" t="s">
        <v>1570</v>
      </c>
      <c r="N569" t="s">
        <v>1555</v>
      </c>
    </row>
    <row r="570" spans="1:14" ht="14.25" customHeight="1">
      <c r="A570">
        <v>569</v>
      </c>
      <c r="B570" t="s">
        <v>9</v>
      </c>
      <c r="C570" t="s">
        <v>1549</v>
      </c>
      <c r="D570" t="s">
        <v>3423</v>
      </c>
      <c r="E570" t="s">
        <v>3424</v>
      </c>
      <c r="F570">
        <v>2025</v>
      </c>
      <c r="G570" t="s">
        <v>2542</v>
      </c>
      <c r="H570" t="s">
        <v>3425</v>
      </c>
      <c r="J570" t="s">
        <v>91</v>
      </c>
      <c r="K570" t="s">
        <v>91</v>
      </c>
      <c r="L570" t="s">
        <v>91</v>
      </c>
      <c r="M570" t="s">
        <v>1554</v>
      </c>
      <c r="N570" t="s">
        <v>1588</v>
      </c>
    </row>
    <row r="571" spans="1:14" ht="14.25" customHeight="1">
      <c r="A571">
        <v>570</v>
      </c>
      <c r="B571" t="s">
        <v>9</v>
      </c>
      <c r="C571" t="s">
        <v>1549</v>
      </c>
      <c r="D571" t="s">
        <v>3426</v>
      </c>
      <c r="E571" t="s">
        <v>3427</v>
      </c>
      <c r="F571">
        <v>2025</v>
      </c>
      <c r="G571" t="s">
        <v>3428</v>
      </c>
      <c r="H571" t="s">
        <v>3429</v>
      </c>
      <c r="J571" t="s">
        <v>91</v>
      </c>
      <c r="K571" t="s">
        <v>91</v>
      </c>
      <c r="L571" t="s">
        <v>91</v>
      </c>
      <c r="M571" t="s">
        <v>1570</v>
      </c>
      <c r="N571" t="s">
        <v>1588</v>
      </c>
    </row>
    <row r="572" spans="1:14" ht="14.25" customHeight="1">
      <c r="A572">
        <v>571</v>
      </c>
      <c r="B572" t="s">
        <v>9</v>
      </c>
      <c r="C572" t="s">
        <v>1549</v>
      </c>
      <c r="D572" t="s">
        <v>3430</v>
      </c>
      <c r="E572" t="s">
        <v>3431</v>
      </c>
      <c r="F572">
        <v>2025</v>
      </c>
      <c r="G572" t="s">
        <v>3432</v>
      </c>
      <c r="H572" t="s">
        <v>3433</v>
      </c>
      <c r="J572" t="s">
        <v>91</v>
      </c>
      <c r="K572" t="s">
        <v>91</v>
      </c>
      <c r="L572" t="s">
        <v>91</v>
      </c>
      <c r="M572" t="s">
        <v>1593</v>
      </c>
      <c r="N572" t="s">
        <v>1555</v>
      </c>
    </row>
    <row r="573" spans="1:14" ht="14.25" customHeight="1">
      <c r="A573">
        <v>572</v>
      </c>
      <c r="B573" t="s">
        <v>9</v>
      </c>
      <c r="C573" t="s">
        <v>1549</v>
      </c>
      <c r="D573" t="s">
        <v>3434</v>
      </c>
      <c r="E573" t="s">
        <v>3435</v>
      </c>
      <c r="F573">
        <v>2025</v>
      </c>
      <c r="G573" t="s">
        <v>3436</v>
      </c>
      <c r="H573" t="s">
        <v>3437</v>
      </c>
      <c r="J573" t="s">
        <v>91</v>
      </c>
      <c r="K573" t="s">
        <v>91</v>
      </c>
      <c r="L573" t="s">
        <v>91</v>
      </c>
      <c r="M573" t="s">
        <v>1570</v>
      </c>
      <c r="N573" t="s">
        <v>1588</v>
      </c>
    </row>
    <row r="574" spans="1:14" ht="14.25" customHeight="1">
      <c r="A574">
        <v>573</v>
      </c>
      <c r="B574" t="s">
        <v>9</v>
      </c>
      <c r="C574" t="s">
        <v>1549</v>
      </c>
      <c r="D574" t="s">
        <v>3438</v>
      </c>
      <c r="E574" t="s">
        <v>3439</v>
      </c>
      <c r="F574">
        <v>2025</v>
      </c>
      <c r="G574" t="s">
        <v>3440</v>
      </c>
      <c r="H574" t="s">
        <v>3441</v>
      </c>
      <c r="J574" t="s">
        <v>91</v>
      </c>
      <c r="K574" t="s">
        <v>91</v>
      </c>
      <c r="L574" t="s">
        <v>91</v>
      </c>
      <c r="M574" t="s">
        <v>1570</v>
      </c>
      <c r="N574" t="s">
        <v>1588</v>
      </c>
    </row>
    <row r="575" spans="1:14" ht="14.25" customHeight="1">
      <c r="A575">
        <v>574</v>
      </c>
      <c r="B575" t="s">
        <v>9</v>
      </c>
      <c r="C575" t="s">
        <v>1549</v>
      </c>
      <c r="D575" t="s">
        <v>3442</v>
      </c>
      <c r="E575" t="s">
        <v>3443</v>
      </c>
      <c r="F575">
        <v>2025</v>
      </c>
      <c r="G575" t="s">
        <v>923</v>
      </c>
      <c r="H575" t="s">
        <v>3444</v>
      </c>
      <c r="J575" t="s">
        <v>91</v>
      </c>
      <c r="K575" t="s">
        <v>91</v>
      </c>
      <c r="L575" t="s">
        <v>91</v>
      </c>
      <c r="M575" t="s">
        <v>1587</v>
      </c>
      <c r="N575" t="s">
        <v>1555</v>
      </c>
    </row>
    <row r="576" spans="1:14" ht="14.25" customHeight="1">
      <c r="A576">
        <v>575</v>
      </c>
      <c r="B576" t="s">
        <v>9</v>
      </c>
      <c r="C576" t="s">
        <v>1549</v>
      </c>
      <c r="D576" t="s">
        <v>3445</v>
      </c>
      <c r="E576" t="s">
        <v>3446</v>
      </c>
      <c r="F576">
        <v>2025</v>
      </c>
      <c r="G576" t="s">
        <v>1965</v>
      </c>
      <c r="H576" t="s">
        <v>3447</v>
      </c>
      <c r="J576" t="s">
        <v>91</v>
      </c>
      <c r="K576" t="s">
        <v>91</v>
      </c>
      <c r="L576" t="s">
        <v>91</v>
      </c>
      <c r="M576" t="s">
        <v>1570</v>
      </c>
      <c r="N576" t="s">
        <v>1555</v>
      </c>
    </row>
    <row r="577" spans="1:14" ht="14.25" customHeight="1">
      <c r="A577">
        <v>576</v>
      </c>
      <c r="B577" t="s">
        <v>9</v>
      </c>
      <c r="C577" t="s">
        <v>1549</v>
      </c>
      <c r="D577" t="s">
        <v>3448</v>
      </c>
      <c r="E577" t="s">
        <v>3449</v>
      </c>
      <c r="F577">
        <v>2025</v>
      </c>
      <c r="G577" t="s">
        <v>2559</v>
      </c>
      <c r="H577" t="s">
        <v>3450</v>
      </c>
      <c r="J577" t="s">
        <v>91</v>
      </c>
      <c r="K577" t="s">
        <v>91</v>
      </c>
      <c r="L577" t="s">
        <v>91</v>
      </c>
      <c r="M577" t="s">
        <v>1570</v>
      </c>
      <c r="N577" t="s">
        <v>1588</v>
      </c>
    </row>
    <row r="578" spans="1:14" ht="14.25" customHeight="1">
      <c r="A578">
        <v>577</v>
      </c>
      <c r="B578" t="s">
        <v>9</v>
      </c>
      <c r="C578" t="s">
        <v>1549</v>
      </c>
      <c r="D578" t="s">
        <v>3451</v>
      </c>
      <c r="E578" t="s">
        <v>3452</v>
      </c>
      <c r="F578">
        <v>2025</v>
      </c>
      <c r="G578" t="s">
        <v>3453</v>
      </c>
      <c r="H578" t="s">
        <v>3454</v>
      </c>
      <c r="J578" t="s">
        <v>91</v>
      </c>
      <c r="K578" t="s">
        <v>91</v>
      </c>
      <c r="L578" t="s">
        <v>91</v>
      </c>
      <c r="M578" t="s">
        <v>1593</v>
      </c>
      <c r="N578" t="s">
        <v>1588</v>
      </c>
    </row>
    <row r="579" spans="1:14" ht="14.25" customHeight="1">
      <c r="A579">
        <v>578</v>
      </c>
      <c r="B579" t="s">
        <v>9</v>
      </c>
      <c r="C579" t="s">
        <v>1549</v>
      </c>
      <c r="D579" t="s">
        <v>3455</v>
      </c>
      <c r="E579" t="s">
        <v>3456</v>
      </c>
      <c r="F579">
        <v>2025</v>
      </c>
      <c r="G579" t="s">
        <v>2299</v>
      </c>
      <c r="H579" t="s">
        <v>3457</v>
      </c>
      <c r="J579" t="s">
        <v>91</v>
      </c>
      <c r="K579" t="s">
        <v>91</v>
      </c>
      <c r="L579" t="s">
        <v>91</v>
      </c>
      <c r="M579" t="s">
        <v>1554</v>
      </c>
      <c r="N579" t="s">
        <v>1555</v>
      </c>
    </row>
    <row r="580" spans="1:14" ht="14.25" customHeight="1">
      <c r="A580">
        <v>579</v>
      </c>
      <c r="B580" t="s">
        <v>9</v>
      </c>
      <c r="C580" t="s">
        <v>1549</v>
      </c>
      <c r="D580" t="s">
        <v>3458</v>
      </c>
      <c r="E580" t="s">
        <v>3459</v>
      </c>
      <c r="F580">
        <v>2025</v>
      </c>
      <c r="G580" t="s">
        <v>3460</v>
      </c>
      <c r="H580" t="s">
        <v>3461</v>
      </c>
      <c r="J580" t="s">
        <v>91</v>
      </c>
      <c r="K580" t="s">
        <v>91</v>
      </c>
      <c r="L580" t="s">
        <v>91</v>
      </c>
      <c r="M580" t="s">
        <v>1570</v>
      </c>
      <c r="N580" t="s">
        <v>1588</v>
      </c>
    </row>
    <row r="581" spans="1:14" ht="14.25" customHeight="1">
      <c r="A581">
        <v>580</v>
      </c>
      <c r="B581" t="s">
        <v>9</v>
      </c>
      <c r="C581" t="s">
        <v>1549</v>
      </c>
      <c r="D581" t="s">
        <v>3462</v>
      </c>
      <c r="E581" t="s">
        <v>3463</v>
      </c>
      <c r="F581">
        <v>2025</v>
      </c>
      <c r="G581" t="s">
        <v>3464</v>
      </c>
      <c r="H581" t="s">
        <v>3465</v>
      </c>
      <c r="J581" t="s">
        <v>91</v>
      </c>
      <c r="K581" t="s">
        <v>91</v>
      </c>
      <c r="L581" t="s">
        <v>91</v>
      </c>
      <c r="M581" t="s">
        <v>1570</v>
      </c>
      <c r="N581" t="s">
        <v>1588</v>
      </c>
    </row>
    <row r="582" spans="1:14" ht="14.25" customHeight="1">
      <c r="A582">
        <v>581</v>
      </c>
      <c r="B582" t="s">
        <v>9</v>
      </c>
      <c r="C582" t="s">
        <v>1549</v>
      </c>
      <c r="D582" t="s">
        <v>3466</v>
      </c>
      <c r="E582" t="s">
        <v>3467</v>
      </c>
      <c r="F582">
        <v>2025</v>
      </c>
      <c r="G582" t="s">
        <v>2040</v>
      </c>
      <c r="H582" t="s">
        <v>3468</v>
      </c>
      <c r="J582" t="s">
        <v>91</v>
      </c>
      <c r="K582" t="s">
        <v>91</v>
      </c>
      <c r="L582" t="s">
        <v>91</v>
      </c>
      <c r="M582" t="s">
        <v>1570</v>
      </c>
      <c r="N582" t="s">
        <v>1555</v>
      </c>
    </row>
    <row r="583" spans="1:14" ht="14.25" customHeight="1">
      <c r="A583">
        <v>582</v>
      </c>
      <c r="B583" t="s">
        <v>9</v>
      </c>
      <c r="C583" t="s">
        <v>1549</v>
      </c>
      <c r="D583" t="s">
        <v>3469</v>
      </c>
      <c r="E583" t="s">
        <v>3470</v>
      </c>
      <c r="F583">
        <v>2025</v>
      </c>
      <c r="G583" t="s">
        <v>3471</v>
      </c>
      <c r="H583" t="s">
        <v>3472</v>
      </c>
      <c r="J583" t="s">
        <v>91</v>
      </c>
      <c r="K583" t="s">
        <v>91</v>
      </c>
      <c r="L583" t="s">
        <v>91</v>
      </c>
      <c r="M583" t="s">
        <v>1570</v>
      </c>
      <c r="N583" t="s">
        <v>1588</v>
      </c>
    </row>
    <row r="584" spans="1:14" ht="14.25" customHeight="1">
      <c r="A584">
        <v>583</v>
      </c>
      <c r="B584" t="s">
        <v>9</v>
      </c>
      <c r="C584" t="s">
        <v>1549</v>
      </c>
      <c r="D584" t="s">
        <v>3473</v>
      </c>
      <c r="E584" t="s">
        <v>3474</v>
      </c>
      <c r="F584">
        <v>2025</v>
      </c>
      <c r="G584" t="s">
        <v>1140</v>
      </c>
      <c r="H584" t="s">
        <v>3475</v>
      </c>
      <c r="J584" t="s">
        <v>91</v>
      </c>
      <c r="K584" t="s">
        <v>91</v>
      </c>
      <c r="L584" t="s">
        <v>91</v>
      </c>
      <c r="M584" t="s">
        <v>1570</v>
      </c>
      <c r="N584" t="s">
        <v>1588</v>
      </c>
    </row>
    <row r="585" spans="1:14" ht="14.25" customHeight="1">
      <c r="A585">
        <v>584</v>
      </c>
      <c r="B585" t="s">
        <v>9</v>
      </c>
      <c r="C585" t="s">
        <v>1549</v>
      </c>
      <c r="D585" t="s">
        <v>3476</v>
      </c>
      <c r="E585" t="s">
        <v>3477</v>
      </c>
      <c r="F585">
        <v>2025</v>
      </c>
      <c r="G585" t="s">
        <v>1825</v>
      </c>
      <c r="H585" t="s">
        <v>3478</v>
      </c>
      <c r="J585" t="s">
        <v>91</v>
      </c>
      <c r="K585" t="s">
        <v>91</v>
      </c>
      <c r="L585" t="s">
        <v>91</v>
      </c>
      <c r="M585" t="s">
        <v>1570</v>
      </c>
      <c r="N585" t="s">
        <v>1555</v>
      </c>
    </row>
    <row r="586" spans="1:14" ht="14.25" customHeight="1">
      <c r="A586">
        <v>585</v>
      </c>
      <c r="B586" t="s">
        <v>9</v>
      </c>
      <c r="C586" t="s">
        <v>1549</v>
      </c>
      <c r="D586" t="s">
        <v>3479</v>
      </c>
      <c r="E586" t="s">
        <v>3480</v>
      </c>
      <c r="F586">
        <v>2025</v>
      </c>
      <c r="G586" t="s">
        <v>2491</v>
      </c>
      <c r="H586" t="s">
        <v>3481</v>
      </c>
      <c r="J586" t="s">
        <v>91</v>
      </c>
      <c r="K586" t="s">
        <v>91</v>
      </c>
      <c r="L586" t="s">
        <v>91</v>
      </c>
      <c r="M586" t="s">
        <v>1570</v>
      </c>
      <c r="N586" t="s">
        <v>1555</v>
      </c>
    </row>
    <row r="587" spans="1:14" ht="14.25" customHeight="1">
      <c r="A587">
        <v>586</v>
      </c>
      <c r="B587" t="s">
        <v>9</v>
      </c>
      <c r="C587" t="s">
        <v>1549</v>
      </c>
      <c r="D587" t="s">
        <v>3482</v>
      </c>
      <c r="E587" t="s">
        <v>3483</v>
      </c>
      <c r="F587">
        <v>2025</v>
      </c>
      <c r="G587" t="s">
        <v>3484</v>
      </c>
      <c r="H587" t="s">
        <v>3485</v>
      </c>
      <c r="J587" t="s">
        <v>91</v>
      </c>
      <c r="K587" t="s">
        <v>91</v>
      </c>
      <c r="L587" t="s">
        <v>91</v>
      </c>
      <c r="M587" t="s">
        <v>1570</v>
      </c>
      <c r="N587" t="s">
        <v>1588</v>
      </c>
    </row>
    <row r="588" spans="1:14" ht="14.25" customHeight="1">
      <c r="A588">
        <v>587</v>
      </c>
      <c r="B588" t="s">
        <v>9</v>
      </c>
      <c r="C588" t="s">
        <v>1549</v>
      </c>
      <c r="D588" t="s">
        <v>3486</v>
      </c>
      <c r="E588" t="s">
        <v>3017</v>
      </c>
      <c r="F588">
        <v>2025</v>
      </c>
      <c r="G588" t="s">
        <v>3092</v>
      </c>
      <c r="H588" t="s">
        <v>3487</v>
      </c>
      <c r="J588" t="s">
        <v>91</v>
      </c>
      <c r="K588" t="s">
        <v>91</v>
      </c>
      <c r="L588" t="s">
        <v>91</v>
      </c>
      <c r="M588" t="s">
        <v>1587</v>
      </c>
      <c r="N588" t="s">
        <v>1588</v>
      </c>
    </row>
    <row r="589" spans="1:14" ht="14.25" customHeight="1">
      <c r="A589">
        <v>588</v>
      </c>
      <c r="B589" t="s">
        <v>9</v>
      </c>
      <c r="C589" t="s">
        <v>1549</v>
      </c>
      <c r="D589" t="s">
        <v>3488</v>
      </c>
      <c r="E589" t="s">
        <v>3489</v>
      </c>
      <c r="F589">
        <v>2025</v>
      </c>
      <c r="G589" t="s">
        <v>3092</v>
      </c>
      <c r="H589" t="s">
        <v>3490</v>
      </c>
      <c r="J589" t="s">
        <v>91</v>
      </c>
      <c r="K589" t="s">
        <v>91</v>
      </c>
      <c r="L589" t="s">
        <v>91</v>
      </c>
      <c r="M589" t="s">
        <v>1593</v>
      </c>
      <c r="N589" t="s">
        <v>1588</v>
      </c>
    </row>
    <row r="590" spans="1:14" ht="14.25" customHeight="1">
      <c r="A590">
        <v>589</v>
      </c>
      <c r="B590" t="s">
        <v>9</v>
      </c>
      <c r="C590" t="s">
        <v>1549</v>
      </c>
      <c r="D590" t="s">
        <v>3491</v>
      </c>
      <c r="E590" t="s">
        <v>3492</v>
      </c>
      <c r="F590">
        <v>2025</v>
      </c>
      <c r="G590" t="s">
        <v>969</v>
      </c>
      <c r="H590" t="s">
        <v>3493</v>
      </c>
      <c r="J590" t="s">
        <v>91</v>
      </c>
      <c r="K590" t="s">
        <v>91</v>
      </c>
      <c r="L590" t="s">
        <v>91</v>
      </c>
      <c r="M590" t="s">
        <v>1570</v>
      </c>
      <c r="N590" t="s">
        <v>1555</v>
      </c>
    </row>
    <row r="591" spans="1:14" ht="14.25" customHeight="1">
      <c r="A591">
        <v>590</v>
      </c>
      <c r="B591" t="s">
        <v>9</v>
      </c>
      <c r="C591" t="s">
        <v>1549</v>
      </c>
      <c r="D591" t="s">
        <v>3494</v>
      </c>
      <c r="E591" t="s">
        <v>3495</v>
      </c>
      <c r="F591">
        <v>2025</v>
      </c>
      <c r="G591" t="s">
        <v>2491</v>
      </c>
      <c r="H591" t="s">
        <v>3496</v>
      </c>
      <c r="J591" t="s">
        <v>91</v>
      </c>
      <c r="K591" t="s">
        <v>91</v>
      </c>
      <c r="L591" t="s">
        <v>91</v>
      </c>
      <c r="M591" t="s">
        <v>1554</v>
      </c>
      <c r="N591" t="s">
        <v>1555</v>
      </c>
    </row>
    <row r="592" spans="1:14" ht="14.25" customHeight="1">
      <c r="A592">
        <v>591</v>
      </c>
      <c r="B592" t="s">
        <v>9</v>
      </c>
      <c r="C592" t="s">
        <v>1549</v>
      </c>
      <c r="D592" t="s">
        <v>3497</v>
      </c>
      <c r="E592" t="s">
        <v>3498</v>
      </c>
      <c r="F592">
        <v>2025</v>
      </c>
      <c r="G592" t="s">
        <v>3499</v>
      </c>
      <c r="H592" t="s">
        <v>3500</v>
      </c>
      <c r="J592" t="s">
        <v>91</v>
      </c>
      <c r="K592" t="s">
        <v>91</v>
      </c>
      <c r="L592" t="s">
        <v>91</v>
      </c>
      <c r="M592" t="s">
        <v>1554</v>
      </c>
      <c r="N592" t="s">
        <v>1555</v>
      </c>
    </row>
    <row r="593" spans="1:14" ht="14.25" customHeight="1">
      <c r="A593">
        <v>592</v>
      </c>
      <c r="B593" t="s">
        <v>9</v>
      </c>
      <c r="C593" t="s">
        <v>1549</v>
      </c>
      <c r="D593" t="s">
        <v>3501</v>
      </c>
      <c r="E593" t="s">
        <v>3502</v>
      </c>
      <c r="F593">
        <v>2025</v>
      </c>
      <c r="G593" t="s">
        <v>1094</v>
      </c>
      <c r="H593" t="s">
        <v>3503</v>
      </c>
      <c r="J593" t="s">
        <v>91</v>
      </c>
      <c r="K593" t="s">
        <v>91</v>
      </c>
      <c r="L593" t="s">
        <v>91</v>
      </c>
      <c r="M593" t="s">
        <v>1593</v>
      </c>
      <c r="N593" t="s">
        <v>1555</v>
      </c>
    </row>
    <row r="594" spans="1:14" ht="14.25" customHeight="1">
      <c r="A594">
        <v>593</v>
      </c>
      <c r="B594" t="s">
        <v>9</v>
      </c>
      <c r="C594" t="s">
        <v>1549</v>
      </c>
      <c r="D594" t="s">
        <v>3504</v>
      </c>
      <c r="E594" t="s">
        <v>3505</v>
      </c>
      <c r="F594">
        <v>2025</v>
      </c>
      <c r="G594" t="s">
        <v>3506</v>
      </c>
      <c r="H594" t="s">
        <v>3507</v>
      </c>
      <c r="J594" t="s">
        <v>91</v>
      </c>
      <c r="K594" t="s">
        <v>91</v>
      </c>
      <c r="L594" t="s">
        <v>91</v>
      </c>
      <c r="M594" t="s">
        <v>1570</v>
      </c>
      <c r="N594" t="s">
        <v>1588</v>
      </c>
    </row>
    <row r="595" spans="1:14" ht="14.25" customHeight="1">
      <c r="A595">
        <v>594</v>
      </c>
      <c r="B595" t="s">
        <v>9</v>
      </c>
      <c r="C595" t="s">
        <v>1549</v>
      </c>
      <c r="D595" t="s">
        <v>3508</v>
      </c>
      <c r="E595" t="s">
        <v>3509</v>
      </c>
      <c r="F595">
        <v>2025</v>
      </c>
      <c r="G595" t="s">
        <v>2559</v>
      </c>
      <c r="H595" t="s">
        <v>3510</v>
      </c>
      <c r="J595" t="s">
        <v>91</v>
      </c>
      <c r="K595" t="s">
        <v>91</v>
      </c>
      <c r="L595" t="s">
        <v>91</v>
      </c>
      <c r="M595" t="s">
        <v>1570</v>
      </c>
      <c r="N595" t="s">
        <v>1588</v>
      </c>
    </row>
    <row r="596" spans="1:14" ht="14.25" customHeight="1">
      <c r="A596">
        <v>595</v>
      </c>
      <c r="B596" t="s">
        <v>9</v>
      </c>
      <c r="C596" t="s">
        <v>1549</v>
      </c>
      <c r="D596" t="s">
        <v>3511</v>
      </c>
      <c r="E596" t="s">
        <v>3512</v>
      </c>
      <c r="F596">
        <v>2025</v>
      </c>
      <c r="G596" t="s">
        <v>2649</v>
      </c>
      <c r="H596" t="s">
        <v>3513</v>
      </c>
      <c r="J596" t="s">
        <v>91</v>
      </c>
      <c r="K596" t="s">
        <v>91</v>
      </c>
      <c r="L596" t="s">
        <v>91</v>
      </c>
      <c r="M596" t="s">
        <v>1593</v>
      </c>
      <c r="N596" t="s">
        <v>1555</v>
      </c>
    </row>
    <row r="597" spans="1:14" ht="14.25" customHeight="1">
      <c r="A597">
        <v>596</v>
      </c>
      <c r="B597" t="s">
        <v>9</v>
      </c>
      <c r="C597" t="s">
        <v>1549</v>
      </c>
      <c r="D597" t="s">
        <v>3514</v>
      </c>
      <c r="E597" t="s">
        <v>3052</v>
      </c>
      <c r="F597">
        <v>2025</v>
      </c>
      <c r="G597" t="s">
        <v>2559</v>
      </c>
      <c r="H597" t="s">
        <v>3515</v>
      </c>
      <c r="J597" t="s">
        <v>91</v>
      </c>
      <c r="K597" t="s">
        <v>91</v>
      </c>
      <c r="L597" t="s">
        <v>91</v>
      </c>
      <c r="M597" t="s">
        <v>1570</v>
      </c>
      <c r="N597" t="s">
        <v>1588</v>
      </c>
    </row>
    <row r="598" spans="1:14" ht="14.25" customHeight="1">
      <c r="A598">
        <v>597</v>
      </c>
      <c r="B598" t="s">
        <v>9</v>
      </c>
      <c r="C598" t="s">
        <v>1549</v>
      </c>
      <c r="D598" t="s">
        <v>3516</v>
      </c>
      <c r="E598" t="s">
        <v>3517</v>
      </c>
      <c r="F598">
        <v>2025</v>
      </c>
      <c r="G598" t="s">
        <v>3518</v>
      </c>
      <c r="H598" t="s">
        <v>3519</v>
      </c>
      <c r="J598" t="s">
        <v>91</v>
      </c>
      <c r="K598" t="s">
        <v>91</v>
      </c>
      <c r="L598" t="s">
        <v>91</v>
      </c>
      <c r="M598" t="s">
        <v>1570</v>
      </c>
      <c r="N598" t="s">
        <v>1588</v>
      </c>
    </row>
    <row r="599" spans="1:14" ht="14.25" customHeight="1">
      <c r="A599">
        <v>598</v>
      </c>
      <c r="B599" t="s">
        <v>9</v>
      </c>
      <c r="C599" t="s">
        <v>1549</v>
      </c>
      <c r="D599" t="s">
        <v>3520</v>
      </c>
      <c r="E599" t="s">
        <v>3521</v>
      </c>
      <c r="F599">
        <v>2025</v>
      </c>
      <c r="G599" t="s">
        <v>1721</v>
      </c>
      <c r="H599" t="s">
        <v>3522</v>
      </c>
      <c r="J599" t="s">
        <v>91</v>
      </c>
      <c r="K599" t="s">
        <v>91</v>
      </c>
      <c r="L599" t="s">
        <v>91</v>
      </c>
      <c r="M599" t="s">
        <v>1570</v>
      </c>
      <c r="N599" t="s">
        <v>1555</v>
      </c>
    </row>
    <row r="600" spans="1:14" ht="14.25" customHeight="1">
      <c r="A600">
        <v>599</v>
      </c>
      <c r="B600" t="s">
        <v>9</v>
      </c>
      <c r="C600" t="s">
        <v>1549</v>
      </c>
      <c r="D600" t="s">
        <v>3523</v>
      </c>
      <c r="E600" t="s">
        <v>3524</v>
      </c>
      <c r="F600">
        <v>2025</v>
      </c>
      <c r="G600" t="s">
        <v>2882</v>
      </c>
      <c r="H600" t="s">
        <v>3525</v>
      </c>
      <c r="J600" t="s">
        <v>91</v>
      </c>
      <c r="K600" t="s">
        <v>91</v>
      </c>
      <c r="L600" t="s">
        <v>91</v>
      </c>
      <c r="M600" t="s">
        <v>1570</v>
      </c>
      <c r="N600" t="s">
        <v>1555</v>
      </c>
    </row>
    <row r="601" spans="1:14" ht="14.25" customHeight="1">
      <c r="A601">
        <v>600</v>
      </c>
      <c r="B601" t="s">
        <v>9</v>
      </c>
      <c r="C601" t="s">
        <v>1549</v>
      </c>
      <c r="D601" t="s">
        <v>3526</v>
      </c>
      <c r="E601" t="s">
        <v>3527</v>
      </c>
      <c r="F601">
        <v>2025</v>
      </c>
      <c r="G601" t="s">
        <v>923</v>
      </c>
      <c r="H601" t="s">
        <v>3528</v>
      </c>
      <c r="J601" t="s">
        <v>91</v>
      </c>
      <c r="K601" t="s">
        <v>91</v>
      </c>
      <c r="L601" t="s">
        <v>91</v>
      </c>
      <c r="M601" t="s">
        <v>1570</v>
      </c>
      <c r="N601" t="s">
        <v>1555</v>
      </c>
    </row>
    <row r="602" spans="1:14" ht="14.25" customHeight="1">
      <c r="A602">
        <v>601</v>
      </c>
      <c r="B602" t="s">
        <v>9</v>
      </c>
      <c r="C602" t="s">
        <v>1549</v>
      </c>
      <c r="D602" t="s">
        <v>3529</v>
      </c>
      <c r="E602" t="s">
        <v>3530</v>
      </c>
      <c r="F602">
        <v>2025</v>
      </c>
      <c r="G602" t="s">
        <v>1117</v>
      </c>
      <c r="H602" t="s">
        <v>3531</v>
      </c>
      <c r="J602" t="s">
        <v>91</v>
      </c>
      <c r="K602" t="s">
        <v>91</v>
      </c>
      <c r="L602" t="s">
        <v>91</v>
      </c>
      <c r="M602" t="s">
        <v>1570</v>
      </c>
      <c r="N602" t="s">
        <v>1588</v>
      </c>
    </row>
    <row r="603" spans="1:14" ht="14.25" customHeight="1">
      <c r="A603">
        <v>602</v>
      </c>
      <c r="B603" t="s">
        <v>9</v>
      </c>
      <c r="C603" t="s">
        <v>1549</v>
      </c>
      <c r="D603" t="s">
        <v>3532</v>
      </c>
      <c r="E603" t="s">
        <v>3533</v>
      </c>
      <c r="F603">
        <v>2025</v>
      </c>
      <c r="G603" t="s">
        <v>3518</v>
      </c>
      <c r="H603" t="s">
        <v>3534</v>
      </c>
      <c r="J603" t="s">
        <v>91</v>
      </c>
      <c r="K603" t="s">
        <v>91</v>
      </c>
      <c r="L603" t="s">
        <v>91</v>
      </c>
      <c r="M603" t="s">
        <v>1587</v>
      </c>
      <c r="N603" t="s">
        <v>1588</v>
      </c>
    </row>
    <row r="604" spans="1:14" ht="14.25" customHeight="1">
      <c r="A604">
        <v>603</v>
      </c>
      <c r="B604" t="s">
        <v>9</v>
      </c>
      <c r="C604" t="s">
        <v>1549</v>
      </c>
      <c r="D604" t="s">
        <v>3535</v>
      </c>
      <c r="E604" t="s">
        <v>3536</v>
      </c>
      <c r="F604">
        <v>2025</v>
      </c>
      <c r="G604" t="s">
        <v>1046</v>
      </c>
      <c r="H604" t="s">
        <v>3537</v>
      </c>
      <c r="J604" t="s">
        <v>91</v>
      </c>
      <c r="K604" t="s">
        <v>91</v>
      </c>
      <c r="L604" t="s">
        <v>91</v>
      </c>
      <c r="M604" t="s">
        <v>1570</v>
      </c>
      <c r="N604" t="s">
        <v>1588</v>
      </c>
    </row>
    <row r="605" spans="1:14" ht="14.25" customHeight="1">
      <c r="A605">
        <v>604</v>
      </c>
      <c r="B605" t="s">
        <v>9</v>
      </c>
      <c r="C605" t="s">
        <v>1549</v>
      </c>
      <c r="D605" t="s">
        <v>3538</v>
      </c>
      <c r="E605" t="s">
        <v>3539</v>
      </c>
      <c r="F605">
        <v>2025</v>
      </c>
      <c r="G605" t="s">
        <v>923</v>
      </c>
      <c r="H605" t="s">
        <v>3540</v>
      </c>
      <c r="J605" t="s">
        <v>91</v>
      </c>
      <c r="K605" t="s">
        <v>91</v>
      </c>
      <c r="L605" t="s">
        <v>91</v>
      </c>
      <c r="M605" t="s">
        <v>1570</v>
      </c>
      <c r="N605" t="s">
        <v>1555</v>
      </c>
    </row>
    <row r="606" spans="1:14" ht="14.25" customHeight="1">
      <c r="A606">
        <v>605</v>
      </c>
      <c r="B606" t="s">
        <v>9</v>
      </c>
      <c r="C606" t="s">
        <v>1549</v>
      </c>
      <c r="D606" t="s">
        <v>3541</v>
      </c>
      <c r="E606" t="s">
        <v>3542</v>
      </c>
      <c r="F606">
        <v>2025</v>
      </c>
      <c r="G606" t="s">
        <v>3543</v>
      </c>
      <c r="H606" t="s">
        <v>3544</v>
      </c>
      <c r="J606" t="s">
        <v>91</v>
      </c>
      <c r="K606" t="s">
        <v>91</v>
      </c>
      <c r="L606" t="s">
        <v>91</v>
      </c>
      <c r="M606" t="s">
        <v>1570</v>
      </c>
      <c r="N606" t="s">
        <v>1588</v>
      </c>
    </row>
    <row r="607" spans="1:14" ht="14.25" customHeight="1">
      <c r="A607">
        <v>606</v>
      </c>
      <c r="B607" t="s">
        <v>9</v>
      </c>
      <c r="C607" t="s">
        <v>1549</v>
      </c>
      <c r="D607" t="s">
        <v>3545</v>
      </c>
      <c r="E607" t="s">
        <v>3546</v>
      </c>
      <c r="F607">
        <v>2025</v>
      </c>
      <c r="G607" t="s">
        <v>3547</v>
      </c>
      <c r="H607" t="s">
        <v>3548</v>
      </c>
      <c r="J607" t="s">
        <v>91</v>
      </c>
      <c r="K607" t="s">
        <v>91</v>
      </c>
      <c r="L607" t="s">
        <v>91</v>
      </c>
      <c r="M607" t="s">
        <v>1570</v>
      </c>
      <c r="N607" t="s">
        <v>1588</v>
      </c>
    </row>
    <row r="608" spans="1:14" ht="14.25" customHeight="1">
      <c r="A608">
        <v>607</v>
      </c>
      <c r="B608" t="s">
        <v>9</v>
      </c>
      <c r="C608" t="s">
        <v>1549</v>
      </c>
      <c r="D608" t="s">
        <v>3549</v>
      </c>
      <c r="E608" t="s">
        <v>3550</v>
      </c>
      <c r="F608">
        <v>2025</v>
      </c>
      <c r="G608" t="s">
        <v>3551</v>
      </c>
      <c r="H608" t="s">
        <v>3552</v>
      </c>
      <c r="J608" t="s">
        <v>91</v>
      </c>
      <c r="K608" t="s">
        <v>91</v>
      </c>
      <c r="L608" t="s">
        <v>91</v>
      </c>
      <c r="M608" t="s">
        <v>1587</v>
      </c>
      <c r="N608" t="s">
        <v>1588</v>
      </c>
    </row>
    <row r="609" spans="1:14" ht="14.25" customHeight="1">
      <c r="A609">
        <v>608</v>
      </c>
      <c r="B609" t="s">
        <v>9</v>
      </c>
      <c r="C609" t="s">
        <v>1549</v>
      </c>
      <c r="D609" t="s">
        <v>3553</v>
      </c>
      <c r="E609" t="s">
        <v>3554</v>
      </c>
      <c r="F609">
        <v>2025</v>
      </c>
      <c r="G609" t="s">
        <v>982</v>
      </c>
      <c r="H609" t="s">
        <v>3555</v>
      </c>
      <c r="J609" t="s">
        <v>91</v>
      </c>
      <c r="K609" t="s">
        <v>91</v>
      </c>
      <c r="L609" t="s">
        <v>91</v>
      </c>
      <c r="M609" t="s">
        <v>1570</v>
      </c>
      <c r="N609" t="s">
        <v>1588</v>
      </c>
    </row>
    <row r="610" spans="1:14" ht="14.25" customHeight="1">
      <c r="A610">
        <v>609</v>
      </c>
      <c r="B610" t="s">
        <v>9</v>
      </c>
      <c r="C610" t="s">
        <v>1549</v>
      </c>
      <c r="D610" t="s">
        <v>3556</v>
      </c>
      <c r="E610" t="s">
        <v>3557</v>
      </c>
      <c r="F610">
        <v>2025</v>
      </c>
      <c r="G610" t="s">
        <v>1058</v>
      </c>
      <c r="H610" t="s">
        <v>3558</v>
      </c>
      <c r="J610" t="s">
        <v>91</v>
      </c>
      <c r="K610" t="s">
        <v>91</v>
      </c>
      <c r="L610" t="s">
        <v>91</v>
      </c>
      <c r="M610" t="s">
        <v>1570</v>
      </c>
      <c r="N610" t="s">
        <v>1588</v>
      </c>
    </row>
    <row r="611" spans="1:14" ht="14.25" customHeight="1">
      <c r="A611">
        <v>610</v>
      </c>
      <c r="B611" t="s">
        <v>9</v>
      </c>
      <c r="C611" t="s">
        <v>1549</v>
      </c>
      <c r="D611" t="s">
        <v>3559</v>
      </c>
      <c r="E611" t="s">
        <v>3560</v>
      </c>
      <c r="F611">
        <v>2025</v>
      </c>
      <c r="G611" t="s">
        <v>3561</v>
      </c>
      <c r="H611" t="s">
        <v>3562</v>
      </c>
      <c r="J611" t="s">
        <v>91</v>
      </c>
      <c r="K611" t="s">
        <v>91</v>
      </c>
      <c r="L611" t="s">
        <v>91</v>
      </c>
      <c r="M611" t="s">
        <v>1570</v>
      </c>
      <c r="N611" t="s">
        <v>1555</v>
      </c>
    </row>
    <row r="612" spans="1:14" ht="14.25" customHeight="1">
      <c r="A612">
        <v>611</v>
      </c>
      <c r="B612" t="s">
        <v>9</v>
      </c>
      <c r="C612" t="s">
        <v>1549</v>
      </c>
      <c r="D612" t="s">
        <v>3563</v>
      </c>
      <c r="E612" t="s">
        <v>3564</v>
      </c>
      <c r="F612">
        <v>2025</v>
      </c>
      <c r="G612" t="s">
        <v>3565</v>
      </c>
      <c r="H612" t="s">
        <v>3566</v>
      </c>
      <c r="J612" t="s">
        <v>91</v>
      </c>
      <c r="K612" t="s">
        <v>91</v>
      </c>
      <c r="L612" t="s">
        <v>91</v>
      </c>
      <c r="M612" t="s">
        <v>1570</v>
      </c>
      <c r="N612" t="s">
        <v>1588</v>
      </c>
    </row>
    <row r="613" spans="1:14" ht="14.25" customHeight="1">
      <c r="A613">
        <v>612</v>
      </c>
      <c r="B613" t="s">
        <v>9</v>
      </c>
      <c r="C613" t="s">
        <v>1549</v>
      </c>
      <c r="D613" t="s">
        <v>3567</v>
      </c>
      <c r="E613" t="s">
        <v>3568</v>
      </c>
      <c r="F613">
        <v>2025</v>
      </c>
      <c r="G613" t="s">
        <v>3569</v>
      </c>
      <c r="H613" t="s">
        <v>3570</v>
      </c>
      <c r="J613" t="s">
        <v>91</v>
      </c>
      <c r="K613" t="s">
        <v>91</v>
      </c>
      <c r="L613" t="s">
        <v>91</v>
      </c>
      <c r="M613" t="s">
        <v>1570</v>
      </c>
      <c r="N613" t="s">
        <v>1555</v>
      </c>
    </row>
    <row r="614" spans="1:14" ht="14.25" customHeight="1">
      <c r="A614">
        <v>613</v>
      </c>
      <c r="B614" t="s">
        <v>9</v>
      </c>
      <c r="C614" t="s">
        <v>1549</v>
      </c>
      <c r="D614" t="s">
        <v>3571</v>
      </c>
      <c r="E614" t="s">
        <v>3572</v>
      </c>
      <c r="F614">
        <v>2025</v>
      </c>
      <c r="G614" t="s">
        <v>3543</v>
      </c>
      <c r="H614" t="s">
        <v>3573</v>
      </c>
      <c r="J614" t="s">
        <v>91</v>
      </c>
      <c r="K614" t="s">
        <v>91</v>
      </c>
      <c r="L614" t="s">
        <v>91</v>
      </c>
      <c r="M614" t="s">
        <v>1570</v>
      </c>
      <c r="N614" t="s">
        <v>1588</v>
      </c>
    </row>
    <row r="615" spans="1:14" ht="14.25" customHeight="1">
      <c r="A615">
        <v>614</v>
      </c>
      <c r="B615" t="s">
        <v>9</v>
      </c>
      <c r="C615" t="s">
        <v>1549</v>
      </c>
      <c r="D615" t="s">
        <v>3574</v>
      </c>
      <c r="E615" t="s">
        <v>3575</v>
      </c>
      <c r="F615">
        <v>2025</v>
      </c>
      <c r="G615" t="s">
        <v>2190</v>
      </c>
      <c r="H615" t="s">
        <v>3576</v>
      </c>
      <c r="J615" t="s">
        <v>91</v>
      </c>
      <c r="K615" t="s">
        <v>91</v>
      </c>
      <c r="L615" t="s">
        <v>91</v>
      </c>
      <c r="M615" t="s">
        <v>1587</v>
      </c>
      <c r="N615" t="s">
        <v>1555</v>
      </c>
    </row>
    <row r="616" spans="1:14" ht="14.25" customHeight="1">
      <c r="A616">
        <v>615</v>
      </c>
      <c r="B616" t="s">
        <v>9</v>
      </c>
      <c r="C616" t="s">
        <v>1549</v>
      </c>
      <c r="D616" t="s">
        <v>3577</v>
      </c>
      <c r="E616" t="s">
        <v>3578</v>
      </c>
      <c r="F616">
        <v>2025</v>
      </c>
      <c r="G616" t="s">
        <v>923</v>
      </c>
      <c r="H616" t="s">
        <v>3579</v>
      </c>
      <c r="J616" t="s">
        <v>91</v>
      </c>
      <c r="K616" t="s">
        <v>91</v>
      </c>
      <c r="L616" t="s">
        <v>91</v>
      </c>
      <c r="M616" t="s">
        <v>1570</v>
      </c>
      <c r="N616" t="s">
        <v>1555</v>
      </c>
    </row>
    <row r="617" spans="1:14" ht="14.25" customHeight="1">
      <c r="A617">
        <v>616</v>
      </c>
      <c r="B617" t="s">
        <v>9</v>
      </c>
      <c r="C617" t="s">
        <v>1549</v>
      </c>
      <c r="D617" t="s">
        <v>3580</v>
      </c>
      <c r="E617" t="s">
        <v>3581</v>
      </c>
      <c r="F617">
        <v>2025</v>
      </c>
      <c r="G617" t="s">
        <v>1628</v>
      </c>
      <c r="H617" t="s">
        <v>3582</v>
      </c>
      <c r="J617" t="s">
        <v>91</v>
      </c>
      <c r="K617" t="s">
        <v>91</v>
      </c>
      <c r="L617" t="s">
        <v>91</v>
      </c>
      <c r="M617" t="s">
        <v>1570</v>
      </c>
      <c r="N617" t="s">
        <v>1555</v>
      </c>
    </row>
    <row r="618" spans="1:14" ht="14.25" customHeight="1">
      <c r="A618">
        <v>617</v>
      </c>
      <c r="B618" t="s">
        <v>9</v>
      </c>
      <c r="C618" t="s">
        <v>1549</v>
      </c>
      <c r="D618" t="s">
        <v>3583</v>
      </c>
      <c r="E618" t="s">
        <v>3584</v>
      </c>
      <c r="F618">
        <v>2025</v>
      </c>
      <c r="G618" t="s">
        <v>2213</v>
      </c>
      <c r="H618" t="s">
        <v>3585</v>
      </c>
      <c r="J618" t="s">
        <v>91</v>
      </c>
      <c r="K618" t="s">
        <v>91</v>
      </c>
      <c r="L618" t="s">
        <v>91</v>
      </c>
      <c r="M618" t="s">
        <v>1570</v>
      </c>
      <c r="N618" t="s">
        <v>1555</v>
      </c>
    </row>
    <row r="619" spans="1:14" ht="14.25" customHeight="1">
      <c r="A619">
        <v>618</v>
      </c>
      <c r="B619" t="s">
        <v>9</v>
      </c>
      <c r="C619" t="s">
        <v>1549</v>
      </c>
      <c r="D619" t="s">
        <v>3586</v>
      </c>
      <c r="E619" t="s">
        <v>3587</v>
      </c>
      <c r="F619">
        <v>2025</v>
      </c>
      <c r="G619" t="s">
        <v>1573</v>
      </c>
      <c r="H619" t="s">
        <v>3588</v>
      </c>
      <c r="J619" t="s">
        <v>91</v>
      </c>
      <c r="K619" t="s">
        <v>91</v>
      </c>
      <c r="L619" t="s">
        <v>91</v>
      </c>
      <c r="M619" t="s">
        <v>1570</v>
      </c>
      <c r="N619" t="s">
        <v>1555</v>
      </c>
    </row>
    <row r="620" spans="1:14" ht="14.25" customHeight="1">
      <c r="A620">
        <v>619</v>
      </c>
      <c r="B620" t="s">
        <v>9</v>
      </c>
      <c r="C620" t="s">
        <v>1549</v>
      </c>
      <c r="D620" t="s">
        <v>3589</v>
      </c>
      <c r="E620" t="s">
        <v>3590</v>
      </c>
      <c r="F620">
        <v>2025</v>
      </c>
      <c r="G620" t="s">
        <v>3591</v>
      </c>
      <c r="H620" t="s">
        <v>3592</v>
      </c>
      <c r="J620" t="s">
        <v>91</v>
      </c>
      <c r="K620" t="s">
        <v>91</v>
      </c>
      <c r="L620" t="s">
        <v>91</v>
      </c>
      <c r="M620" t="s">
        <v>1570</v>
      </c>
      <c r="N620" t="s">
        <v>1555</v>
      </c>
    </row>
    <row r="621" spans="1:14" ht="14.25" customHeight="1">
      <c r="A621">
        <v>620</v>
      </c>
      <c r="B621" t="s">
        <v>9</v>
      </c>
      <c r="C621" t="s">
        <v>1549</v>
      </c>
      <c r="D621" t="s">
        <v>3593</v>
      </c>
      <c r="E621" t="s">
        <v>3594</v>
      </c>
      <c r="F621">
        <v>2025</v>
      </c>
      <c r="G621" t="s">
        <v>2372</v>
      </c>
      <c r="H621" t="s">
        <v>3595</v>
      </c>
      <c r="J621" t="s">
        <v>91</v>
      </c>
      <c r="K621" t="s">
        <v>91</v>
      </c>
      <c r="L621" t="s">
        <v>91</v>
      </c>
      <c r="M621" t="s">
        <v>1570</v>
      </c>
      <c r="N621" t="s">
        <v>1555</v>
      </c>
    </row>
    <row r="622" spans="1:14" ht="14.25" customHeight="1">
      <c r="A622">
        <v>621</v>
      </c>
      <c r="B622" t="s">
        <v>9</v>
      </c>
      <c r="C622" t="s">
        <v>1549</v>
      </c>
      <c r="D622" t="s">
        <v>3596</v>
      </c>
      <c r="E622" t="s">
        <v>3597</v>
      </c>
      <c r="F622">
        <v>2025</v>
      </c>
      <c r="G622" t="s">
        <v>1128</v>
      </c>
      <c r="H622" t="s">
        <v>3598</v>
      </c>
      <c r="J622" t="s">
        <v>91</v>
      </c>
      <c r="K622" t="s">
        <v>91</v>
      </c>
      <c r="L622" t="s">
        <v>91</v>
      </c>
      <c r="M622" t="s">
        <v>1570</v>
      </c>
      <c r="N622" t="s">
        <v>1588</v>
      </c>
    </row>
    <row r="623" spans="1:14" ht="14.25" customHeight="1">
      <c r="A623">
        <v>622</v>
      </c>
      <c r="B623" t="s">
        <v>9</v>
      </c>
      <c r="C623" t="s">
        <v>1549</v>
      </c>
      <c r="D623" t="s">
        <v>3599</v>
      </c>
      <c r="E623" t="s">
        <v>3600</v>
      </c>
      <c r="F623">
        <v>2025</v>
      </c>
      <c r="G623" t="s">
        <v>3601</v>
      </c>
      <c r="H623" t="s">
        <v>3602</v>
      </c>
      <c r="J623" t="s">
        <v>91</v>
      </c>
      <c r="K623" t="s">
        <v>91</v>
      </c>
      <c r="L623" t="s">
        <v>91</v>
      </c>
      <c r="M623" t="s">
        <v>1587</v>
      </c>
      <c r="N623" t="s">
        <v>1555</v>
      </c>
    </row>
    <row r="624" spans="1:14" ht="14.25" customHeight="1">
      <c r="A624">
        <v>623</v>
      </c>
      <c r="B624" t="s">
        <v>9</v>
      </c>
      <c r="C624" t="s">
        <v>1549</v>
      </c>
      <c r="D624" t="s">
        <v>3603</v>
      </c>
      <c r="E624" t="s">
        <v>3604</v>
      </c>
      <c r="F624">
        <v>2025</v>
      </c>
      <c r="G624" t="s">
        <v>3605</v>
      </c>
      <c r="H624" t="s">
        <v>3606</v>
      </c>
      <c r="J624" t="s">
        <v>91</v>
      </c>
      <c r="K624" t="s">
        <v>91</v>
      </c>
      <c r="L624" t="s">
        <v>91</v>
      </c>
      <c r="M624" t="s">
        <v>1570</v>
      </c>
      <c r="N624" t="s">
        <v>1555</v>
      </c>
    </row>
    <row r="625" spans="1:14" ht="14.25" customHeight="1">
      <c r="A625">
        <v>624</v>
      </c>
      <c r="B625" t="s">
        <v>9</v>
      </c>
      <c r="C625" t="s">
        <v>1549</v>
      </c>
      <c r="D625" t="s">
        <v>3607</v>
      </c>
      <c r="E625" t="s">
        <v>3608</v>
      </c>
      <c r="F625">
        <v>2025</v>
      </c>
      <c r="G625" t="s">
        <v>1094</v>
      </c>
      <c r="H625" t="s">
        <v>3609</v>
      </c>
      <c r="J625" t="s">
        <v>91</v>
      </c>
      <c r="K625" t="s">
        <v>91</v>
      </c>
      <c r="L625" t="s">
        <v>91</v>
      </c>
      <c r="M625" t="s">
        <v>1593</v>
      </c>
      <c r="N625" t="s">
        <v>1555</v>
      </c>
    </row>
    <row r="626" spans="1:14" ht="14.25" customHeight="1">
      <c r="A626">
        <v>625</v>
      </c>
      <c r="B626" t="s">
        <v>9</v>
      </c>
      <c r="C626" t="s">
        <v>1549</v>
      </c>
      <c r="D626" t="s">
        <v>3610</v>
      </c>
      <c r="E626" t="s">
        <v>3611</v>
      </c>
      <c r="F626">
        <v>2025</v>
      </c>
      <c r="G626" t="s">
        <v>3612</v>
      </c>
      <c r="H626" t="s">
        <v>3613</v>
      </c>
      <c r="J626" t="s">
        <v>91</v>
      </c>
      <c r="K626" t="s">
        <v>91</v>
      </c>
      <c r="L626" t="s">
        <v>91</v>
      </c>
      <c r="M626" t="s">
        <v>1570</v>
      </c>
      <c r="N626" t="s">
        <v>1588</v>
      </c>
    </row>
    <row r="627" spans="1:14" ht="14.25" customHeight="1">
      <c r="A627">
        <v>626</v>
      </c>
      <c r="B627" t="s">
        <v>9</v>
      </c>
      <c r="C627" t="s">
        <v>1549</v>
      </c>
      <c r="D627" t="s">
        <v>3614</v>
      </c>
      <c r="E627" t="s">
        <v>3615</v>
      </c>
      <c r="F627">
        <v>2025</v>
      </c>
      <c r="G627" t="s">
        <v>3616</v>
      </c>
      <c r="H627" t="s">
        <v>3617</v>
      </c>
      <c r="J627" t="s">
        <v>91</v>
      </c>
      <c r="K627" t="s">
        <v>91</v>
      </c>
      <c r="L627" t="s">
        <v>91</v>
      </c>
      <c r="M627" t="s">
        <v>1554</v>
      </c>
      <c r="N627" t="s">
        <v>1555</v>
      </c>
    </row>
    <row r="628" spans="1:14" ht="14.25" customHeight="1">
      <c r="A628">
        <v>627</v>
      </c>
      <c r="B628" t="s">
        <v>9</v>
      </c>
      <c r="C628" t="s">
        <v>1549</v>
      </c>
      <c r="D628" t="s">
        <v>3618</v>
      </c>
      <c r="E628" t="s">
        <v>3619</v>
      </c>
      <c r="F628">
        <v>2025</v>
      </c>
      <c r="G628" t="s">
        <v>2179</v>
      </c>
      <c r="H628" t="s">
        <v>3620</v>
      </c>
      <c r="J628" t="s">
        <v>91</v>
      </c>
      <c r="K628" t="s">
        <v>91</v>
      </c>
      <c r="L628" t="s">
        <v>91</v>
      </c>
      <c r="M628" t="s">
        <v>1570</v>
      </c>
      <c r="N628" t="s">
        <v>1555</v>
      </c>
    </row>
    <row r="629" spans="1:14" ht="14.25" customHeight="1">
      <c r="A629">
        <v>628</v>
      </c>
      <c r="B629" t="s">
        <v>9</v>
      </c>
      <c r="C629" t="s">
        <v>1549</v>
      </c>
      <c r="D629" t="s">
        <v>3621</v>
      </c>
      <c r="E629" t="s">
        <v>3622</v>
      </c>
      <c r="F629">
        <v>2025</v>
      </c>
      <c r="G629" t="s">
        <v>3623</v>
      </c>
      <c r="H629" t="s">
        <v>3624</v>
      </c>
      <c r="J629" t="s">
        <v>91</v>
      </c>
      <c r="K629" t="s">
        <v>91</v>
      </c>
      <c r="L629" t="s">
        <v>91</v>
      </c>
      <c r="M629" t="s">
        <v>1570</v>
      </c>
      <c r="N629" t="s">
        <v>1555</v>
      </c>
    </row>
    <row r="630" spans="1:14" ht="14.25" customHeight="1">
      <c r="A630">
        <v>629</v>
      </c>
      <c r="B630" t="s">
        <v>9</v>
      </c>
      <c r="C630" t="s">
        <v>1549</v>
      </c>
      <c r="D630" t="s">
        <v>3625</v>
      </c>
      <c r="E630" t="s">
        <v>3626</v>
      </c>
      <c r="F630">
        <v>2025</v>
      </c>
      <c r="G630" t="s">
        <v>2552</v>
      </c>
      <c r="H630" t="s">
        <v>3627</v>
      </c>
      <c r="J630" t="s">
        <v>91</v>
      </c>
      <c r="K630" t="s">
        <v>91</v>
      </c>
      <c r="L630" t="s">
        <v>91</v>
      </c>
      <c r="M630" t="s">
        <v>1570</v>
      </c>
      <c r="N630" t="s">
        <v>1588</v>
      </c>
    </row>
    <row r="631" spans="1:14" ht="14.25" customHeight="1">
      <c r="A631">
        <v>630</v>
      </c>
      <c r="B631" t="s">
        <v>9</v>
      </c>
      <c r="C631" t="s">
        <v>1549</v>
      </c>
      <c r="D631" t="s">
        <v>3628</v>
      </c>
      <c r="E631" t="s">
        <v>3629</v>
      </c>
      <c r="F631">
        <v>2025</v>
      </c>
      <c r="G631" t="s">
        <v>3630</v>
      </c>
      <c r="H631" t="s">
        <v>3631</v>
      </c>
      <c r="J631" t="s">
        <v>91</v>
      </c>
      <c r="K631" t="s">
        <v>91</v>
      </c>
      <c r="L631" t="s">
        <v>91</v>
      </c>
      <c r="M631" t="s">
        <v>1570</v>
      </c>
      <c r="N631" t="s">
        <v>1588</v>
      </c>
    </row>
    <row r="632" spans="1:14" ht="14.25" customHeight="1">
      <c r="A632">
        <v>631</v>
      </c>
      <c r="B632" t="s">
        <v>9</v>
      </c>
      <c r="C632" t="s">
        <v>1549</v>
      </c>
      <c r="D632" t="s">
        <v>3632</v>
      </c>
      <c r="E632" t="s">
        <v>3633</v>
      </c>
      <c r="F632">
        <v>2025</v>
      </c>
      <c r="G632" t="s">
        <v>3171</v>
      </c>
      <c r="H632" t="s">
        <v>3634</v>
      </c>
      <c r="J632" t="s">
        <v>91</v>
      </c>
      <c r="K632" t="s">
        <v>91</v>
      </c>
      <c r="L632" t="s">
        <v>91</v>
      </c>
      <c r="M632" t="s">
        <v>1593</v>
      </c>
      <c r="N632" t="s">
        <v>1588</v>
      </c>
    </row>
    <row r="633" spans="1:14" ht="14.25" customHeight="1">
      <c r="A633">
        <v>632</v>
      </c>
      <c r="B633" t="s">
        <v>9</v>
      </c>
      <c r="C633" t="s">
        <v>1549</v>
      </c>
      <c r="D633" t="s">
        <v>3635</v>
      </c>
      <c r="E633" t="s">
        <v>3636</v>
      </c>
      <c r="F633">
        <v>2025</v>
      </c>
      <c r="G633" t="s">
        <v>2194</v>
      </c>
      <c r="H633" t="s">
        <v>3637</v>
      </c>
      <c r="J633" t="s">
        <v>91</v>
      </c>
      <c r="K633" t="s">
        <v>91</v>
      </c>
      <c r="L633" t="s">
        <v>91</v>
      </c>
      <c r="M633" t="s">
        <v>1570</v>
      </c>
      <c r="N633" t="s">
        <v>1588</v>
      </c>
    </row>
    <row r="634" spans="1:14" ht="14.25" customHeight="1">
      <c r="A634">
        <v>633</v>
      </c>
      <c r="B634" t="s">
        <v>9</v>
      </c>
      <c r="C634" t="s">
        <v>1549</v>
      </c>
      <c r="D634" t="s">
        <v>3638</v>
      </c>
      <c r="E634" t="s">
        <v>3639</v>
      </c>
      <c r="F634">
        <v>2025</v>
      </c>
      <c r="G634" t="s">
        <v>3640</v>
      </c>
      <c r="H634" t="s">
        <v>3641</v>
      </c>
      <c r="J634" t="s">
        <v>91</v>
      </c>
      <c r="K634" t="s">
        <v>91</v>
      </c>
      <c r="L634" t="s">
        <v>91</v>
      </c>
      <c r="M634" t="s">
        <v>1570</v>
      </c>
      <c r="N634" t="s">
        <v>1588</v>
      </c>
    </row>
    <row r="635" spans="1:14" ht="14.25" customHeight="1">
      <c r="A635">
        <v>634</v>
      </c>
      <c r="B635" t="s">
        <v>9</v>
      </c>
      <c r="C635" t="s">
        <v>1549</v>
      </c>
      <c r="D635" t="s">
        <v>3642</v>
      </c>
      <c r="E635" t="s">
        <v>3643</v>
      </c>
      <c r="F635">
        <v>2025</v>
      </c>
      <c r="G635" t="s">
        <v>3414</v>
      </c>
      <c r="H635" t="s">
        <v>3644</v>
      </c>
      <c r="J635" t="s">
        <v>91</v>
      </c>
      <c r="K635" t="s">
        <v>91</v>
      </c>
      <c r="L635" t="s">
        <v>91</v>
      </c>
      <c r="M635" t="s">
        <v>1570</v>
      </c>
      <c r="N635" t="s">
        <v>1555</v>
      </c>
    </row>
    <row r="636" spans="1:14" ht="14.25" customHeight="1">
      <c r="A636">
        <v>635</v>
      </c>
      <c r="B636" t="s">
        <v>9</v>
      </c>
      <c r="C636" t="s">
        <v>1549</v>
      </c>
      <c r="D636" t="s">
        <v>3645</v>
      </c>
      <c r="E636" t="s">
        <v>3646</v>
      </c>
      <c r="F636">
        <v>2025</v>
      </c>
      <c r="G636" t="s">
        <v>3647</v>
      </c>
      <c r="H636" t="s">
        <v>3648</v>
      </c>
      <c r="J636" t="s">
        <v>91</v>
      </c>
      <c r="K636" t="s">
        <v>91</v>
      </c>
      <c r="L636" t="s">
        <v>91</v>
      </c>
      <c r="M636" t="s">
        <v>1593</v>
      </c>
      <c r="N636" t="s">
        <v>1588</v>
      </c>
    </row>
    <row r="637" spans="1:14" ht="14.25" customHeight="1">
      <c r="A637">
        <v>636</v>
      </c>
      <c r="B637" t="s">
        <v>9</v>
      </c>
      <c r="C637" t="s">
        <v>1549</v>
      </c>
      <c r="D637" t="s">
        <v>3649</v>
      </c>
      <c r="E637" t="s">
        <v>3650</v>
      </c>
      <c r="F637">
        <v>2025</v>
      </c>
      <c r="G637" t="s">
        <v>1066</v>
      </c>
      <c r="H637" t="s">
        <v>3651</v>
      </c>
      <c r="J637" t="s">
        <v>91</v>
      </c>
      <c r="K637" t="s">
        <v>91</v>
      </c>
      <c r="L637" t="s">
        <v>91</v>
      </c>
      <c r="M637" t="s">
        <v>1570</v>
      </c>
      <c r="N637" t="s">
        <v>1588</v>
      </c>
    </row>
    <row r="638" spans="1:14" ht="14.25" customHeight="1">
      <c r="A638">
        <v>637</v>
      </c>
      <c r="B638" t="s">
        <v>9</v>
      </c>
      <c r="C638" t="s">
        <v>1549</v>
      </c>
      <c r="D638" t="s">
        <v>3652</v>
      </c>
      <c r="E638" t="s">
        <v>3653</v>
      </c>
      <c r="F638">
        <v>2025</v>
      </c>
      <c r="G638" t="s">
        <v>3654</v>
      </c>
      <c r="H638" t="s">
        <v>3655</v>
      </c>
      <c r="J638" t="s">
        <v>91</v>
      </c>
      <c r="K638" t="s">
        <v>91</v>
      </c>
      <c r="L638" t="s">
        <v>91</v>
      </c>
      <c r="M638" t="s">
        <v>1593</v>
      </c>
      <c r="N638" t="s">
        <v>1588</v>
      </c>
    </row>
    <row r="639" spans="1:14" ht="14.25" customHeight="1">
      <c r="A639">
        <v>638</v>
      </c>
      <c r="B639" t="s">
        <v>9</v>
      </c>
      <c r="C639" t="s">
        <v>1549</v>
      </c>
      <c r="D639" t="s">
        <v>3656</v>
      </c>
      <c r="E639" t="s">
        <v>3657</v>
      </c>
      <c r="F639">
        <v>2025</v>
      </c>
      <c r="G639" t="s">
        <v>2303</v>
      </c>
      <c r="H639" t="s">
        <v>3658</v>
      </c>
      <c r="J639" t="s">
        <v>91</v>
      </c>
      <c r="K639" t="s">
        <v>91</v>
      </c>
      <c r="L639" t="s">
        <v>91</v>
      </c>
      <c r="M639" t="s">
        <v>1570</v>
      </c>
      <c r="N639" t="s">
        <v>1555</v>
      </c>
    </row>
    <row r="640" spans="1:14" ht="14.25" customHeight="1">
      <c r="A640">
        <v>639</v>
      </c>
      <c r="B640" t="s">
        <v>9</v>
      </c>
      <c r="C640" t="s">
        <v>1549</v>
      </c>
      <c r="D640" t="s">
        <v>3659</v>
      </c>
      <c r="E640" t="s">
        <v>3660</v>
      </c>
      <c r="F640">
        <v>2025</v>
      </c>
      <c r="G640" t="s">
        <v>3661</v>
      </c>
      <c r="H640" t="s">
        <v>3662</v>
      </c>
      <c r="J640" t="s">
        <v>91</v>
      </c>
      <c r="K640" t="s">
        <v>91</v>
      </c>
      <c r="L640" t="s">
        <v>91</v>
      </c>
      <c r="M640" t="s">
        <v>1570</v>
      </c>
      <c r="N640" t="s">
        <v>1555</v>
      </c>
    </row>
    <row r="641" spans="1:14" ht="14.25" customHeight="1">
      <c r="A641">
        <v>640</v>
      </c>
      <c r="B641" t="s">
        <v>9</v>
      </c>
      <c r="C641" t="s">
        <v>1549</v>
      </c>
      <c r="D641" t="s">
        <v>3663</v>
      </c>
      <c r="E641" t="s">
        <v>3664</v>
      </c>
      <c r="F641">
        <v>2025</v>
      </c>
      <c r="G641" t="s">
        <v>3665</v>
      </c>
      <c r="H641" t="s">
        <v>3666</v>
      </c>
      <c r="J641" t="s">
        <v>91</v>
      </c>
      <c r="K641" t="s">
        <v>91</v>
      </c>
      <c r="L641" t="s">
        <v>91</v>
      </c>
      <c r="M641" t="s">
        <v>1570</v>
      </c>
      <c r="N641" t="s">
        <v>1588</v>
      </c>
    </row>
    <row r="642" spans="1:14" ht="14.25" customHeight="1">
      <c r="A642">
        <v>641</v>
      </c>
      <c r="B642" t="s">
        <v>9</v>
      </c>
      <c r="C642" t="s">
        <v>1549</v>
      </c>
      <c r="D642" t="s">
        <v>3667</v>
      </c>
      <c r="E642" t="s">
        <v>3668</v>
      </c>
      <c r="F642">
        <v>2025</v>
      </c>
      <c r="G642" t="s">
        <v>1046</v>
      </c>
      <c r="H642" t="s">
        <v>3669</v>
      </c>
      <c r="J642" t="s">
        <v>91</v>
      </c>
      <c r="K642" t="s">
        <v>91</v>
      </c>
      <c r="L642" t="s">
        <v>91</v>
      </c>
      <c r="M642" t="s">
        <v>1570</v>
      </c>
      <c r="N642" t="s">
        <v>1588</v>
      </c>
    </row>
    <row r="643" spans="1:14" ht="14.25" customHeight="1">
      <c r="A643">
        <v>642</v>
      </c>
      <c r="B643" t="s">
        <v>9</v>
      </c>
      <c r="C643" t="s">
        <v>1549</v>
      </c>
      <c r="D643" t="s">
        <v>3670</v>
      </c>
      <c r="E643" t="s">
        <v>3671</v>
      </c>
      <c r="F643">
        <v>2025</v>
      </c>
      <c r="G643" t="s">
        <v>3672</v>
      </c>
      <c r="H643" t="s">
        <v>3673</v>
      </c>
      <c r="J643" t="s">
        <v>91</v>
      </c>
      <c r="K643" t="s">
        <v>91</v>
      </c>
      <c r="L643" t="s">
        <v>91</v>
      </c>
      <c r="M643" t="s">
        <v>1587</v>
      </c>
      <c r="N643" t="s">
        <v>1588</v>
      </c>
    </row>
    <row r="644" spans="1:14" ht="14.25" customHeight="1">
      <c r="A644">
        <v>643</v>
      </c>
      <c r="B644" t="s">
        <v>9</v>
      </c>
      <c r="C644" t="s">
        <v>1549</v>
      </c>
      <c r="D644" t="s">
        <v>3674</v>
      </c>
      <c r="E644" t="s">
        <v>3675</v>
      </c>
      <c r="F644">
        <v>2025</v>
      </c>
      <c r="G644" t="s">
        <v>2190</v>
      </c>
      <c r="H644" t="s">
        <v>3676</v>
      </c>
      <c r="J644" t="s">
        <v>91</v>
      </c>
      <c r="K644" t="s">
        <v>91</v>
      </c>
      <c r="L644" t="s">
        <v>91</v>
      </c>
      <c r="M644" t="s">
        <v>1587</v>
      </c>
      <c r="N644" t="s">
        <v>1555</v>
      </c>
    </row>
    <row r="645" spans="1:14" ht="14.25" customHeight="1">
      <c r="A645">
        <v>644</v>
      </c>
      <c r="B645" t="s">
        <v>9</v>
      </c>
      <c r="C645" t="s">
        <v>1549</v>
      </c>
      <c r="D645" t="s">
        <v>3677</v>
      </c>
      <c r="E645" t="s">
        <v>3678</v>
      </c>
      <c r="F645">
        <v>2025</v>
      </c>
      <c r="G645" t="s">
        <v>1077</v>
      </c>
      <c r="H645" t="s">
        <v>3679</v>
      </c>
      <c r="J645" t="s">
        <v>91</v>
      </c>
      <c r="K645" t="s">
        <v>91</v>
      </c>
      <c r="L645" t="s">
        <v>91</v>
      </c>
      <c r="M645" t="s">
        <v>1570</v>
      </c>
      <c r="N645" t="s">
        <v>1555</v>
      </c>
    </row>
    <row r="646" spans="1:14" ht="14.25" customHeight="1">
      <c r="A646">
        <v>645</v>
      </c>
      <c r="B646" t="s">
        <v>9</v>
      </c>
      <c r="C646" t="s">
        <v>1549</v>
      </c>
      <c r="D646" t="s">
        <v>3680</v>
      </c>
      <c r="E646" t="s">
        <v>3681</v>
      </c>
      <c r="F646">
        <v>2025</v>
      </c>
      <c r="G646" t="s">
        <v>3499</v>
      </c>
      <c r="H646" t="s">
        <v>3682</v>
      </c>
      <c r="J646" t="s">
        <v>91</v>
      </c>
      <c r="K646" t="s">
        <v>91</v>
      </c>
      <c r="L646" t="s">
        <v>91</v>
      </c>
      <c r="M646" t="s">
        <v>1570</v>
      </c>
      <c r="N646" t="s">
        <v>1555</v>
      </c>
    </row>
    <row r="647" spans="1:14" ht="14.25" customHeight="1">
      <c r="A647">
        <v>646</v>
      </c>
      <c r="B647" t="s">
        <v>9</v>
      </c>
      <c r="C647" t="s">
        <v>1549</v>
      </c>
      <c r="D647" t="s">
        <v>3683</v>
      </c>
      <c r="E647" t="s">
        <v>3684</v>
      </c>
      <c r="F647">
        <v>2025</v>
      </c>
      <c r="G647" t="s">
        <v>969</v>
      </c>
      <c r="H647" t="s">
        <v>3685</v>
      </c>
      <c r="J647" t="s">
        <v>91</v>
      </c>
      <c r="K647" t="s">
        <v>91</v>
      </c>
      <c r="L647" t="s">
        <v>91</v>
      </c>
      <c r="M647" t="s">
        <v>1570</v>
      </c>
      <c r="N647" t="s">
        <v>1555</v>
      </c>
    </row>
    <row r="648" spans="1:14" ht="14.25" customHeight="1">
      <c r="A648">
        <v>647</v>
      </c>
      <c r="B648" t="s">
        <v>9</v>
      </c>
      <c r="C648" t="s">
        <v>1549</v>
      </c>
      <c r="D648" t="s">
        <v>3686</v>
      </c>
      <c r="E648" t="s">
        <v>3687</v>
      </c>
      <c r="F648">
        <v>2025</v>
      </c>
      <c r="G648" t="s">
        <v>1949</v>
      </c>
      <c r="H648" t="s">
        <v>3688</v>
      </c>
      <c r="J648" t="s">
        <v>91</v>
      </c>
      <c r="K648" t="s">
        <v>91</v>
      </c>
      <c r="L648" t="s">
        <v>91</v>
      </c>
      <c r="M648" t="s">
        <v>1570</v>
      </c>
      <c r="N648" t="s">
        <v>1555</v>
      </c>
    </row>
    <row r="649" spans="1:14" ht="14.25" customHeight="1">
      <c r="A649">
        <v>648</v>
      </c>
      <c r="B649" t="s">
        <v>9</v>
      </c>
      <c r="C649" t="s">
        <v>1549</v>
      </c>
      <c r="D649" t="s">
        <v>3689</v>
      </c>
      <c r="E649" t="s">
        <v>3690</v>
      </c>
      <c r="F649">
        <v>2025</v>
      </c>
      <c r="G649" t="s">
        <v>3691</v>
      </c>
      <c r="H649" t="s">
        <v>3692</v>
      </c>
      <c r="J649" t="s">
        <v>91</v>
      </c>
      <c r="K649" t="s">
        <v>91</v>
      </c>
      <c r="L649" t="s">
        <v>91</v>
      </c>
      <c r="M649" t="s">
        <v>1570</v>
      </c>
      <c r="N649" t="s">
        <v>1588</v>
      </c>
    </row>
    <row r="650" spans="1:14" ht="14.25" customHeight="1">
      <c r="A650">
        <v>649</v>
      </c>
      <c r="B650" t="s">
        <v>9</v>
      </c>
      <c r="C650" t="s">
        <v>1549</v>
      </c>
      <c r="D650" t="s">
        <v>3693</v>
      </c>
      <c r="E650" t="s">
        <v>3694</v>
      </c>
      <c r="F650">
        <v>2025</v>
      </c>
      <c r="G650" t="s">
        <v>3695</v>
      </c>
      <c r="H650" t="s">
        <v>3696</v>
      </c>
      <c r="J650" t="s">
        <v>91</v>
      </c>
      <c r="K650" t="s">
        <v>91</v>
      </c>
      <c r="L650" t="s">
        <v>91</v>
      </c>
      <c r="M650" t="s">
        <v>1570</v>
      </c>
      <c r="N650" t="s">
        <v>1555</v>
      </c>
    </row>
    <row r="651" spans="1:14" ht="14.25" customHeight="1">
      <c r="A651">
        <v>650</v>
      </c>
      <c r="B651" t="s">
        <v>9</v>
      </c>
      <c r="C651" t="s">
        <v>1549</v>
      </c>
      <c r="D651" t="s">
        <v>3697</v>
      </c>
      <c r="E651" t="s">
        <v>3698</v>
      </c>
      <c r="F651">
        <v>2025</v>
      </c>
      <c r="G651" t="s">
        <v>2213</v>
      </c>
      <c r="H651" t="s">
        <v>3699</v>
      </c>
      <c r="J651" t="s">
        <v>91</v>
      </c>
      <c r="K651" t="s">
        <v>91</v>
      </c>
      <c r="L651" t="s">
        <v>91</v>
      </c>
      <c r="M651" t="s">
        <v>1570</v>
      </c>
      <c r="N651" t="s">
        <v>1555</v>
      </c>
    </row>
    <row r="652" spans="1:14" ht="14.25" customHeight="1">
      <c r="A652">
        <v>651</v>
      </c>
      <c r="B652" t="s">
        <v>9</v>
      </c>
      <c r="C652" t="s">
        <v>1549</v>
      </c>
      <c r="D652" t="s">
        <v>3700</v>
      </c>
      <c r="E652" t="s">
        <v>3701</v>
      </c>
      <c r="F652">
        <v>2025</v>
      </c>
      <c r="G652" t="s">
        <v>923</v>
      </c>
      <c r="H652" t="s">
        <v>3702</v>
      </c>
      <c r="J652" t="s">
        <v>91</v>
      </c>
      <c r="K652" t="s">
        <v>91</v>
      </c>
      <c r="L652" t="s">
        <v>91</v>
      </c>
      <c r="M652" t="s">
        <v>1570</v>
      </c>
      <c r="N652" t="s">
        <v>1555</v>
      </c>
    </row>
    <row r="653" spans="1:14" ht="14.25" customHeight="1">
      <c r="A653">
        <v>652</v>
      </c>
      <c r="B653" t="s">
        <v>9</v>
      </c>
      <c r="C653" t="s">
        <v>1549</v>
      </c>
      <c r="D653" t="s">
        <v>3703</v>
      </c>
      <c r="E653" t="s">
        <v>3704</v>
      </c>
      <c r="F653">
        <v>2025</v>
      </c>
      <c r="G653" t="s">
        <v>3705</v>
      </c>
      <c r="H653" t="s">
        <v>3706</v>
      </c>
      <c r="J653" t="s">
        <v>91</v>
      </c>
      <c r="K653" t="s">
        <v>91</v>
      </c>
      <c r="L653" t="s">
        <v>91</v>
      </c>
      <c r="M653" t="s">
        <v>1570</v>
      </c>
      <c r="N653" t="s">
        <v>1588</v>
      </c>
    </row>
    <row r="654" spans="1:14" ht="14.25" customHeight="1">
      <c r="A654">
        <v>653</v>
      </c>
      <c r="B654" t="s">
        <v>9</v>
      </c>
      <c r="C654" t="s">
        <v>1549</v>
      </c>
      <c r="D654" t="s">
        <v>3707</v>
      </c>
      <c r="E654" t="s">
        <v>2605</v>
      </c>
      <c r="F654">
        <v>2025</v>
      </c>
      <c r="G654" t="s">
        <v>1023</v>
      </c>
      <c r="H654" t="s">
        <v>3708</v>
      </c>
      <c r="J654" t="s">
        <v>91</v>
      </c>
      <c r="K654" t="s">
        <v>91</v>
      </c>
      <c r="L654" t="s">
        <v>91</v>
      </c>
      <c r="M654" t="s">
        <v>1587</v>
      </c>
      <c r="N654" t="s">
        <v>1555</v>
      </c>
    </row>
    <row r="655" spans="1:14" ht="14.25" customHeight="1">
      <c r="A655">
        <v>654</v>
      </c>
      <c r="B655" t="s">
        <v>9</v>
      </c>
      <c r="C655" t="s">
        <v>1549</v>
      </c>
      <c r="D655" t="s">
        <v>3709</v>
      </c>
      <c r="E655" t="s">
        <v>3710</v>
      </c>
      <c r="F655">
        <v>2025</v>
      </c>
      <c r="G655" t="s">
        <v>3711</v>
      </c>
      <c r="H655" t="s">
        <v>3712</v>
      </c>
      <c r="J655" t="s">
        <v>91</v>
      </c>
      <c r="K655" t="s">
        <v>91</v>
      </c>
      <c r="L655" t="s">
        <v>91</v>
      </c>
      <c r="M655" t="s">
        <v>1554</v>
      </c>
      <c r="N655" t="s">
        <v>1588</v>
      </c>
    </row>
    <row r="656" spans="1:14" ht="14.25" customHeight="1">
      <c r="A656">
        <v>655</v>
      </c>
      <c r="B656" t="s">
        <v>9</v>
      </c>
      <c r="C656" t="s">
        <v>1549</v>
      </c>
      <c r="D656" t="s">
        <v>3713</v>
      </c>
      <c r="E656" t="s">
        <v>3714</v>
      </c>
      <c r="F656">
        <v>2025</v>
      </c>
      <c r="G656" t="s">
        <v>3715</v>
      </c>
      <c r="H656" t="s">
        <v>3716</v>
      </c>
      <c r="J656" t="s">
        <v>91</v>
      </c>
      <c r="K656" t="s">
        <v>91</v>
      </c>
      <c r="L656" t="s">
        <v>91</v>
      </c>
      <c r="M656" t="s">
        <v>1587</v>
      </c>
      <c r="N656" t="s">
        <v>1588</v>
      </c>
    </row>
    <row r="657" spans="1:14" ht="14.25" customHeight="1">
      <c r="A657">
        <v>656</v>
      </c>
      <c r="B657" t="s">
        <v>9</v>
      </c>
      <c r="C657" t="s">
        <v>1549</v>
      </c>
      <c r="D657" t="s">
        <v>3717</v>
      </c>
      <c r="E657" t="s">
        <v>3718</v>
      </c>
      <c r="F657">
        <v>2025</v>
      </c>
      <c r="G657" t="s">
        <v>3719</v>
      </c>
      <c r="H657" t="s">
        <v>3720</v>
      </c>
      <c r="J657" t="s">
        <v>91</v>
      </c>
      <c r="K657" t="s">
        <v>91</v>
      </c>
      <c r="L657" t="s">
        <v>91</v>
      </c>
      <c r="M657" t="s">
        <v>1570</v>
      </c>
      <c r="N657" t="s">
        <v>1555</v>
      </c>
    </row>
    <row r="658" spans="1:14" ht="14.25" customHeight="1">
      <c r="A658">
        <v>657</v>
      </c>
      <c r="B658" t="s">
        <v>9</v>
      </c>
      <c r="C658" t="s">
        <v>1549</v>
      </c>
      <c r="D658" t="s">
        <v>3721</v>
      </c>
      <c r="E658" t="s">
        <v>3722</v>
      </c>
      <c r="F658">
        <v>2025</v>
      </c>
      <c r="G658" t="s">
        <v>3723</v>
      </c>
      <c r="H658" t="s">
        <v>3724</v>
      </c>
      <c r="J658" t="s">
        <v>91</v>
      </c>
      <c r="K658" t="s">
        <v>91</v>
      </c>
      <c r="L658" t="s">
        <v>91</v>
      </c>
      <c r="M658" t="s">
        <v>1570</v>
      </c>
      <c r="N658" t="s">
        <v>1588</v>
      </c>
    </row>
    <row r="659" spans="1:14" ht="14.25" customHeight="1">
      <c r="A659">
        <v>658</v>
      </c>
      <c r="B659" t="s">
        <v>9</v>
      </c>
      <c r="C659" t="s">
        <v>1549</v>
      </c>
      <c r="D659" t="s">
        <v>3725</v>
      </c>
      <c r="E659" t="s">
        <v>3726</v>
      </c>
      <c r="F659">
        <v>2025</v>
      </c>
      <c r="G659" t="s">
        <v>3727</v>
      </c>
      <c r="H659" t="s">
        <v>3728</v>
      </c>
      <c r="J659" t="s">
        <v>91</v>
      </c>
      <c r="K659" t="s">
        <v>91</v>
      </c>
      <c r="L659" t="s">
        <v>91</v>
      </c>
      <c r="M659" t="s">
        <v>1587</v>
      </c>
      <c r="N659" t="s">
        <v>1588</v>
      </c>
    </row>
    <row r="660" spans="1:14" ht="14.25" customHeight="1">
      <c r="A660">
        <v>659</v>
      </c>
      <c r="B660" t="s">
        <v>9</v>
      </c>
      <c r="C660" t="s">
        <v>1549</v>
      </c>
      <c r="D660" t="s">
        <v>3729</v>
      </c>
      <c r="E660" t="s">
        <v>3730</v>
      </c>
      <c r="F660">
        <v>2025</v>
      </c>
      <c r="G660" t="s">
        <v>1899</v>
      </c>
      <c r="H660" t="s">
        <v>3731</v>
      </c>
      <c r="J660" t="s">
        <v>91</v>
      </c>
      <c r="K660" t="s">
        <v>91</v>
      </c>
      <c r="L660" t="s">
        <v>91</v>
      </c>
      <c r="M660" t="s">
        <v>1570</v>
      </c>
      <c r="N660" t="s">
        <v>1555</v>
      </c>
    </row>
    <row r="661" spans="1:14" ht="14.25" customHeight="1">
      <c r="A661">
        <v>660</v>
      </c>
      <c r="B661" t="s">
        <v>9</v>
      </c>
      <c r="C661" t="s">
        <v>1549</v>
      </c>
      <c r="D661" t="s">
        <v>3732</v>
      </c>
      <c r="E661" t="s">
        <v>3733</v>
      </c>
      <c r="F661">
        <v>2025</v>
      </c>
      <c r="G661" t="s">
        <v>1019</v>
      </c>
      <c r="H661" t="s">
        <v>3734</v>
      </c>
      <c r="J661" t="s">
        <v>91</v>
      </c>
      <c r="K661" t="s">
        <v>91</v>
      </c>
      <c r="L661" t="s">
        <v>91</v>
      </c>
      <c r="M661" t="s">
        <v>1570</v>
      </c>
      <c r="N661" t="s">
        <v>1555</v>
      </c>
    </row>
    <row r="662" spans="1:14" ht="14.25" customHeight="1">
      <c r="A662">
        <v>661</v>
      </c>
      <c r="B662" t="s">
        <v>9</v>
      </c>
      <c r="C662" t="s">
        <v>1549</v>
      </c>
      <c r="D662" t="s">
        <v>3735</v>
      </c>
      <c r="E662" t="s">
        <v>3736</v>
      </c>
      <c r="F662">
        <v>2025</v>
      </c>
      <c r="G662" t="s">
        <v>2595</v>
      </c>
      <c r="H662" t="s">
        <v>3737</v>
      </c>
      <c r="J662" t="s">
        <v>91</v>
      </c>
      <c r="K662" t="s">
        <v>91</v>
      </c>
      <c r="L662" t="s">
        <v>91</v>
      </c>
      <c r="M662" t="s">
        <v>1570</v>
      </c>
      <c r="N662" t="s">
        <v>1555</v>
      </c>
    </row>
    <row r="663" spans="1:14" ht="14.25" customHeight="1">
      <c r="A663">
        <v>662</v>
      </c>
      <c r="B663" t="s">
        <v>9</v>
      </c>
      <c r="C663" t="s">
        <v>1549</v>
      </c>
      <c r="D663" t="s">
        <v>3738</v>
      </c>
      <c r="E663" t="s">
        <v>3739</v>
      </c>
      <c r="F663">
        <v>2025</v>
      </c>
      <c r="G663" t="s">
        <v>3740</v>
      </c>
      <c r="H663" t="s">
        <v>3741</v>
      </c>
      <c r="J663" t="s">
        <v>91</v>
      </c>
      <c r="K663" t="s">
        <v>91</v>
      </c>
      <c r="L663" t="s">
        <v>91</v>
      </c>
      <c r="M663" t="s">
        <v>1587</v>
      </c>
      <c r="N663" t="s">
        <v>1588</v>
      </c>
    </row>
    <row r="664" spans="1:14" ht="14.25" customHeight="1">
      <c r="A664">
        <v>663</v>
      </c>
      <c r="B664" t="s">
        <v>9</v>
      </c>
      <c r="C664" t="s">
        <v>1549</v>
      </c>
      <c r="D664" t="s">
        <v>3742</v>
      </c>
      <c r="E664" t="s">
        <v>3743</v>
      </c>
      <c r="F664">
        <v>2025</v>
      </c>
      <c r="G664" t="s">
        <v>3665</v>
      </c>
      <c r="H664" t="s">
        <v>3744</v>
      </c>
      <c r="J664" t="s">
        <v>91</v>
      </c>
      <c r="K664" t="s">
        <v>91</v>
      </c>
      <c r="L664" t="s">
        <v>91</v>
      </c>
      <c r="M664" t="s">
        <v>1570</v>
      </c>
      <c r="N664" t="s">
        <v>1588</v>
      </c>
    </row>
    <row r="665" spans="1:14" ht="14.25" customHeight="1">
      <c r="A665">
        <v>664</v>
      </c>
      <c r="B665" t="s">
        <v>9</v>
      </c>
      <c r="C665" t="s">
        <v>1549</v>
      </c>
      <c r="D665" t="s">
        <v>3745</v>
      </c>
      <c r="E665" t="s">
        <v>3746</v>
      </c>
      <c r="F665">
        <v>2025</v>
      </c>
      <c r="G665" t="s">
        <v>3747</v>
      </c>
      <c r="H665" t="s">
        <v>3748</v>
      </c>
      <c r="J665" t="s">
        <v>91</v>
      </c>
      <c r="K665" t="s">
        <v>91</v>
      </c>
      <c r="L665" t="s">
        <v>91</v>
      </c>
      <c r="M665" t="s">
        <v>1593</v>
      </c>
      <c r="N665" t="s">
        <v>1588</v>
      </c>
    </row>
    <row r="666" spans="1:14" ht="14.25" customHeight="1">
      <c r="A666">
        <v>665</v>
      </c>
      <c r="B666" t="s">
        <v>9</v>
      </c>
      <c r="C666" t="s">
        <v>1549</v>
      </c>
      <c r="D666" t="s">
        <v>3749</v>
      </c>
      <c r="E666" t="s">
        <v>3750</v>
      </c>
      <c r="F666">
        <v>2025</v>
      </c>
      <c r="G666" t="s">
        <v>1058</v>
      </c>
      <c r="H666" t="s">
        <v>3751</v>
      </c>
      <c r="J666" t="s">
        <v>91</v>
      </c>
      <c r="K666" t="s">
        <v>91</v>
      </c>
      <c r="L666" t="s">
        <v>91</v>
      </c>
      <c r="M666" t="s">
        <v>1570</v>
      </c>
      <c r="N666" t="s">
        <v>1588</v>
      </c>
    </row>
    <row r="667" spans="1:14" ht="14.25" customHeight="1">
      <c r="A667">
        <v>666</v>
      </c>
      <c r="B667" t="s">
        <v>9</v>
      </c>
      <c r="C667" t="s">
        <v>1549</v>
      </c>
      <c r="D667" t="s">
        <v>3752</v>
      </c>
      <c r="E667" t="s">
        <v>3753</v>
      </c>
      <c r="F667">
        <v>2025</v>
      </c>
      <c r="G667" t="s">
        <v>3754</v>
      </c>
      <c r="H667" t="s">
        <v>3755</v>
      </c>
      <c r="J667" t="s">
        <v>91</v>
      </c>
      <c r="K667" t="s">
        <v>91</v>
      </c>
      <c r="L667" t="s">
        <v>91</v>
      </c>
      <c r="M667" t="s">
        <v>1570</v>
      </c>
      <c r="N667" t="s">
        <v>1588</v>
      </c>
    </row>
    <row r="668" spans="1:14" ht="14.25" customHeight="1">
      <c r="A668">
        <v>667</v>
      </c>
      <c r="B668" t="s">
        <v>9</v>
      </c>
      <c r="C668" t="s">
        <v>1549</v>
      </c>
      <c r="D668" t="s">
        <v>3756</v>
      </c>
      <c r="E668" t="s">
        <v>3757</v>
      </c>
      <c r="F668">
        <v>2025</v>
      </c>
      <c r="G668" t="s">
        <v>3623</v>
      </c>
      <c r="H668" t="s">
        <v>3758</v>
      </c>
      <c r="J668" t="s">
        <v>91</v>
      </c>
      <c r="K668" t="s">
        <v>91</v>
      </c>
      <c r="L668" t="s">
        <v>91</v>
      </c>
      <c r="M668" t="s">
        <v>1593</v>
      </c>
      <c r="N668" t="s">
        <v>1555</v>
      </c>
    </row>
    <row r="669" spans="1:14" ht="14.25" customHeight="1">
      <c r="A669">
        <v>668</v>
      </c>
      <c r="B669" t="s">
        <v>9</v>
      </c>
      <c r="C669" t="s">
        <v>1549</v>
      </c>
      <c r="D669" t="s">
        <v>3759</v>
      </c>
      <c r="E669" t="s">
        <v>3760</v>
      </c>
      <c r="F669">
        <v>2025</v>
      </c>
      <c r="G669" t="s">
        <v>3761</v>
      </c>
      <c r="H669" t="s">
        <v>3762</v>
      </c>
      <c r="J669" t="s">
        <v>91</v>
      </c>
      <c r="K669" t="s">
        <v>91</v>
      </c>
      <c r="L669" t="s">
        <v>91</v>
      </c>
      <c r="M669" t="s">
        <v>1570</v>
      </c>
      <c r="N669" t="s">
        <v>1588</v>
      </c>
    </row>
    <row r="670" spans="1:14" ht="14.25" customHeight="1">
      <c r="A670">
        <v>669</v>
      </c>
      <c r="B670" t="s">
        <v>9</v>
      </c>
      <c r="C670" t="s">
        <v>1549</v>
      </c>
      <c r="D670" t="s">
        <v>3763</v>
      </c>
      <c r="E670" t="s">
        <v>3764</v>
      </c>
      <c r="F670">
        <v>2025</v>
      </c>
      <c r="G670" t="s">
        <v>3765</v>
      </c>
      <c r="H670" t="s">
        <v>3766</v>
      </c>
      <c r="J670" t="s">
        <v>91</v>
      </c>
      <c r="K670" t="s">
        <v>91</v>
      </c>
      <c r="L670" t="s">
        <v>91</v>
      </c>
      <c r="M670" t="s">
        <v>1554</v>
      </c>
      <c r="N670" t="s">
        <v>1588</v>
      </c>
    </row>
    <row r="671" spans="1:14" ht="14.25" customHeight="1">
      <c r="A671">
        <v>670</v>
      </c>
      <c r="B671" t="s">
        <v>9</v>
      </c>
      <c r="C671" t="s">
        <v>1549</v>
      </c>
      <c r="D671" t="s">
        <v>3767</v>
      </c>
      <c r="E671" t="s">
        <v>3768</v>
      </c>
      <c r="F671">
        <v>2025</v>
      </c>
      <c r="G671" t="s">
        <v>1094</v>
      </c>
      <c r="H671" t="s">
        <v>3769</v>
      </c>
      <c r="J671" t="s">
        <v>91</v>
      </c>
      <c r="K671" t="s">
        <v>91</v>
      </c>
      <c r="L671" t="s">
        <v>91</v>
      </c>
      <c r="M671" t="s">
        <v>1587</v>
      </c>
      <c r="N671" t="s">
        <v>1555</v>
      </c>
    </row>
    <row r="672" spans="1:14" ht="14.25" customHeight="1">
      <c r="A672">
        <v>671</v>
      </c>
      <c r="B672" t="s">
        <v>9</v>
      </c>
      <c r="C672" t="s">
        <v>1549</v>
      </c>
      <c r="D672" t="s">
        <v>3770</v>
      </c>
      <c r="E672" t="s">
        <v>3771</v>
      </c>
      <c r="F672">
        <v>2025</v>
      </c>
      <c r="G672" t="s">
        <v>3772</v>
      </c>
      <c r="H672" t="s">
        <v>3773</v>
      </c>
      <c r="J672" t="s">
        <v>91</v>
      </c>
      <c r="K672" t="s">
        <v>91</v>
      </c>
      <c r="L672" t="s">
        <v>91</v>
      </c>
      <c r="M672" t="s">
        <v>1570</v>
      </c>
      <c r="N672" t="s">
        <v>1588</v>
      </c>
    </row>
    <row r="673" spans="1:14" ht="14.25" customHeight="1">
      <c r="A673">
        <v>672</v>
      </c>
      <c r="B673" t="s">
        <v>9</v>
      </c>
      <c r="C673" t="s">
        <v>1549</v>
      </c>
      <c r="D673" t="s">
        <v>3774</v>
      </c>
      <c r="E673" t="s">
        <v>3775</v>
      </c>
      <c r="F673">
        <v>2025</v>
      </c>
      <c r="G673" t="s">
        <v>3776</v>
      </c>
      <c r="H673" t="s">
        <v>3777</v>
      </c>
      <c r="J673" t="s">
        <v>91</v>
      </c>
      <c r="K673" t="s">
        <v>91</v>
      </c>
      <c r="L673" t="s">
        <v>91</v>
      </c>
      <c r="M673" t="s">
        <v>1593</v>
      </c>
      <c r="N673" t="s">
        <v>1555</v>
      </c>
    </row>
    <row r="674" spans="1:14" ht="14.25" customHeight="1">
      <c r="A674">
        <v>673</v>
      </c>
      <c r="B674" t="s">
        <v>9</v>
      </c>
      <c r="C674" t="s">
        <v>1549</v>
      </c>
      <c r="D674" t="s">
        <v>3778</v>
      </c>
      <c r="E674" t="s">
        <v>3779</v>
      </c>
      <c r="F674">
        <v>2025</v>
      </c>
      <c r="G674" t="s">
        <v>3780</v>
      </c>
      <c r="H674" t="s">
        <v>3781</v>
      </c>
      <c r="J674" t="s">
        <v>91</v>
      </c>
      <c r="K674" t="s">
        <v>91</v>
      </c>
      <c r="L674" t="s">
        <v>91</v>
      </c>
      <c r="M674" t="s">
        <v>1570</v>
      </c>
      <c r="N674" t="s">
        <v>1588</v>
      </c>
    </row>
    <row r="675" spans="1:14" ht="14.25" customHeight="1">
      <c r="A675">
        <v>674</v>
      </c>
      <c r="B675" t="s">
        <v>9</v>
      </c>
      <c r="C675" t="s">
        <v>1549</v>
      </c>
      <c r="D675" t="s">
        <v>3782</v>
      </c>
      <c r="E675" t="s">
        <v>3783</v>
      </c>
      <c r="F675">
        <v>2025</v>
      </c>
      <c r="G675" t="s">
        <v>3784</v>
      </c>
      <c r="H675" t="s">
        <v>3785</v>
      </c>
      <c r="J675" t="s">
        <v>91</v>
      </c>
      <c r="K675" t="s">
        <v>91</v>
      </c>
      <c r="L675" t="s">
        <v>91</v>
      </c>
      <c r="M675" t="s">
        <v>1570</v>
      </c>
      <c r="N675" t="s">
        <v>1588</v>
      </c>
    </row>
    <row r="676" spans="1:14" ht="14.25" customHeight="1">
      <c r="A676">
        <v>675</v>
      </c>
      <c r="B676" t="s">
        <v>9</v>
      </c>
      <c r="C676" t="s">
        <v>1549</v>
      </c>
      <c r="D676" t="s">
        <v>3786</v>
      </c>
      <c r="E676" t="s">
        <v>3787</v>
      </c>
      <c r="F676">
        <v>2025</v>
      </c>
      <c r="G676" t="s">
        <v>1035</v>
      </c>
      <c r="H676" t="s">
        <v>3788</v>
      </c>
      <c r="J676" t="s">
        <v>91</v>
      </c>
      <c r="K676" t="s">
        <v>91</v>
      </c>
      <c r="L676" t="s">
        <v>91</v>
      </c>
      <c r="M676" t="s">
        <v>1593</v>
      </c>
      <c r="N676" t="s">
        <v>1588</v>
      </c>
    </row>
    <row r="677" spans="1:14" ht="14.25" customHeight="1">
      <c r="A677">
        <v>676</v>
      </c>
      <c r="B677" t="s">
        <v>9</v>
      </c>
      <c r="C677" t="s">
        <v>1549</v>
      </c>
      <c r="D677" t="s">
        <v>3789</v>
      </c>
      <c r="E677" t="s">
        <v>3790</v>
      </c>
      <c r="F677">
        <v>2025</v>
      </c>
      <c r="G677" t="s">
        <v>1050</v>
      </c>
      <c r="H677" t="s">
        <v>3791</v>
      </c>
      <c r="J677" t="s">
        <v>91</v>
      </c>
      <c r="K677" t="s">
        <v>91</v>
      </c>
      <c r="L677" t="s">
        <v>91</v>
      </c>
      <c r="M677" t="s">
        <v>1570</v>
      </c>
      <c r="N677" t="s">
        <v>1555</v>
      </c>
    </row>
    <row r="678" spans="1:14" ht="14.25" customHeight="1">
      <c r="A678">
        <v>677</v>
      </c>
      <c r="B678" t="s">
        <v>9</v>
      </c>
      <c r="C678" t="s">
        <v>1549</v>
      </c>
      <c r="D678" t="s">
        <v>3792</v>
      </c>
      <c r="E678" t="s">
        <v>3793</v>
      </c>
      <c r="F678">
        <v>2025</v>
      </c>
      <c r="G678" t="s">
        <v>923</v>
      </c>
      <c r="H678" t="s">
        <v>3794</v>
      </c>
      <c r="J678" t="s">
        <v>91</v>
      </c>
      <c r="K678" t="s">
        <v>91</v>
      </c>
      <c r="L678" t="s">
        <v>91</v>
      </c>
      <c r="M678" t="s">
        <v>1570</v>
      </c>
      <c r="N678" t="s">
        <v>1555</v>
      </c>
    </row>
    <row r="679" spans="1:14" ht="14.25" customHeight="1">
      <c r="A679">
        <v>678</v>
      </c>
      <c r="B679" t="s">
        <v>9</v>
      </c>
      <c r="C679" t="s">
        <v>1549</v>
      </c>
      <c r="D679" t="s">
        <v>3795</v>
      </c>
      <c r="E679" t="s">
        <v>3796</v>
      </c>
      <c r="F679">
        <v>2025</v>
      </c>
      <c r="G679" t="s">
        <v>969</v>
      </c>
      <c r="H679" t="s">
        <v>3797</v>
      </c>
      <c r="J679" t="s">
        <v>91</v>
      </c>
      <c r="K679" t="s">
        <v>91</v>
      </c>
      <c r="L679" t="s">
        <v>91</v>
      </c>
      <c r="M679" t="s">
        <v>1570</v>
      </c>
      <c r="N679" t="s">
        <v>1555</v>
      </c>
    </row>
    <row r="680" spans="1:14" ht="14.25" customHeight="1">
      <c r="A680">
        <v>679</v>
      </c>
      <c r="B680" t="s">
        <v>9</v>
      </c>
      <c r="C680" t="s">
        <v>1549</v>
      </c>
      <c r="D680" t="s">
        <v>3798</v>
      </c>
      <c r="E680" t="s">
        <v>3799</v>
      </c>
      <c r="F680">
        <v>2025</v>
      </c>
      <c r="G680" t="s">
        <v>1733</v>
      </c>
      <c r="H680" t="s">
        <v>3800</v>
      </c>
      <c r="J680" t="s">
        <v>91</v>
      </c>
      <c r="K680" t="s">
        <v>91</v>
      </c>
      <c r="L680" t="s">
        <v>91</v>
      </c>
      <c r="M680" t="s">
        <v>1570</v>
      </c>
      <c r="N680" t="s">
        <v>1555</v>
      </c>
    </row>
    <row r="681" spans="1:14" ht="14.25" customHeight="1">
      <c r="A681">
        <v>680</v>
      </c>
      <c r="B681" t="s">
        <v>9</v>
      </c>
      <c r="C681" t="s">
        <v>1549</v>
      </c>
      <c r="D681" t="s">
        <v>3801</v>
      </c>
      <c r="E681" t="s">
        <v>3802</v>
      </c>
      <c r="F681">
        <v>2025</v>
      </c>
      <c r="G681" t="s">
        <v>3803</v>
      </c>
      <c r="H681" t="s">
        <v>3804</v>
      </c>
      <c r="J681" t="s">
        <v>91</v>
      </c>
      <c r="K681" t="s">
        <v>91</v>
      </c>
      <c r="L681" t="s">
        <v>91</v>
      </c>
      <c r="M681" t="s">
        <v>1570</v>
      </c>
      <c r="N681" t="s">
        <v>1588</v>
      </c>
    </row>
    <row r="682" spans="1:14" ht="14.25" customHeight="1">
      <c r="A682">
        <v>681</v>
      </c>
      <c r="B682" t="s">
        <v>9</v>
      </c>
      <c r="C682" t="s">
        <v>1549</v>
      </c>
      <c r="D682" t="s">
        <v>3805</v>
      </c>
      <c r="E682" t="s">
        <v>3806</v>
      </c>
      <c r="F682">
        <v>2025</v>
      </c>
      <c r="G682" t="s">
        <v>2724</v>
      </c>
      <c r="H682" t="s">
        <v>3807</v>
      </c>
      <c r="J682" t="s">
        <v>91</v>
      </c>
      <c r="K682" t="s">
        <v>91</v>
      </c>
      <c r="L682" t="s">
        <v>91</v>
      </c>
      <c r="M682" t="s">
        <v>1570</v>
      </c>
      <c r="N682" t="s">
        <v>1555</v>
      </c>
    </row>
    <row r="683" spans="1:14" ht="14.25" customHeight="1">
      <c r="A683">
        <v>682</v>
      </c>
      <c r="B683" t="s">
        <v>9</v>
      </c>
      <c r="C683" t="s">
        <v>1549</v>
      </c>
      <c r="D683" t="s">
        <v>3808</v>
      </c>
      <c r="E683" t="s">
        <v>3809</v>
      </c>
      <c r="F683">
        <v>2025</v>
      </c>
      <c r="G683" t="s">
        <v>3810</v>
      </c>
      <c r="H683" t="s">
        <v>3811</v>
      </c>
      <c r="J683" t="s">
        <v>91</v>
      </c>
      <c r="K683" t="s">
        <v>91</v>
      </c>
      <c r="L683" t="s">
        <v>91</v>
      </c>
      <c r="M683" t="s">
        <v>1570</v>
      </c>
      <c r="N683" t="s">
        <v>1555</v>
      </c>
    </row>
    <row r="684" spans="1:14" ht="14.25" customHeight="1">
      <c r="A684">
        <v>683</v>
      </c>
      <c r="B684" t="s">
        <v>9</v>
      </c>
      <c r="C684" t="s">
        <v>1549</v>
      </c>
      <c r="D684" t="s">
        <v>3812</v>
      </c>
      <c r="E684" t="s">
        <v>3813</v>
      </c>
      <c r="F684">
        <v>2025</v>
      </c>
      <c r="G684" t="s">
        <v>2190</v>
      </c>
      <c r="H684" t="s">
        <v>3814</v>
      </c>
      <c r="J684" t="s">
        <v>91</v>
      </c>
      <c r="K684" t="s">
        <v>91</v>
      </c>
      <c r="L684" t="s">
        <v>91</v>
      </c>
      <c r="M684" t="s">
        <v>1587</v>
      </c>
      <c r="N684" t="s">
        <v>1555</v>
      </c>
    </row>
    <row r="685" spans="1:14" ht="14.25" customHeight="1">
      <c r="A685">
        <v>684</v>
      </c>
      <c r="B685" t="s">
        <v>9</v>
      </c>
      <c r="C685" t="s">
        <v>1549</v>
      </c>
      <c r="D685" t="s">
        <v>3815</v>
      </c>
      <c r="E685" t="s">
        <v>3816</v>
      </c>
      <c r="F685">
        <v>2025</v>
      </c>
      <c r="G685" t="s">
        <v>3817</v>
      </c>
      <c r="H685" t="s">
        <v>3818</v>
      </c>
      <c r="J685" t="s">
        <v>91</v>
      </c>
      <c r="K685" t="s">
        <v>91</v>
      </c>
      <c r="L685" t="s">
        <v>91</v>
      </c>
      <c r="M685" t="s">
        <v>1570</v>
      </c>
      <c r="N685" t="s">
        <v>1555</v>
      </c>
    </row>
    <row r="686" spans="1:14" ht="14.25" customHeight="1">
      <c r="A686">
        <v>685</v>
      </c>
      <c r="B686" t="s">
        <v>9</v>
      </c>
      <c r="C686" t="s">
        <v>1549</v>
      </c>
      <c r="D686" t="s">
        <v>3819</v>
      </c>
      <c r="E686" t="s">
        <v>3820</v>
      </c>
      <c r="F686">
        <v>2025</v>
      </c>
      <c r="G686" t="s">
        <v>2190</v>
      </c>
      <c r="H686" t="s">
        <v>3821</v>
      </c>
      <c r="J686" t="s">
        <v>91</v>
      </c>
      <c r="K686" t="s">
        <v>91</v>
      </c>
      <c r="L686" t="s">
        <v>91</v>
      </c>
      <c r="M686" t="s">
        <v>1570</v>
      </c>
      <c r="N686" t="s">
        <v>1555</v>
      </c>
    </row>
    <row r="687" spans="1:14" ht="14.25" customHeight="1">
      <c r="A687">
        <v>686</v>
      </c>
      <c r="B687" t="s">
        <v>9</v>
      </c>
      <c r="C687" t="s">
        <v>1549</v>
      </c>
      <c r="D687" t="s">
        <v>3822</v>
      </c>
      <c r="E687" t="s">
        <v>3823</v>
      </c>
      <c r="F687">
        <v>2025</v>
      </c>
      <c r="G687" t="s">
        <v>3824</v>
      </c>
      <c r="H687" t="s">
        <v>3825</v>
      </c>
      <c r="J687" t="s">
        <v>91</v>
      </c>
      <c r="K687" t="s">
        <v>91</v>
      </c>
      <c r="L687" t="s">
        <v>91</v>
      </c>
      <c r="M687" t="s">
        <v>1587</v>
      </c>
      <c r="N687" t="s">
        <v>1555</v>
      </c>
    </row>
    <row r="688" spans="1:14" ht="14.25" customHeight="1">
      <c r="A688">
        <v>687</v>
      </c>
      <c r="B688" t="s">
        <v>9</v>
      </c>
      <c r="C688" t="s">
        <v>1549</v>
      </c>
      <c r="D688" t="s">
        <v>3826</v>
      </c>
      <c r="E688" t="s">
        <v>3827</v>
      </c>
      <c r="F688">
        <v>2025</v>
      </c>
      <c r="G688" t="s">
        <v>3828</v>
      </c>
      <c r="H688" t="s">
        <v>3829</v>
      </c>
      <c r="J688" t="s">
        <v>91</v>
      </c>
      <c r="K688" t="s">
        <v>91</v>
      </c>
      <c r="L688" t="s">
        <v>91</v>
      </c>
      <c r="M688" t="s">
        <v>1587</v>
      </c>
      <c r="N688" t="s">
        <v>1555</v>
      </c>
    </row>
    <row r="689" spans="1:16" ht="14.25" customHeight="1">
      <c r="A689">
        <v>688</v>
      </c>
      <c r="B689" t="s">
        <v>9</v>
      </c>
      <c r="C689" t="s">
        <v>1549</v>
      </c>
      <c r="D689" t="s">
        <v>3830</v>
      </c>
      <c r="E689" t="s">
        <v>3831</v>
      </c>
      <c r="F689">
        <v>2025</v>
      </c>
      <c r="G689" t="s">
        <v>3410</v>
      </c>
      <c r="H689" t="s">
        <v>3832</v>
      </c>
      <c r="J689" t="s">
        <v>91</v>
      </c>
      <c r="K689" t="s">
        <v>91</v>
      </c>
      <c r="L689" t="s">
        <v>91</v>
      </c>
      <c r="M689" t="s">
        <v>1570</v>
      </c>
      <c r="N689" t="s">
        <v>1555</v>
      </c>
    </row>
    <row r="690" spans="1:16" ht="14.25" customHeight="1">
      <c r="A690">
        <v>689</v>
      </c>
      <c r="B690" t="s">
        <v>9</v>
      </c>
      <c r="C690" t="s">
        <v>1549</v>
      </c>
      <c r="D690" t="s">
        <v>3833</v>
      </c>
      <c r="E690" t="s">
        <v>3834</v>
      </c>
      <c r="F690">
        <v>2025</v>
      </c>
      <c r="G690" t="s">
        <v>2190</v>
      </c>
      <c r="H690" t="s">
        <v>3835</v>
      </c>
      <c r="J690" t="s">
        <v>91</v>
      </c>
      <c r="K690" t="s">
        <v>91</v>
      </c>
      <c r="L690" t="s">
        <v>91</v>
      </c>
      <c r="M690" t="s">
        <v>1587</v>
      </c>
      <c r="N690" t="s">
        <v>1555</v>
      </c>
    </row>
    <row r="691" spans="1:16" ht="14.25" customHeight="1">
      <c r="A691">
        <v>690</v>
      </c>
      <c r="B691" t="s">
        <v>9</v>
      </c>
      <c r="C691" t="s">
        <v>1549</v>
      </c>
      <c r="D691" t="s">
        <v>3836</v>
      </c>
      <c r="E691" t="s">
        <v>3837</v>
      </c>
      <c r="F691">
        <v>2025</v>
      </c>
      <c r="G691" t="s">
        <v>3838</v>
      </c>
      <c r="H691" t="s">
        <v>3839</v>
      </c>
      <c r="J691" t="s">
        <v>91</v>
      </c>
      <c r="K691" t="s">
        <v>91</v>
      </c>
      <c r="L691" t="s">
        <v>91</v>
      </c>
      <c r="M691" t="s">
        <v>1570</v>
      </c>
      <c r="N691" t="s">
        <v>1555</v>
      </c>
    </row>
    <row r="692" spans="1:16" ht="14.25" customHeight="1">
      <c r="A692">
        <v>691</v>
      </c>
      <c r="B692" t="s">
        <v>9</v>
      </c>
      <c r="C692" t="s">
        <v>1549</v>
      </c>
      <c r="D692" t="s">
        <v>3840</v>
      </c>
      <c r="E692" t="s">
        <v>3841</v>
      </c>
      <c r="F692">
        <v>2025</v>
      </c>
      <c r="G692" t="s">
        <v>3842</v>
      </c>
      <c r="H692" t="s">
        <v>3843</v>
      </c>
      <c r="J692" t="s">
        <v>91</v>
      </c>
      <c r="K692" t="s">
        <v>91</v>
      </c>
      <c r="L692" t="s">
        <v>91</v>
      </c>
      <c r="M692" t="s">
        <v>1570</v>
      </c>
      <c r="N692" t="s">
        <v>1555</v>
      </c>
    </row>
    <row r="693" spans="1:16" ht="14.25" customHeight="1">
      <c r="A693">
        <v>692</v>
      </c>
      <c r="B693" t="s">
        <v>9</v>
      </c>
      <c r="C693" t="s">
        <v>1549</v>
      </c>
      <c r="D693" t="s">
        <v>3844</v>
      </c>
      <c r="E693" t="s">
        <v>3845</v>
      </c>
      <c r="F693">
        <v>2025</v>
      </c>
      <c r="G693" t="s">
        <v>3846</v>
      </c>
      <c r="H693" t="s">
        <v>3847</v>
      </c>
      <c r="J693" t="s">
        <v>91</v>
      </c>
      <c r="K693" t="s">
        <v>91</v>
      </c>
      <c r="L693" t="s">
        <v>91</v>
      </c>
      <c r="M693" t="s">
        <v>1587</v>
      </c>
      <c r="N693" t="s">
        <v>1555</v>
      </c>
    </row>
    <row r="694" spans="1:16" ht="14.25" customHeight="1">
      <c r="A694">
        <v>693</v>
      </c>
      <c r="B694" t="s">
        <v>9</v>
      </c>
      <c r="C694" t="s">
        <v>1549</v>
      </c>
      <c r="D694" t="s">
        <v>3848</v>
      </c>
      <c r="E694" t="s">
        <v>3849</v>
      </c>
      <c r="F694">
        <v>2025</v>
      </c>
      <c r="G694" t="s">
        <v>3850</v>
      </c>
      <c r="H694" t="s">
        <v>3851</v>
      </c>
      <c r="J694" t="s">
        <v>91</v>
      </c>
      <c r="K694" t="s">
        <v>91</v>
      </c>
      <c r="L694" t="s">
        <v>91</v>
      </c>
      <c r="M694" t="s">
        <v>1570</v>
      </c>
      <c r="N694" t="s">
        <v>1555</v>
      </c>
    </row>
    <row r="695" spans="1:16" ht="14.25" customHeight="1">
      <c r="A695">
        <v>694</v>
      </c>
      <c r="B695" t="s">
        <v>9</v>
      </c>
      <c r="C695" t="s">
        <v>1549</v>
      </c>
      <c r="D695" t="s">
        <v>3852</v>
      </c>
      <c r="E695" t="s">
        <v>3853</v>
      </c>
      <c r="F695">
        <v>2025</v>
      </c>
      <c r="G695" t="s">
        <v>3854</v>
      </c>
      <c r="H695" t="s">
        <v>3855</v>
      </c>
      <c r="J695" t="s">
        <v>91</v>
      </c>
      <c r="K695" t="s">
        <v>91</v>
      </c>
      <c r="L695" t="s">
        <v>91</v>
      </c>
      <c r="M695" t="s">
        <v>1570</v>
      </c>
      <c r="N695" t="s">
        <v>1555</v>
      </c>
    </row>
    <row r="696" spans="1:16" ht="14.25" customHeight="1">
      <c r="A696">
        <v>695</v>
      </c>
      <c r="B696" t="s">
        <v>9</v>
      </c>
      <c r="C696" t="s">
        <v>1549</v>
      </c>
      <c r="D696" t="s">
        <v>3856</v>
      </c>
      <c r="E696" t="s">
        <v>3857</v>
      </c>
      <c r="F696">
        <v>2025</v>
      </c>
      <c r="G696" t="s">
        <v>1019</v>
      </c>
      <c r="H696" t="s">
        <v>3858</v>
      </c>
      <c r="J696" t="s">
        <v>91</v>
      </c>
      <c r="K696" t="s">
        <v>91</v>
      </c>
      <c r="L696" t="s">
        <v>91</v>
      </c>
      <c r="M696" t="s">
        <v>1593</v>
      </c>
      <c r="N696" t="s">
        <v>1555</v>
      </c>
    </row>
    <row r="697" spans="1:16" ht="14.25" customHeight="1">
      <c r="A697">
        <v>696</v>
      </c>
      <c r="B697" t="s">
        <v>9</v>
      </c>
      <c r="C697" t="s">
        <v>1549</v>
      </c>
      <c r="D697" t="s">
        <v>3859</v>
      </c>
      <c r="E697" t="s">
        <v>3860</v>
      </c>
      <c r="F697">
        <v>2025</v>
      </c>
      <c r="G697" t="s">
        <v>986</v>
      </c>
      <c r="H697" t="s">
        <v>3861</v>
      </c>
      <c r="J697" t="s">
        <v>91</v>
      </c>
      <c r="K697" t="s">
        <v>91</v>
      </c>
      <c r="L697" t="s">
        <v>91</v>
      </c>
      <c r="M697" t="s">
        <v>1570</v>
      </c>
      <c r="N697" t="s">
        <v>1555</v>
      </c>
    </row>
    <row r="698" spans="1:16" ht="14.25" customHeight="1">
      <c r="A698">
        <v>697</v>
      </c>
      <c r="B698" t="s">
        <v>9</v>
      </c>
      <c r="C698" t="s">
        <v>1549</v>
      </c>
      <c r="D698" t="s">
        <v>3862</v>
      </c>
      <c r="E698" t="s">
        <v>3863</v>
      </c>
      <c r="F698">
        <v>2025</v>
      </c>
      <c r="G698" t="s">
        <v>3864</v>
      </c>
      <c r="H698" t="s">
        <v>3865</v>
      </c>
      <c r="J698" t="s">
        <v>91</v>
      </c>
      <c r="K698" t="s">
        <v>91</v>
      </c>
      <c r="L698" t="s">
        <v>91</v>
      </c>
      <c r="M698" t="s">
        <v>1587</v>
      </c>
      <c r="N698" t="s">
        <v>1555</v>
      </c>
    </row>
    <row r="699" spans="1:16" ht="14.25" customHeight="1">
      <c r="A699" s="20">
        <v>698</v>
      </c>
      <c r="B699" s="20" t="s">
        <v>9</v>
      </c>
      <c r="C699" s="20" t="s">
        <v>1549</v>
      </c>
      <c r="D699" s="20" t="s">
        <v>1068</v>
      </c>
      <c r="E699" s="20" t="s">
        <v>1069</v>
      </c>
      <c r="F699" s="20">
        <v>2026</v>
      </c>
      <c r="G699" s="20" t="s">
        <v>923</v>
      </c>
      <c r="H699" s="20" t="s">
        <v>1070</v>
      </c>
      <c r="I699" s="20"/>
      <c r="J699" s="20" t="s">
        <v>76</v>
      </c>
      <c r="K699" s="20" t="s">
        <v>76</v>
      </c>
      <c r="L699" s="20" t="s">
        <v>76</v>
      </c>
      <c r="M699" s="20" t="s">
        <v>1625</v>
      </c>
      <c r="N699" s="20" t="s">
        <v>1555</v>
      </c>
      <c r="O699" s="20"/>
      <c r="P699" s="20"/>
    </row>
    <row r="700" spans="1:16" ht="14.25" customHeight="1">
      <c r="A700">
        <v>699</v>
      </c>
      <c r="B700" t="s">
        <v>9</v>
      </c>
      <c r="C700" t="s">
        <v>1549</v>
      </c>
      <c r="D700" t="s">
        <v>1370</v>
      </c>
      <c r="E700" t="s">
        <v>3866</v>
      </c>
      <c r="F700">
        <v>2026</v>
      </c>
      <c r="G700" t="s">
        <v>969</v>
      </c>
      <c r="H700" t="s">
        <v>3867</v>
      </c>
      <c r="J700" t="s">
        <v>91</v>
      </c>
      <c r="K700" t="s">
        <v>91</v>
      </c>
      <c r="L700" t="s">
        <v>91</v>
      </c>
      <c r="M700" t="s">
        <v>1554</v>
      </c>
      <c r="N700" t="s">
        <v>1555</v>
      </c>
    </row>
    <row r="701" spans="1:16" ht="14.25" customHeight="1">
      <c r="A701">
        <v>700</v>
      </c>
      <c r="B701" t="s">
        <v>9</v>
      </c>
      <c r="C701" t="s">
        <v>1549</v>
      </c>
      <c r="D701" t="s">
        <v>3868</v>
      </c>
      <c r="E701" t="s">
        <v>3869</v>
      </c>
      <c r="F701">
        <v>2026</v>
      </c>
      <c r="G701" t="s">
        <v>923</v>
      </c>
      <c r="H701" t="s">
        <v>3870</v>
      </c>
      <c r="J701" t="s">
        <v>91</v>
      </c>
      <c r="K701" t="s">
        <v>91</v>
      </c>
      <c r="L701" t="s">
        <v>91</v>
      </c>
      <c r="M701" t="s">
        <v>1570</v>
      </c>
      <c r="N701" t="s">
        <v>1555</v>
      </c>
    </row>
    <row r="702" spans="1:16" ht="14.25" customHeight="1">
      <c r="A702" s="20">
        <v>701</v>
      </c>
      <c r="B702" s="20" t="s">
        <v>9</v>
      </c>
      <c r="C702" s="20" t="s">
        <v>1549</v>
      </c>
      <c r="D702" s="20" t="s">
        <v>1071</v>
      </c>
      <c r="E702" s="20" t="s">
        <v>1072</v>
      </c>
      <c r="F702" s="20">
        <v>2026</v>
      </c>
      <c r="G702" s="20" t="s">
        <v>1073</v>
      </c>
      <c r="H702" s="20" t="s">
        <v>1074</v>
      </c>
      <c r="I702" s="20"/>
      <c r="J702" s="20" t="s">
        <v>76</v>
      </c>
      <c r="K702" s="20" t="s">
        <v>76</v>
      </c>
      <c r="L702" s="20" t="s">
        <v>76</v>
      </c>
      <c r="M702" s="20" t="s">
        <v>1625</v>
      </c>
      <c r="N702" s="20" t="s">
        <v>1555</v>
      </c>
      <c r="O702" s="20"/>
      <c r="P702" s="20"/>
    </row>
    <row r="703" spans="1:16" ht="14.25" customHeight="1">
      <c r="A703" s="20">
        <v>702</v>
      </c>
      <c r="B703" s="20" t="s">
        <v>9</v>
      </c>
      <c r="C703" s="20" t="s">
        <v>1549</v>
      </c>
      <c r="D703" s="20" t="s">
        <v>1075</v>
      </c>
      <c r="E703" s="20" t="s">
        <v>1076</v>
      </c>
      <c r="F703" s="20">
        <v>2026</v>
      </c>
      <c r="G703" s="20" t="s">
        <v>1077</v>
      </c>
      <c r="H703" s="20" t="s">
        <v>1078</v>
      </c>
      <c r="I703" s="20"/>
      <c r="J703" s="20" t="s">
        <v>76</v>
      </c>
      <c r="K703" s="20" t="s">
        <v>76</v>
      </c>
      <c r="L703" s="20" t="s">
        <v>76</v>
      </c>
      <c r="M703" s="20" t="s">
        <v>1625</v>
      </c>
      <c r="N703" s="20" t="s">
        <v>1555</v>
      </c>
      <c r="O703" s="20"/>
      <c r="P703" s="20"/>
    </row>
    <row r="704" spans="1:16" ht="14.25" customHeight="1">
      <c r="A704" s="20">
        <v>703</v>
      </c>
      <c r="B704" s="20" t="s">
        <v>9</v>
      </c>
      <c r="C704" s="20" t="s">
        <v>1549</v>
      </c>
      <c r="D704" s="20" t="s">
        <v>1079</v>
      </c>
      <c r="E704" s="20" t="s">
        <v>1080</v>
      </c>
      <c r="F704" s="20">
        <v>2026</v>
      </c>
      <c r="G704" s="20" t="s">
        <v>1081</v>
      </c>
      <c r="H704" s="20" t="s">
        <v>1082</v>
      </c>
      <c r="I704" s="20"/>
      <c r="J704" s="20" t="s">
        <v>76</v>
      </c>
      <c r="K704" s="20" t="s">
        <v>76</v>
      </c>
      <c r="L704" s="20" t="s">
        <v>76</v>
      </c>
      <c r="M704" s="20" t="s">
        <v>1625</v>
      </c>
      <c r="N704" s="20" t="s">
        <v>1588</v>
      </c>
      <c r="O704" s="20"/>
      <c r="P704" s="20"/>
    </row>
    <row r="705" spans="1:16" ht="14.25" customHeight="1">
      <c r="A705">
        <v>704</v>
      </c>
      <c r="B705" t="s">
        <v>9</v>
      </c>
      <c r="C705" t="s">
        <v>1549</v>
      </c>
      <c r="D705" t="s">
        <v>763</v>
      </c>
      <c r="E705" t="s">
        <v>3871</v>
      </c>
      <c r="F705">
        <v>2026</v>
      </c>
      <c r="G705" t="s">
        <v>1077</v>
      </c>
      <c r="H705" t="s">
        <v>3872</v>
      </c>
      <c r="J705" t="s">
        <v>91</v>
      </c>
      <c r="K705" t="s">
        <v>91</v>
      </c>
      <c r="L705" t="s">
        <v>91</v>
      </c>
      <c r="M705" t="s">
        <v>1570</v>
      </c>
      <c r="N705" t="s">
        <v>1555</v>
      </c>
    </row>
    <row r="706" spans="1:16" ht="14.25" customHeight="1">
      <c r="A706" s="20">
        <v>705</v>
      </c>
      <c r="B706" s="20" t="s">
        <v>9</v>
      </c>
      <c r="C706" s="20" t="s">
        <v>1549</v>
      </c>
      <c r="D706" s="20" t="s">
        <v>1083</v>
      </c>
      <c r="E706" s="20" t="s">
        <v>1084</v>
      </c>
      <c r="F706" s="20">
        <v>2026</v>
      </c>
      <c r="G706" s="20" t="s">
        <v>1085</v>
      </c>
      <c r="H706" s="20" t="s">
        <v>1086</v>
      </c>
      <c r="I706" s="20"/>
      <c r="J706" s="20" t="s">
        <v>76</v>
      </c>
      <c r="K706" s="20" t="s">
        <v>76</v>
      </c>
      <c r="L706" s="20" t="s">
        <v>76</v>
      </c>
      <c r="M706" s="20" t="s">
        <v>1625</v>
      </c>
      <c r="N706" s="20" t="s">
        <v>1588</v>
      </c>
      <c r="O706" s="20"/>
      <c r="P706" s="20"/>
    </row>
    <row r="707" spans="1:16" ht="14.25" customHeight="1">
      <c r="A707">
        <v>706</v>
      </c>
      <c r="B707" t="s">
        <v>9</v>
      </c>
      <c r="C707" t="s">
        <v>1549</v>
      </c>
      <c r="D707" t="s">
        <v>3873</v>
      </c>
      <c r="E707" t="s">
        <v>3874</v>
      </c>
      <c r="F707">
        <v>2026</v>
      </c>
      <c r="G707" t="s">
        <v>1066</v>
      </c>
      <c r="H707" t="s">
        <v>3875</v>
      </c>
      <c r="J707" t="s">
        <v>91</v>
      </c>
      <c r="K707" t="s">
        <v>91</v>
      </c>
      <c r="L707" t="s">
        <v>91</v>
      </c>
      <c r="M707" t="s">
        <v>1554</v>
      </c>
      <c r="N707" t="s">
        <v>1588</v>
      </c>
    </row>
    <row r="708" spans="1:16" ht="14.25" customHeight="1">
      <c r="A708" s="20">
        <v>707</v>
      </c>
      <c r="B708" s="20" t="s">
        <v>9</v>
      </c>
      <c r="C708" s="20" t="s">
        <v>1549</v>
      </c>
      <c r="D708" s="20" t="s">
        <v>1087</v>
      </c>
      <c r="E708" s="20" t="s">
        <v>992</v>
      </c>
      <c r="F708" s="20">
        <v>2026</v>
      </c>
      <c r="G708" s="20" t="s">
        <v>993</v>
      </c>
      <c r="H708" s="20" t="s">
        <v>1088</v>
      </c>
      <c r="I708" s="20"/>
      <c r="J708" s="20" t="s">
        <v>76</v>
      </c>
      <c r="K708" s="20" t="s">
        <v>76</v>
      </c>
      <c r="L708" s="20" t="s">
        <v>76</v>
      </c>
      <c r="M708" s="20" t="s">
        <v>1625</v>
      </c>
      <c r="N708" s="20" t="s">
        <v>1588</v>
      </c>
      <c r="O708" s="20"/>
      <c r="P708" s="20"/>
    </row>
    <row r="709" spans="1:16" ht="14.25" customHeight="1">
      <c r="A709">
        <v>708</v>
      </c>
      <c r="B709" t="s">
        <v>9</v>
      </c>
      <c r="C709" t="s">
        <v>1549</v>
      </c>
      <c r="D709" t="s">
        <v>3876</v>
      </c>
      <c r="E709" t="s">
        <v>3877</v>
      </c>
      <c r="F709">
        <v>2026</v>
      </c>
      <c r="G709" t="s">
        <v>1098</v>
      </c>
      <c r="H709" t="s">
        <v>3878</v>
      </c>
      <c r="J709" t="s">
        <v>91</v>
      </c>
      <c r="K709" t="s">
        <v>91</v>
      </c>
      <c r="L709" t="s">
        <v>91</v>
      </c>
      <c r="M709" t="s">
        <v>1587</v>
      </c>
      <c r="N709" t="s">
        <v>1588</v>
      </c>
    </row>
    <row r="710" spans="1:16" ht="14.25" customHeight="1">
      <c r="A710" s="20">
        <v>709</v>
      </c>
      <c r="B710" s="20" t="s">
        <v>9</v>
      </c>
      <c r="C710" s="20" t="s">
        <v>1549</v>
      </c>
      <c r="D710" s="20" t="s">
        <v>1089</v>
      </c>
      <c r="E710" s="20" t="s">
        <v>1090</v>
      </c>
      <c r="F710" s="20">
        <v>2026</v>
      </c>
      <c r="G710" s="20" t="s">
        <v>1091</v>
      </c>
      <c r="H710" s="20" t="s">
        <v>1092</v>
      </c>
      <c r="I710" s="20"/>
      <c r="J710" s="20" t="s">
        <v>76</v>
      </c>
      <c r="K710" s="20" t="s">
        <v>76</v>
      </c>
      <c r="L710" s="20" t="s">
        <v>76</v>
      </c>
      <c r="M710" s="20" t="s">
        <v>1625</v>
      </c>
      <c r="N710" s="20" t="s">
        <v>1588</v>
      </c>
      <c r="O710" s="20"/>
      <c r="P710" s="20"/>
    </row>
    <row r="711" spans="1:16" ht="14.25" customHeight="1">
      <c r="A711" s="20">
        <v>710</v>
      </c>
      <c r="B711" s="20" t="s">
        <v>9</v>
      </c>
      <c r="C711" s="20" t="s">
        <v>1549</v>
      </c>
      <c r="D711" s="20" t="s">
        <v>736</v>
      </c>
      <c r="E711" s="20" t="s">
        <v>1093</v>
      </c>
      <c r="F711" s="20">
        <v>2026</v>
      </c>
      <c r="G711" s="20" t="s">
        <v>1094</v>
      </c>
      <c r="H711" s="20" t="s">
        <v>1095</v>
      </c>
      <c r="I711" s="20"/>
      <c r="J711" s="20" t="s">
        <v>76</v>
      </c>
      <c r="K711" s="20" t="s">
        <v>76</v>
      </c>
      <c r="L711" s="20" t="s">
        <v>76</v>
      </c>
      <c r="M711" s="20" t="s">
        <v>1625</v>
      </c>
      <c r="N711" s="20" t="s">
        <v>1555</v>
      </c>
      <c r="O711" s="20"/>
      <c r="P711" s="20"/>
    </row>
    <row r="712" spans="1:16" ht="14.25" customHeight="1">
      <c r="A712">
        <v>711</v>
      </c>
      <c r="B712" t="s">
        <v>9</v>
      </c>
      <c r="C712" t="s">
        <v>1549</v>
      </c>
      <c r="D712" t="s">
        <v>3879</v>
      </c>
      <c r="E712" t="s">
        <v>3880</v>
      </c>
      <c r="F712">
        <v>2026</v>
      </c>
      <c r="G712" t="s">
        <v>3881</v>
      </c>
      <c r="H712" t="s">
        <v>3882</v>
      </c>
      <c r="J712" t="s">
        <v>91</v>
      </c>
      <c r="K712" t="s">
        <v>91</v>
      </c>
      <c r="L712" t="s">
        <v>91</v>
      </c>
      <c r="M712" t="s">
        <v>1570</v>
      </c>
      <c r="N712" t="s">
        <v>1588</v>
      </c>
    </row>
    <row r="713" spans="1:16" ht="14.25" customHeight="1">
      <c r="A713" s="20">
        <v>712</v>
      </c>
      <c r="B713" s="20" t="s">
        <v>9</v>
      </c>
      <c r="C713" s="20" t="s">
        <v>1549</v>
      </c>
      <c r="D713" s="20" t="s">
        <v>1096</v>
      </c>
      <c r="E713" s="20" t="s">
        <v>1097</v>
      </c>
      <c r="F713" s="20">
        <v>2026</v>
      </c>
      <c r="G713" s="20" t="s">
        <v>1098</v>
      </c>
      <c r="H713" s="20" t="s">
        <v>1099</v>
      </c>
      <c r="I713" s="20"/>
      <c r="J713" s="20" t="s">
        <v>76</v>
      </c>
      <c r="K713" s="20" t="s">
        <v>76</v>
      </c>
      <c r="L713" s="20" t="s">
        <v>76</v>
      </c>
      <c r="M713" s="20" t="s">
        <v>1625</v>
      </c>
      <c r="N713" s="20" t="s">
        <v>1588</v>
      </c>
      <c r="O713" s="20"/>
      <c r="P713" s="20"/>
    </row>
    <row r="714" spans="1:16" ht="14.25" customHeight="1">
      <c r="A714">
        <v>713</v>
      </c>
      <c r="B714" t="s">
        <v>9</v>
      </c>
      <c r="C714" t="s">
        <v>1549</v>
      </c>
      <c r="D714" t="s">
        <v>3883</v>
      </c>
      <c r="E714" t="s">
        <v>3884</v>
      </c>
      <c r="F714">
        <v>2026</v>
      </c>
      <c r="G714" t="s">
        <v>923</v>
      </c>
      <c r="H714" t="s">
        <v>3885</v>
      </c>
      <c r="J714" t="s">
        <v>91</v>
      </c>
      <c r="K714" t="s">
        <v>91</v>
      </c>
      <c r="L714" t="s">
        <v>91</v>
      </c>
      <c r="M714" t="s">
        <v>1570</v>
      </c>
      <c r="N714" t="s">
        <v>1555</v>
      </c>
    </row>
    <row r="715" spans="1:16" ht="14.25" customHeight="1">
      <c r="A715">
        <v>714</v>
      </c>
      <c r="B715" t="s">
        <v>9</v>
      </c>
      <c r="C715" t="s">
        <v>1549</v>
      </c>
      <c r="D715" t="s">
        <v>3886</v>
      </c>
      <c r="E715" t="s">
        <v>3887</v>
      </c>
      <c r="F715">
        <v>2026</v>
      </c>
      <c r="G715" t="s">
        <v>1659</v>
      </c>
      <c r="H715" t="s">
        <v>3888</v>
      </c>
      <c r="J715" t="s">
        <v>91</v>
      </c>
      <c r="K715" t="s">
        <v>91</v>
      </c>
      <c r="L715" t="s">
        <v>91</v>
      </c>
      <c r="M715" t="s">
        <v>1570</v>
      </c>
      <c r="N715" t="s">
        <v>1588</v>
      </c>
    </row>
    <row r="716" spans="1:16" ht="14.25" customHeight="1">
      <c r="A716">
        <v>715</v>
      </c>
      <c r="B716" t="s">
        <v>9</v>
      </c>
      <c r="C716" t="s">
        <v>1549</v>
      </c>
      <c r="D716" t="s">
        <v>3889</v>
      </c>
      <c r="E716" t="s">
        <v>3890</v>
      </c>
      <c r="F716">
        <v>2026</v>
      </c>
      <c r="G716" t="s">
        <v>3891</v>
      </c>
      <c r="H716" t="s">
        <v>3892</v>
      </c>
      <c r="J716" t="s">
        <v>91</v>
      </c>
      <c r="K716" t="s">
        <v>91</v>
      </c>
      <c r="L716" t="s">
        <v>91</v>
      </c>
      <c r="M716" t="s">
        <v>1570</v>
      </c>
      <c r="N716" t="s">
        <v>1588</v>
      </c>
    </row>
    <row r="717" spans="1:16" ht="14.25" customHeight="1">
      <c r="A717">
        <v>716</v>
      </c>
      <c r="B717" t="s">
        <v>9</v>
      </c>
      <c r="C717" t="s">
        <v>1549</v>
      </c>
      <c r="D717" t="s">
        <v>3893</v>
      </c>
      <c r="E717" t="s">
        <v>3894</v>
      </c>
      <c r="F717">
        <v>2026</v>
      </c>
      <c r="G717" t="s">
        <v>923</v>
      </c>
      <c r="H717" t="s">
        <v>3895</v>
      </c>
      <c r="J717" t="s">
        <v>91</v>
      </c>
      <c r="K717" t="s">
        <v>91</v>
      </c>
      <c r="L717" t="s">
        <v>91</v>
      </c>
      <c r="M717" t="s">
        <v>1570</v>
      </c>
      <c r="N717" t="s">
        <v>1555</v>
      </c>
    </row>
    <row r="718" spans="1:16" ht="14.25" customHeight="1">
      <c r="A718" s="20">
        <v>717</v>
      </c>
      <c r="B718" s="20" t="s">
        <v>9</v>
      </c>
      <c r="C718" s="20" t="s">
        <v>1549</v>
      </c>
      <c r="D718" s="20" t="s">
        <v>1100</v>
      </c>
      <c r="E718" s="20" t="s">
        <v>1101</v>
      </c>
      <c r="F718" s="20">
        <v>2026</v>
      </c>
      <c r="G718" s="20" t="s">
        <v>1102</v>
      </c>
      <c r="H718" s="20" t="s">
        <v>1103</v>
      </c>
      <c r="I718" s="20"/>
      <c r="J718" s="20" t="s">
        <v>76</v>
      </c>
      <c r="K718" s="20" t="s">
        <v>76</v>
      </c>
      <c r="L718" s="20" t="s">
        <v>76</v>
      </c>
      <c r="M718" s="20" t="s">
        <v>1625</v>
      </c>
      <c r="N718" s="20" t="s">
        <v>1588</v>
      </c>
      <c r="O718" s="20"/>
      <c r="P718" s="20"/>
    </row>
    <row r="719" spans="1:16" ht="14.25" customHeight="1">
      <c r="A719">
        <v>718</v>
      </c>
      <c r="B719" t="s">
        <v>9</v>
      </c>
      <c r="C719" t="s">
        <v>1549</v>
      </c>
      <c r="D719" t="s">
        <v>786</v>
      </c>
      <c r="E719" t="s">
        <v>3896</v>
      </c>
      <c r="F719">
        <v>2026</v>
      </c>
      <c r="G719" t="s">
        <v>1094</v>
      </c>
      <c r="H719" t="s">
        <v>3897</v>
      </c>
      <c r="J719" t="s">
        <v>91</v>
      </c>
      <c r="K719" t="s">
        <v>91</v>
      </c>
      <c r="L719" t="s">
        <v>91</v>
      </c>
      <c r="M719" t="s">
        <v>1570</v>
      </c>
      <c r="N719" t="s">
        <v>1555</v>
      </c>
    </row>
    <row r="720" spans="1:16" ht="14.25" customHeight="1">
      <c r="A720">
        <v>719</v>
      </c>
      <c r="B720" t="s">
        <v>9</v>
      </c>
      <c r="C720" t="s">
        <v>1549</v>
      </c>
      <c r="D720" t="s">
        <v>3898</v>
      </c>
      <c r="E720" t="s">
        <v>3899</v>
      </c>
      <c r="F720">
        <v>2026</v>
      </c>
      <c r="G720" t="s">
        <v>3900</v>
      </c>
      <c r="H720" t="s">
        <v>3901</v>
      </c>
      <c r="J720" t="s">
        <v>91</v>
      </c>
      <c r="K720" t="s">
        <v>91</v>
      </c>
      <c r="L720" t="s">
        <v>91</v>
      </c>
      <c r="M720" t="s">
        <v>1587</v>
      </c>
      <c r="N720" t="s">
        <v>1588</v>
      </c>
    </row>
    <row r="721" spans="1:16" ht="14.25" customHeight="1">
      <c r="A721" s="20">
        <v>720</v>
      </c>
      <c r="B721" s="20" t="s">
        <v>9</v>
      </c>
      <c r="C721" s="20" t="s">
        <v>1549</v>
      </c>
      <c r="D721" s="20" t="s">
        <v>1104</v>
      </c>
      <c r="E721" s="20" t="s">
        <v>1105</v>
      </c>
      <c r="F721" s="20">
        <v>2026</v>
      </c>
      <c r="G721" s="20" t="s">
        <v>1106</v>
      </c>
      <c r="H721" s="20" t="s">
        <v>1107</v>
      </c>
      <c r="I721" s="20"/>
      <c r="J721" s="20" t="s">
        <v>76</v>
      </c>
      <c r="K721" s="20" t="s">
        <v>76</v>
      </c>
      <c r="L721" s="20" t="s">
        <v>76</v>
      </c>
      <c r="M721" s="20" t="s">
        <v>1625</v>
      </c>
      <c r="N721" s="20" t="s">
        <v>1588</v>
      </c>
      <c r="O721" s="20"/>
      <c r="P721" s="20"/>
    </row>
    <row r="722" spans="1:16" ht="14.25" customHeight="1">
      <c r="A722" s="20">
        <v>721</v>
      </c>
      <c r="B722" s="20" t="s">
        <v>9</v>
      </c>
      <c r="C722" s="20" t="s">
        <v>1549</v>
      </c>
      <c r="D722" s="20" t="s">
        <v>1108</v>
      </c>
      <c r="E722" s="20" t="s">
        <v>1109</v>
      </c>
      <c r="F722" s="20">
        <v>2026</v>
      </c>
      <c r="G722" s="20" t="s">
        <v>923</v>
      </c>
      <c r="H722" s="20" t="s">
        <v>1110</v>
      </c>
      <c r="I722" s="20"/>
      <c r="J722" s="20" t="s">
        <v>76</v>
      </c>
      <c r="K722" s="20" t="s">
        <v>76</v>
      </c>
      <c r="L722" s="20" t="s">
        <v>76</v>
      </c>
      <c r="M722" s="20" t="s">
        <v>1625</v>
      </c>
      <c r="N722" s="20" t="s">
        <v>1555</v>
      </c>
      <c r="O722" s="20"/>
      <c r="P722" s="20"/>
    </row>
    <row r="723" spans="1:16" ht="14.25" customHeight="1">
      <c r="A723">
        <v>722</v>
      </c>
      <c r="B723" t="s">
        <v>9</v>
      </c>
      <c r="C723" t="s">
        <v>1549</v>
      </c>
      <c r="D723" t="s">
        <v>3902</v>
      </c>
      <c r="E723" t="s">
        <v>3903</v>
      </c>
      <c r="F723">
        <v>2026</v>
      </c>
      <c r="G723" t="s">
        <v>3904</v>
      </c>
      <c r="H723" t="s">
        <v>3905</v>
      </c>
      <c r="J723" t="s">
        <v>91</v>
      </c>
      <c r="K723" t="s">
        <v>91</v>
      </c>
      <c r="L723" t="s">
        <v>91</v>
      </c>
      <c r="M723" t="s">
        <v>1570</v>
      </c>
      <c r="N723" t="s">
        <v>1588</v>
      </c>
    </row>
    <row r="724" spans="1:16" ht="14.25" customHeight="1">
      <c r="A724" s="20">
        <v>723</v>
      </c>
      <c r="B724" s="20" t="s">
        <v>9</v>
      </c>
      <c r="C724" s="20" t="s">
        <v>1549</v>
      </c>
      <c r="D724" s="20" t="s">
        <v>1111</v>
      </c>
      <c r="E724" s="20" t="s">
        <v>1112</v>
      </c>
      <c r="F724" s="20">
        <v>2026</v>
      </c>
      <c r="G724" s="20" t="s">
        <v>1113</v>
      </c>
      <c r="H724" s="20" t="s">
        <v>1114</v>
      </c>
      <c r="I724" s="20"/>
      <c r="J724" s="20" t="s">
        <v>76</v>
      </c>
      <c r="K724" s="20" t="s">
        <v>76</v>
      </c>
      <c r="L724" s="20" t="s">
        <v>76</v>
      </c>
      <c r="M724" s="20" t="s">
        <v>1625</v>
      </c>
      <c r="N724" s="20" t="s">
        <v>1588</v>
      </c>
      <c r="O724" s="20"/>
      <c r="P724" s="20"/>
    </row>
    <row r="725" spans="1:16" ht="14.25" customHeight="1">
      <c r="A725">
        <v>724</v>
      </c>
      <c r="B725" t="s">
        <v>9</v>
      </c>
      <c r="C725" t="s">
        <v>1549</v>
      </c>
      <c r="D725" t="s">
        <v>3906</v>
      </c>
      <c r="E725" t="s">
        <v>3907</v>
      </c>
      <c r="F725">
        <v>2026</v>
      </c>
      <c r="G725" t="s">
        <v>3908</v>
      </c>
      <c r="H725" t="s">
        <v>3909</v>
      </c>
      <c r="J725" t="s">
        <v>91</v>
      </c>
      <c r="K725" t="s">
        <v>91</v>
      </c>
      <c r="L725" t="s">
        <v>91</v>
      </c>
      <c r="M725" t="s">
        <v>1587</v>
      </c>
      <c r="N725" t="s">
        <v>1555</v>
      </c>
    </row>
    <row r="726" spans="1:16" ht="14.25" customHeight="1">
      <c r="A726">
        <v>725</v>
      </c>
      <c r="B726" t="s">
        <v>9</v>
      </c>
      <c r="C726" t="s">
        <v>1549</v>
      </c>
      <c r="D726" t="s">
        <v>3910</v>
      </c>
      <c r="E726" t="s">
        <v>3911</v>
      </c>
      <c r="F726">
        <v>2026</v>
      </c>
      <c r="G726" t="s">
        <v>3912</v>
      </c>
      <c r="H726" t="s">
        <v>3913</v>
      </c>
      <c r="J726" t="s">
        <v>91</v>
      </c>
      <c r="K726" t="s">
        <v>91</v>
      </c>
      <c r="L726" t="s">
        <v>91</v>
      </c>
      <c r="M726" t="s">
        <v>1587</v>
      </c>
      <c r="N726" t="s">
        <v>1555</v>
      </c>
    </row>
    <row r="727" spans="1:16" ht="14.25" customHeight="1">
      <c r="A727" s="20">
        <v>726</v>
      </c>
      <c r="B727" s="20" t="s">
        <v>9</v>
      </c>
      <c r="C727" s="20" t="s">
        <v>1549</v>
      </c>
      <c r="D727" s="20" t="s">
        <v>1115</v>
      </c>
      <c r="E727" s="20" t="s">
        <v>1116</v>
      </c>
      <c r="F727" s="20">
        <v>2026</v>
      </c>
      <c r="G727" s="20" t="s">
        <v>1117</v>
      </c>
      <c r="H727" s="20" t="s">
        <v>1118</v>
      </c>
      <c r="I727" s="20"/>
      <c r="J727" s="20" t="s">
        <v>76</v>
      </c>
      <c r="K727" s="20" t="s">
        <v>76</v>
      </c>
      <c r="L727" s="20" t="s">
        <v>76</v>
      </c>
      <c r="M727" s="20" t="s">
        <v>1625</v>
      </c>
      <c r="N727" s="20" t="s">
        <v>1588</v>
      </c>
      <c r="O727" s="20"/>
      <c r="P727" s="20"/>
    </row>
    <row r="728" spans="1:16" ht="14.25" customHeight="1">
      <c r="A728">
        <v>727</v>
      </c>
      <c r="B728" t="s">
        <v>9</v>
      </c>
      <c r="C728" t="s">
        <v>1549</v>
      </c>
      <c r="D728" t="s">
        <v>3914</v>
      </c>
      <c r="E728" t="s">
        <v>3915</v>
      </c>
      <c r="F728">
        <v>2026</v>
      </c>
      <c r="G728" t="s">
        <v>3916</v>
      </c>
      <c r="H728" t="s">
        <v>3917</v>
      </c>
      <c r="J728" t="s">
        <v>91</v>
      </c>
      <c r="K728" t="s">
        <v>91</v>
      </c>
      <c r="L728" t="s">
        <v>91</v>
      </c>
      <c r="M728" t="s">
        <v>1570</v>
      </c>
      <c r="N728" t="s">
        <v>1588</v>
      </c>
    </row>
    <row r="729" spans="1:16" ht="14.25" customHeight="1">
      <c r="A729">
        <v>728</v>
      </c>
      <c r="B729" t="s">
        <v>9</v>
      </c>
      <c r="C729" t="s">
        <v>1549</v>
      </c>
      <c r="D729" t="s">
        <v>3918</v>
      </c>
      <c r="E729" t="s">
        <v>3919</v>
      </c>
      <c r="F729">
        <v>2026</v>
      </c>
      <c r="G729" t="s">
        <v>3920</v>
      </c>
      <c r="H729" t="s">
        <v>3921</v>
      </c>
      <c r="J729" t="s">
        <v>91</v>
      </c>
      <c r="K729" t="s">
        <v>91</v>
      </c>
      <c r="L729" t="s">
        <v>91</v>
      </c>
      <c r="M729" t="s">
        <v>1587</v>
      </c>
      <c r="N729" t="s">
        <v>1588</v>
      </c>
    </row>
    <row r="730" spans="1:16" ht="14.25" customHeight="1">
      <c r="A730">
        <v>729</v>
      </c>
      <c r="B730" t="s">
        <v>9</v>
      </c>
      <c r="C730" t="s">
        <v>1549</v>
      </c>
      <c r="D730" t="s">
        <v>3922</v>
      </c>
      <c r="E730" t="s">
        <v>3923</v>
      </c>
      <c r="F730">
        <v>2026</v>
      </c>
      <c r="G730" t="s">
        <v>3924</v>
      </c>
      <c r="H730" t="s">
        <v>3925</v>
      </c>
      <c r="J730" t="s">
        <v>91</v>
      </c>
      <c r="K730" t="s">
        <v>91</v>
      </c>
      <c r="L730" t="s">
        <v>91</v>
      </c>
      <c r="M730" t="s">
        <v>1593</v>
      </c>
      <c r="N730" t="s">
        <v>1588</v>
      </c>
    </row>
    <row r="731" spans="1:16" ht="14.25" customHeight="1">
      <c r="A731">
        <v>730</v>
      </c>
      <c r="B731" t="s">
        <v>9</v>
      </c>
      <c r="C731" t="s">
        <v>1549</v>
      </c>
      <c r="D731" t="s">
        <v>3926</v>
      </c>
      <c r="E731" t="s">
        <v>3927</v>
      </c>
      <c r="F731">
        <v>2026</v>
      </c>
      <c r="G731" t="s">
        <v>3928</v>
      </c>
      <c r="H731" t="s">
        <v>3929</v>
      </c>
      <c r="J731" t="s">
        <v>91</v>
      </c>
      <c r="K731" t="s">
        <v>91</v>
      </c>
      <c r="L731" t="s">
        <v>91</v>
      </c>
      <c r="M731" t="s">
        <v>1570</v>
      </c>
      <c r="N731" t="s">
        <v>1588</v>
      </c>
    </row>
    <row r="732" spans="1:16" ht="14.25" customHeight="1">
      <c r="A732">
        <v>731</v>
      </c>
      <c r="B732" t="s">
        <v>9</v>
      </c>
      <c r="C732" t="s">
        <v>1549</v>
      </c>
      <c r="D732" t="s">
        <v>3930</v>
      </c>
      <c r="E732" t="s">
        <v>3931</v>
      </c>
      <c r="F732">
        <v>2026</v>
      </c>
      <c r="G732" t="s">
        <v>1098</v>
      </c>
      <c r="H732" t="s">
        <v>3932</v>
      </c>
      <c r="J732" t="s">
        <v>91</v>
      </c>
      <c r="K732" t="s">
        <v>91</v>
      </c>
      <c r="L732" t="s">
        <v>91</v>
      </c>
      <c r="M732" t="s">
        <v>1570</v>
      </c>
      <c r="N732" t="s">
        <v>1588</v>
      </c>
    </row>
    <row r="733" spans="1:16" ht="14.25" customHeight="1">
      <c r="A733" s="20">
        <v>732</v>
      </c>
      <c r="B733" s="20" t="s">
        <v>9</v>
      </c>
      <c r="C733" s="20" t="s">
        <v>1549</v>
      </c>
      <c r="D733" s="20" t="s">
        <v>1119</v>
      </c>
      <c r="E733" s="20" t="s">
        <v>1120</v>
      </c>
      <c r="F733" s="20">
        <v>2026</v>
      </c>
      <c r="G733" s="20" t="s">
        <v>1121</v>
      </c>
      <c r="H733" s="20" t="s">
        <v>1122</v>
      </c>
      <c r="I733" s="20"/>
      <c r="J733" s="20" t="s">
        <v>76</v>
      </c>
      <c r="K733" s="20" t="s">
        <v>76</v>
      </c>
      <c r="L733" s="20" t="s">
        <v>76</v>
      </c>
      <c r="M733" s="20" t="s">
        <v>1625</v>
      </c>
      <c r="N733" s="20" t="s">
        <v>1588</v>
      </c>
      <c r="O733" s="20"/>
      <c r="P733" s="20"/>
    </row>
    <row r="734" spans="1:16" ht="14.25" customHeight="1">
      <c r="A734">
        <v>733</v>
      </c>
      <c r="B734" t="s">
        <v>9</v>
      </c>
      <c r="C734" t="s">
        <v>1549</v>
      </c>
      <c r="D734" t="s">
        <v>3933</v>
      </c>
      <c r="E734" t="s">
        <v>3934</v>
      </c>
      <c r="F734">
        <v>2026</v>
      </c>
      <c r="G734" t="s">
        <v>3935</v>
      </c>
      <c r="H734" t="s">
        <v>3936</v>
      </c>
      <c r="J734" t="s">
        <v>91</v>
      </c>
      <c r="K734" t="s">
        <v>91</v>
      </c>
      <c r="L734" t="s">
        <v>91</v>
      </c>
      <c r="M734" t="s">
        <v>1593</v>
      </c>
      <c r="N734" t="s">
        <v>1555</v>
      </c>
    </row>
    <row r="735" spans="1:16" ht="14.25" customHeight="1">
      <c r="A735" s="20">
        <v>734</v>
      </c>
      <c r="B735" s="20" t="s">
        <v>9</v>
      </c>
      <c r="C735" s="20" t="s">
        <v>1549</v>
      </c>
      <c r="D735" s="20" t="s">
        <v>1123</v>
      </c>
      <c r="E735" s="20" t="s">
        <v>1124</v>
      </c>
      <c r="F735" s="20">
        <v>2026</v>
      </c>
      <c r="G735" s="20" t="s">
        <v>1098</v>
      </c>
      <c r="H735" s="20" t="s">
        <v>1125</v>
      </c>
      <c r="I735" s="20"/>
      <c r="J735" s="20" t="s">
        <v>76</v>
      </c>
      <c r="K735" s="20" t="s">
        <v>76</v>
      </c>
      <c r="L735" s="20" t="s">
        <v>76</v>
      </c>
      <c r="M735" s="20" t="s">
        <v>1625</v>
      </c>
      <c r="N735" s="20" t="s">
        <v>1588</v>
      </c>
      <c r="O735" s="20"/>
      <c r="P735" s="20"/>
    </row>
    <row r="736" spans="1:16" ht="14.25" customHeight="1">
      <c r="A736">
        <v>735</v>
      </c>
      <c r="B736" t="s">
        <v>9</v>
      </c>
      <c r="C736" t="s">
        <v>1549</v>
      </c>
      <c r="D736" t="s">
        <v>3937</v>
      </c>
      <c r="E736" t="s">
        <v>3938</v>
      </c>
      <c r="F736">
        <v>2026</v>
      </c>
      <c r="G736" t="s">
        <v>2013</v>
      </c>
      <c r="H736" t="s">
        <v>3939</v>
      </c>
      <c r="J736" t="s">
        <v>91</v>
      </c>
      <c r="K736" t="s">
        <v>91</v>
      </c>
      <c r="L736" t="s">
        <v>91</v>
      </c>
      <c r="M736" t="s">
        <v>1593</v>
      </c>
      <c r="N736" t="s">
        <v>1555</v>
      </c>
    </row>
    <row r="737" spans="1:16" ht="14.25" customHeight="1">
      <c r="A737">
        <v>736</v>
      </c>
      <c r="B737" t="s">
        <v>9</v>
      </c>
      <c r="C737" t="s">
        <v>1549</v>
      </c>
      <c r="D737" t="s">
        <v>3940</v>
      </c>
      <c r="E737" t="s">
        <v>3941</v>
      </c>
      <c r="F737">
        <v>2026</v>
      </c>
      <c r="G737" t="s">
        <v>1573</v>
      </c>
      <c r="H737" t="s">
        <v>3942</v>
      </c>
      <c r="J737" t="s">
        <v>91</v>
      </c>
      <c r="K737" t="s">
        <v>91</v>
      </c>
      <c r="L737" t="s">
        <v>91</v>
      </c>
      <c r="M737" t="s">
        <v>1554</v>
      </c>
      <c r="N737" t="s">
        <v>1555</v>
      </c>
    </row>
    <row r="738" spans="1:16" ht="14.25" customHeight="1">
      <c r="A738">
        <v>737</v>
      </c>
      <c r="B738" t="s">
        <v>9</v>
      </c>
      <c r="C738" t="s">
        <v>1549</v>
      </c>
      <c r="D738" t="s">
        <v>3943</v>
      </c>
      <c r="E738" t="s">
        <v>3944</v>
      </c>
      <c r="F738">
        <v>2026</v>
      </c>
      <c r="G738" t="s">
        <v>3945</v>
      </c>
      <c r="H738" t="s">
        <v>3946</v>
      </c>
      <c r="J738" t="s">
        <v>91</v>
      </c>
      <c r="K738" t="s">
        <v>91</v>
      </c>
      <c r="L738" t="s">
        <v>91</v>
      </c>
      <c r="M738" t="s">
        <v>1587</v>
      </c>
      <c r="N738" t="s">
        <v>1588</v>
      </c>
    </row>
    <row r="739" spans="1:16" ht="14.25" customHeight="1">
      <c r="A739" s="20">
        <v>738</v>
      </c>
      <c r="B739" s="20" t="s">
        <v>9</v>
      </c>
      <c r="C739" s="20" t="s">
        <v>1549</v>
      </c>
      <c r="D739" s="20" t="s">
        <v>1126</v>
      </c>
      <c r="E739" s="20" t="s">
        <v>1127</v>
      </c>
      <c r="F739" s="20">
        <v>2026</v>
      </c>
      <c r="G739" s="20" t="s">
        <v>1128</v>
      </c>
      <c r="H739" s="20" t="s">
        <v>1129</v>
      </c>
      <c r="I739" s="20"/>
      <c r="J739" s="20" t="s">
        <v>76</v>
      </c>
      <c r="K739" s="20" t="s">
        <v>76</v>
      </c>
      <c r="L739" s="20" t="s">
        <v>76</v>
      </c>
      <c r="M739" s="20" t="s">
        <v>1625</v>
      </c>
      <c r="N739" s="20" t="s">
        <v>1588</v>
      </c>
      <c r="O739" s="20"/>
      <c r="P739" s="20"/>
    </row>
    <row r="740" spans="1:16" ht="14.25" customHeight="1">
      <c r="A740">
        <v>739</v>
      </c>
      <c r="B740" t="s">
        <v>9</v>
      </c>
      <c r="C740" t="s">
        <v>1549</v>
      </c>
      <c r="D740" t="s">
        <v>3947</v>
      </c>
      <c r="E740" t="s">
        <v>3948</v>
      </c>
      <c r="F740">
        <v>2026</v>
      </c>
      <c r="G740" t="s">
        <v>3949</v>
      </c>
      <c r="H740" t="s">
        <v>3950</v>
      </c>
      <c r="J740" t="s">
        <v>91</v>
      </c>
      <c r="K740" t="s">
        <v>91</v>
      </c>
      <c r="L740" t="s">
        <v>91</v>
      </c>
      <c r="M740" t="s">
        <v>1587</v>
      </c>
      <c r="N740" t="s">
        <v>1588</v>
      </c>
    </row>
    <row r="741" spans="1:16" ht="14.25" customHeight="1">
      <c r="A741" s="20">
        <v>740</v>
      </c>
      <c r="B741" s="20" t="s">
        <v>9</v>
      </c>
      <c r="C741" s="20" t="s">
        <v>1549</v>
      </c>
      <c r="D741" s="20" t="s">
        <v>1130</v>
      </c>
      <c r="E741" s="20" t="s">
        <v>1131</v>
      </c>
      <c r="F741" s="20">
        <v>2026</v>
      </c>
      <c r="G741" s="20" t="s">
        <v>1132</v>
      </c>
      <c r="H741" s="20" t="s">
        <v>1133</v>
      </c>
      <c r="I741" s="20"/>
      <c r="J741" s="20" t="s">
        <v>76</v>
      </c>
      <c r="K741" s="20" t="s">
        <v>76</v>
      </c>
      <c r="L741" s="20" t="s">
        <v>76</v>
      </c>
      <c r="M741" s="20" t="s">
        <v>1625</v>
      </c>
      <c r="N741" s="20" t="s">
        <v>1588</v>
      </c>
      <c r="O741" s="20"/>
      <c r="P741" s="20"/>
    </row>
    <row r="742" spans="1:16" ht="14.25" customHeight="1">
      <c r="A742">
        <v>741</v>
      </c>
      <c r="B742" t="s">
        <v>9</v>
      </c>
      <c r="C742" t="s">
        <v>1549</v>
      </c>
      <c r="D742" t="s">
        <v>3951</v>
      </c>
      <c r="E742" t="s">
        <v>3952</v>
      </c>
      <c r="F742">
        <v>2026</v>
      </c>
      <c r="G742" t="s">
        <v>3953</v>
      </c>
      <c r="H742" t="s">
        <v>3954</v>
      </c>
      <c r="J742" t="s">
        <v>91</v>
      </c>
      <c r="K742" t="s">
        <v>91</v>
      </c>
      <c r="L742" t="s">
        <v>91</v>
      </c>
      <c r="M742" t="s">
        <v>1587</v>
      </c>
      <c r="N742" t="s">
        <v>1588</v>
      </c>
    </row>
    <row r="743" spans="1:16" ht="14.25" customHeight="1">
      <c r="A743">
        <v>742</v>
      </c>
      <c r="B743" t="s">
        <v>9</v>
      </c>
      <c r="C743" t="s">
        <v>1549</v>
      </c>
      <c r="D743" t="s">
        <v>3955</v>
      </c>
      <c r="E743" t="s">
        <v>3956</v>
      </c>
      <c r="F743">
        <v>2026</v>
      </c>
      <c r="G743" t="s">
        <v>3551</v>
      </c>
      <c r="H743" t="s">
        <v>3957</v>
      </c>
      <c r="J743" t="s">
        <v>91</v>
      </c>
      <c r="K743" t="s">
        <v>91</v>
      </c>
      <c r="L743" t="s">
        <v>91</v>
      </c>
      <c r="M743" t="s">
        <v>1570</v>
      </c>
      <c r="N743" t="s">
        <v>1588</v>
      </c>
    </row>
    <row r="744" spans="1:16" ht="14.25" customHeight="1">
      <c r="A744">
        <v>743</v>
      </c>
      <c r="B744" t="s">
        <v>9</v>
      </c>
      <c r="C744" t="s">
        <v>1549</v>
      </c>
      <c r="D744" t="s">
        <v>3958</v>
      </c>
      <c r="E744" t="s">
        <v>3959</v>
      </c>
      <c r="F744">
        <v>2026</v>
      </c>
      <c r="G744" t="s">
        <v>3960</v>
      </c>
      <c r="H744" t="s">
        <v>3961</v>
      </c>
      <c r="J744" t="s">
        <v>91</v>
      </c>
      <c r="K744" t="s">
        <v>91</v>
      </c>
      <c r="L744" t="s">
        <v>91</v>
      </c>
      <c r="M744" t="s">
        <v>1570</v>
      </c>
      <c r="N744" t="s">
        <v>1588</v>
      </c>
    </row>
    <row r="745" spans="1:16" ht="14.25" customHeight="1">
      <c r="A745">
        <v>744</v>
      </c>
      <c r="B745" t="s">
        <v>9</v>
      </c>
      <c r="C745" t="s">
        <v>1549</v>
      </c>
      <c r="D745" t="s">
        <v>3962</v>
      </c>
      <c r="E745" t="s">
        <v>3963</v>
      </c>
      <c r="F745">
        <v>2026</v>
      </c>
      <c r="G745" t="s">
        <v>1091</v>
      </c>
      <c r="H745" t="s">
        <v>3964</v>
      </c>
      <c r="J745" t="s">
        <v>91</v>
      </c>
      <c r="K745" t="s">
        <v>91</v>
      </c>
      <c r="L745" t="s">
        <v>91</v>
      </c>
      <c r="M745" t="s">
        <v>1587</v>
      </c>
      <c r="N745" t="s">
        <v>1588</v>
      </c>
    </row>
    <row r="746" spans="1:16" ht="14.25" customHeight="1">
      <c r="A746">
        <v>745</v>
      </c>
      <c r="B746" t="s">
        <v>9</v>
      </c>
      <c r="C746" t="s">
        <v>1549</v>
      </c>
      <c r="D746" t="s">
        <v>3965</v>
      </c>
      <c r="E746" t="s">
        <v>3966</v>
      </c>
      <c r="F746">
        <v>2026</v>
      </c>
      <c r="G746" t="s">
        <v>3967</v>
      </c>
      <c r="H746" t="s">
        <v>3968</v>
      </c>
      <c r="J746" t="s">
        <v>91</v>
      </c>
      <c r="K746" t="s">
        <v>91</v>
      </c>
      <c r="L746" t="s">
        <v>91</v>
      </c>
      <c r="M746" t="s">
        <v>1570</v>
      </c>
      <c r="N746" t="s">
        <v>1588</v>
      </c>
    </row>
    <row r="747" spans="1:16" ht="14.25" customHeight="1">
      <c r="A747" s="20">
        <v>746</v>
      </c>
      <c r="B747" s="20" t="s">
        <v>9</v>
      </c>
      <c r="C747" s="20" t="s">
        <v>1549</v>
      </c>
      <c r="D747" s="20" t="s">
        <v>1134</v>
      </c>
      <c r="E747" s="20" t="s">
        <v>1135</v>
      </c>
      <c r="F747" s="20">
        <v>2026</v>
      </c>
      <c r="G747" s="20" t="s">
        <v>1136</v>
      </c>
      <c r="H747" s="20" t="s">
        <v>1137</v>
      </c>
      <c r="I747" s="20"/>
      <c r="J747" s="20" t="s">
        <v>76</v>
      </c>
      <c r="K747" s="20" t="s">
        <v>76</v>
      </c>
      <c r="L747" s="20" t="s">
        <v>76</v>
      </c>
      <c r="M747" s="20" t="s">
        <v>1625</v>
      </c>
      <c r="N747" s="20" t="s">
        <v>1588</v>
      </c>
      <c r="O747" s="20"/>
      <c r="P747" s="20"/>
    </row>
    <row r="748" spans="1:16" ht="14.25" customHeight="1">
      <c r="A748">
        <v>747</v>
      </c>
      <c r="B748" t="s">
        <v>9</v>
      </c>
      <c r="C748" t="s">
        <v>1549</v>
      </c>
      <c r="D748" t="s">
        <v>3969</v>
      </c>
      <c r="E748" t="s">
        <v>3212</v>
      </c>
      <c r="F748">
        <v>2026</v>
      </c>
      <c r="G748" t="s">
        <v>3547</v>
      </c>
      <c r="H748" t="s">
        <v>3970</v>
      </c>
      <c r="J748" t="s">
        <v>91</v>
      </c>
      <c r="K748" t="s">
        <v>91</v>
      </c>
      <c r="L748" t="s">
        <v>91</v>
      </c>
      <c r="M748" t="s">
        <v>1587</v>
      </c>
      <c r="N748" t="s">
        <v>1588</v>
      </c>
    </row>
    <row r="749" spans="1:16" ht="14.25" customHeight="1">
      <c r="A749" s="20">
        <v>748</v>
      </c>
      <c r="B749" s="20" t="s">
        <v>9</v>
      </c>
      <c r="C749" s="20" t="s">
        <v>1549</v>
      </c>
      <c r="D749" s="20" t="s">
        <v>1138</v>
      </c>
      <c r="E749" s="20" t="s">
        <v>1139</v>
      </c>
      <c r="F749" s="20">
        <v>2026</v>
      </c>
      <c r="G749" s="20" t="s">
        <v>1140</v>
      </c>
      <c r="H749" s="20" t="s">
        <v>1141</v>
      </c>
      <c r="I749" s="20"/>
      <c r="J749" s="20" t="s">
        <v>76</v>
      </c>
      <c r="K749" s="20" t="s">
        <v>76</v>
      </c>
      <c r="L749" s="20" t="s">
        <v>76</v>
      </c>
      <c r="M749" s="20" t="s">
        <v>1625</v>
      </c>
      <c r="N749" s="20" t="s">
        <v>1588</v>
      </c>
      <c r="O749" s="20"/>
      <c r="P749" s="20"/>
    </row>
    <row r="750" spans="1:16" ht="14.25" customHeight="1">
      <c r="A750">
        <v>749</v>
      </c>
      <c r="B750" t="s">
        <v>9</v>
      </c>
      <c r="C750" t="s">
        <v>1549</v>
      </c>
      <c r="D750" t="s">
        <v>3971</v>
      </c>
      <c r="E750" t="s">
        <v>3972</v>
      </c>
      <c r="F750">
        <v>2026</v>
      </c>
      <c r="G750" t="s">
        <v>3973</v>
      </c>
      <c r="H750" t="s">
        <v>3974</v>
      </c>
      <c r="J750" t="s">
        <v>91</v>
      </c>
      <c r="K750" t="s">
        <v>91</v>
      </c>
      <c r="L750" t="s">
        <v>91</v>
      </c>
      <c r="M750" t="s">
        <v>1570</v>
      </c>
      <c r="N750" t="s">
        <v>1588</v>
      </c>
    </row>
    <row r="751" spans="1:16" ht="14.25" customHeight="1">
      <c r="A751">
        <v>750</v>
      </c>
      <c r="B751" t="s">
        <v>9</v>
      </c>
      <c r="C751" t="s">
        <v>1549</v>
      </c>
      <c r="D751" t="s">
        <v>3975</v>
      </c>
      <c r="E751" t="s">
        <v>3976</v>
      </c>
      <c r="F751">
        <v>2026</v>
      </c>
      <c r="G751" t="s">
        <v>3977</v>
      </c>
      <c r="H751" t="s">
        <v>3978</v>
      </c>
      <c r="J751" t="s">
        <v>91</v>
      </c>
      <c r="K751" t="s">
        <v>91</v>
      </c>
      <c r="L751" t="s">
        <v>91</v>
      </c>
      <c r="M751" t="s">
        <v>1587</v>
      </c>
      <c r="N751" t="s">
        <v>1588</v>
      </c>
    </row>
    <row r="752" spans="1:16" ht="14.25" customHeight="1">
      <c r="A752">
        <v>751</v>
      </c>
      <c r="B752" t="s">
        <v>9</v>
      </c>
      <c r="C752" t="s">
        <v>1549</v>
      </c>
      <c r="D752" t="s">
        <v>3979</v>
      </c>
      <c r="E752" t="s">
        <v>3980</v>
      </c>
      <c r="F752">
        <v>2026</v>
      </c>
      <c r="G752" t="s">
        <v>1128</v>
      </c>
      <c r="H752" t="s">
        <v>3981</v>
      </c>
      <c r="J752" t="s">
        <v>91</v>
      </c>
      <c r="K752" t="s">
        <v>91</v>
      </c>
      <c r="L752" t="s">
        <v>91</v>
      </c>
      <c r="M752" t="s">
        <v>1570</v>
      </c>
      <c r="N752" t="s">
        <v>1588</v>
      </c>
    </row>
    <row r="753" spans="1:14" ht="14.25" customHeight="1">
      <c r="A753">
        <v>752</v>
      </c>
      <c r="B753" t="s">
        <v>9</v>
      </c>
      <c r="C753" t="s">
        <v>1549</v>
      </c>
      <c r="D753" t="s">
        <v>3982</v>
      </c>
      <c r="E753" t="s">
        <v>3983</v>
      </c>
      <c r="F753">
        <v>2026</v>
      </c>
      <c r="G753" t="s">
        <v>3984</v>
      </c>
      <c r="H753" t="s">
        <v>3985</v>
      </c>
      <c r="J753" t="s">
        <v>91</v>
      </c>
      <c r="K753" t="s">
        <v>91</v>
      </c>
      <c r="L753" t="s">
        <v>91</v>
      </c>
      <c r="M753" t="s">
        <v>1570</v>
      </c>
      <c r="N753" t="s">
        <v>1555</v>
      </c>
    </row>
    <row r="754" spans="1:14" ht="14.25" customHeight="1">
      <c r="A754">
        <v>753</v>
      </c>
      <c r="B754" t="s">
        <v>9</v>
      </c>
      <c r="C754" t="s">
        <v>1549</v>
      </c>
      <c r="D754" t="s">
        <v>3986</v>
      </c>
      <c r="E754" t="s">
        <v>3987</v>
      </c>
      <c r="F754">
        <v>2026</v>
      </c>
      <c r="G754" t="s">
        <v>2559</v>
      </c>
      <c r="H754" t="s">
        <v>3988</v>
      </c>
      <c r="J754" t="s">
        <v>91</v>
      </c>
      <c r="K754" t="s">
        <v>91</v>
      </c>
      <c r="L754" t="s">
        <v>91</v>
      </c>
      <c r="M754" t="s">
        <v>1554</v>
      </c>
      <c r="N754" t="s">
        <v>1588</v>
      </c>
    </row>
    <row r="755" spans="1:14" ht="14.25" customHeight="1">
      <c r="A755">
        <v>754</v>
      </c>
      <c r="B755" t="s">
        <v>9</v>
      </c>
      <c r="C755" t="s">
        <v>1549</v>
      </c>
      <c r="D755" t="s">
        <v>3989</v>
      </c>
      <c r="E755" t="s">
        <v>3990</v>
      </c>
      <c r="F755">
        <v>2026</v>
      </c>
      <c r="G755" t="s">
        <v>3991</v>
      </c>
      <c r="H755" t="s">
        <v>3992</v>
      </c>
      <c r="J755" t="s">
        <v>91</v>
      </c>
      <c r="K755" t="s">
        <v>91</v>
      </c>
      <c r="L755" t="s">
        <v>91</v>
      </c>
      <c r="M755" t="s">
        <v>1587</v>
      </c>
      <c r="N755" t="s">
        <v>1588</v>
      </c>
    </row>
    <row r="756" spans="1:14" ht="14.25" customHeight="1">
      <c r="A756">
        <v>755</v>
      </c>
      <c r="B756" t="s">
        <v>9</v>
      </c>
      <c r="C756" t="s">
        <v>1549</v>
      </c>
      <c r="D756" t="s">
        <v>3993</v>
      </c>
      <c r="E756" t="s">
        <v>3994</v>
      </c>
      <c r="F756">
        <v>2026</v>
      </c>
      <c r="G756" t="s">
        <v>3995</v>
      </c>
      <c r="H756" t="s">
        <v>3996</v>
      </c>
      <c r="J756" t="s">
        <v>91</v>
      </c>
      <c r="K756" t="s">
        <v>91</v>
      </c>
      <c r="L756" t="s">
        <v>91</v>
      </c>
      <c r="M756" t="s">
        <v>1587</v>
      </c>
      <c r="N756" t="s">
        <v>1588</v>
      </c>
    </row>
    <row r="757" spans="1:14" ht="14.25" customHeight="1">
      <c r="A757">
        <v>756</v>
      </c>
      <c r="B757" t="s">
        <v>9</v>
      </c>
      <c r="C757" t="s">
        <v>1549</v>
      </c>
      <c r="D757" t="s">
        <v>3997</v>
      </c>
      <c r="E757" t="s">
        <v>3998</v>
      </c>
      <c r="F757">
        <v>2026</v>
      </c>
      <c r="G757" t="s">
        <v>1019</v>
      </c>
      <c r="H757" t="s">
        <v>3999</v>
      </c>
      <c r="J757" t="s">
        <v>91</v>
      </c>
      <c r="K757" t="s">
        <v>91</v>
      </c>
      <c r="L757" t="s">
        <v>91</v>
      </c>
      <c r="M757" t="s">
        <v>1593</v>
      </c>
      <c r="N757" t="s">
        <v>1555</v>
      </c>
    </row>
    <row r="758" spans="1:14" ht="14.25" customHeight="1">
      <c r="A758">
        <v>757</v>
      </c>
      <c r="B758" t="s">
        <v>9</v>
      </c>
      <c r="C758" t="s">
        <v>1549</v>
      </c>
      <c r="D758" t="s">
        <v>4000</v>
      </c>
      <c r="E758" t="s">
        <v>4001</v>
      </c>
      <c r="F758">
        <v>2026</v>
      </c>
      <c r="G758" t="s">
        <v>4002</v>
      </c>
      <c r="H758" t="s">
        <v>4003</v>
      </c>
      <c r="J758" t="s">
        <v>91</v>
      </c>
      <c r="K758" t="s">
        <v>91</v>
      </c>
      <c r="L758" t="s">
        <v>91</v>
      </c>
      <c r="M758" t="s">
        <v>1587</v>
      </c>
      <c r="N758" t="s">
        <v>1588</v>
      </c>
    </row>
    <row r="759" spans="1:14" ht="14.25" customHeight="1">
      <c r="A759">
        <v>758</v>
      </c>
      <c r="B759" t="s">
        <v>9</v>
      </c>
      <c r="C759" t="s">
        <v>1549</v>
      </c>
      <c r="D759" t="s">
        <v>4004</v>
      </c>
      <c r="E759" t="s">
        <v>4005</v>
      </c>
      <c r="F759">
        <v>2026</v>
      </c>
      <c r="G759" t="s">
        <v>4006</v>
      </c>
      <c r="H759" t="s">
        <v>4007</v>
      </c>
      <c r="J759" t="s">
        <v>91</v>
      </c>
      <c r="K759" t="s">
        <v>91</v>
      </c>
      <c r="L759" t="s">
        <v>91</v>
      </c>
      <c r="M759" t="s">
        <v>1554</v>
      </c>
      <c r="N759" t="s">
        <v>1588</v>
      </c>
    </row>
    <row r="760" spans="1:14" ht="14.25" customHeight="1">
      <c r="A760">
        <v>759</v>
      </c>
      <c r="B760" t="s">
        <v>9</v>
      </c>
      <c r="C760" t="s">
        <v>1549</v>
      </c>
      <c r="D760" t="s">
        <v>4008</v>
      </c>
      <c r="E760" t="s">
        <v>4009</v>
      </c>
      <c r="F760">
        <v>2026</v>
      </c>
      <c r="G760" t="s">
        <v>969</v>
      </c>
      <c r="H760" t="s">
        <v>4010</v>
      </c>
      <c r="J760" t="s">
        <v>91</v>
      </c>
      <c r="K760" t="s">
        <v>91</v>
      </c>
      <c r="L760" t="s">
        <v>91</v>
      </c>
      <c r="M760" t="s">
        <v>1587</v>
      </c>
      <c r="N760" t="s">
        <v>1555</v>
      </c>
    </row>
    <row r="761" spans="1:14" ht="14.25" customHeight="1">
      <c r="A761">
        <v>760</v>
      </c>
      <c r="B761" t="s">
        <v>9</v>
      </c>
      <c r="C761" t="s">
        <v>1549</v>
      </c>
      <c r="D761" t="s">
        <v>4011</v>
      </c>
      <c r="E761" t="s">
        <v>2376</v>
      </c>
      <c r="F761">
        <v>2026</v>
      </c>
      <c r="G761" t="s">
        <v>1755</v>
      </c>
      <c r="H761" t="s">
        <v>4012</v>
      </c>
      <c r="J761" t="s">
        <v>91</v>
      </c>
      <c r="K761" t="s">
        <v>91</v>
      </c>
      <c r="L761" t="s">
        <v>91</v>
      </c>
      <c r="M761" t="s">
        <v>1570</v>
      </c>
      <c r="N761" t="s">
        <v>1555</v>
      </c>
    </row>
    <row r="762" spans="1:14" ht="14.25" customHeight="1">
      <c r="A762">
        <v>761</v>
      </c>
      <c r="B762" t="s">
        <v>9</v>
      </c>
      <c r="C762" t="s">
        <v>1549</v>
      </c>
      <c r="D762" t="s">
        <v>4013</v>
      </c>
      <c r="E762" t="s">
        <v>4014</v>
      </c>
      <c r="F762">
        <v>2026</v>
      </c>
      <c r="G762" t="s">
        <v>4015</v>
      </c>
      <c r="H762" t="s">
        <v>4016</v>
      </c>
      <c r="J762" t="s">
        <v>91</v>
      </c>
      <c r="K762" t="s">
        <v>91</v>
      </c>
      <c r="L762" t="s">
        <v>91</v>
      </c>
      <c r="M762" t="s">
        <v>1593</v>
      </c>
      <c r="N762" t="s">
        <v>1588</v>
      </c>
    </row>
    <row r="763" spans="1:14" ht="14.25" customHeight="1">
      <c r="A763">
        <v>762</v>
      </c>
      <c r="B763" t="s">
        <v>9</v>
      </c>
      <c r="C763" t="s">
        <v>1549</v>
      </c>
      <c r="D763" t="s">
        <v>4017</v>
      </c>
      <c r="E763" t="s">
        <v>4018</v>
      </c>
      <c r="F763">
        <v>2026</v>
      </c>
      <c r="G763" t="s">
        <v>4019</v>
      </c>
      <c r="H763" t="s">
        <v>4020</v>
      </c>
      <c r="J763" t="s">
        <v>91</v>
      </c>
      <c r="K763" t="s">
        <v>91</v>
      </c>
      <c r="L763" t="s">
        <v>91</v>
      </c>
      <c r="M763" t="s">
        <v>1570</v>
      </c>
      <c r="N763" t="s">
        <v>1588</v>
      </c>
    </row>
    <row r="764" spans="1:14" ht="14.25" customHeight="1">
      <c r="A764">
        <v>763</v>
      </c>
      <c r="B764" t="s">
        <v>9</v>
      </c>
      <c r="C764" t="s">
        <v>1549</v>
      </c>
      <c r="D764" t="s">
        <v>4021</v>
      </c>
      <c r="E764" t="s">
        <v>3383</v>
      </c>
      <c r="F764">
        <v>2026</v>
      </c>
      <c r="G764" t="s">
        <v>1121</v>
      </c>
      <c r="H764" t="s">
        <v>4022</v>
      </c>
      <c r="J764" t="s">
        <v>91</v>
      </c>
      <c r="K764" t="s">
        <v>91</v>
      </c>
      <c r="L764" t="s">
        <v>91</v>
      </c>
      <c r="M764" t="s">
        <v>1570</v>
      </c>
      <c r="N764" t="s">
        <v>1588</v>
      </c>
    </row>
    <row r="765" spans="1:14" ht="14.25" customHeight="1">
      <c r="A765">
        <v>764</v>
      </c>
      <c r="B765" t="s">
        <v>9</v>
      </c>
      <c r="C765" t="s">
        <v>1549</v>
      </c>
      <c r="D765" t="s">
        <v>4023</v>
      </c>
      <c r="E765" t="s">
        <v>4024</v>
      </c>
      <c r="F765">
        <v>2026</v>
      </c>
      <c r="G765" t="s">
        <v>923</v>
      </c>
      <c r="H765" t="s">
        <v>4025</v>
      </c>
      <c r="J765" t="s">
        <v>91</v>
      </c>
      <c r="K765" t="s">
        <v>91</v>
      </c>
      <c r="L765" t="s">
        <v>91</v>
      </c>
      <c r="M765" t="s">
        <v>1570</v>
      </c>
      <c r="N765" t="s">
        <v>1555</v>
      </c>
    </row>
    <row r="766" spans="1:14" ht="14.25" customHeight="1">
      <c r="A766">
        <v>765</v>
      </c>
      <c r="B766" t="s">
        <v>9</v>
      </c>
      <c r="C766" t="s">
        <v>1549</v>
      </c>
      <c r="D766" t="s">
        <v>4026</v>
      </c>
      <c r="E766" t="s">
        <v>4027</v>
      </c>
      <c r="F766">
        <v>2026</v>
      </c>
      <c r="G766" t="s">
        <v>2213</v>
      </c>
      <c r="H766" t="s">
        <v>4028</v>
      </c>
      <c r="J766" t="s">
        <v>91</v>
      </c>
      <c r="K766" t="s">
        <v>91</v>
      </c>
      <c r="L766" t="s">
        <v>91</v>
      </c>
      <c r="M766" t="s">
        <v>1570</v>
      </c>
      <c r="N766" t="s">
        <v>1555</v>
      </c>
    </row>
    <row r="767" spans="1:14" ht="14.25" customHeight="1">
      <c r="A767">
        <v>766</v>
      </c>
      <c r="B767" t="s">
        <v>9</v>
      </c>
      <c r="C767" t="s">
        <v>1549</v>
      </c>
      <c r="D767" t="s">
        <v>4029</v>
      </c>
      <c r="E767" t="s">
        <v>4030</v>
      </c>
      <c r="F767">
        <v>2026</v>
      </c>
      <c r="G767" t="s">
        <v>923</v>
      </c>
      <c r="H767" t="s">
        <v>4031</v>
      </c>
      <c r="J767" t="s">
        <v>91</v>
      </c>
      <c r="K767" t="s">
        <v>91</v>
      </c>
      <c r="L767" t="s">
        <v>91</v>
      </c>
      <c r="M767" t="s">
        <v>1570</v>
      </c>
      <c r="N767" t="s">
        <v>1555</v>
      </c>
    </row>
    <row r="768" spans="1:14" ht="14.25" customHeight="1">
      <c r="A768">
        <v>767</v>
      </c>
      <c r="B768" t="s">
        <v>9</v>
      </c>
      <c r="C768" t="s">
        <v>1549</v>
      </c>
      <c r="D768" t="s">
        <v>4032</v>
      </c>
      <c r="E768" t="s">
        <v>4033</v>
      </c>
      <c r="F768">
        <v>2026</v>
      </c>
      <c r="G768" t="s">
        <v>1085</v>
      </c>
      <c r="H768" t="s">
        <v>4034</v>
      </c>
      <c r="J768" t="s">
        <v>91</v>
      </c>
      <c r="K768" t="s">
        <v>91</v>
      </c>
      <c r="L768" t="s">
        <v>91</v>
      </c>
      <c r="M768" t="s">
        <v>1587</v>
      </c>
      <c r="N768" t="s">
        <v>1588</v>
      </c>
    </row>
    <row r="769" spans="1:16" ht="14.25" customHeight="1">
      <c r="A769">
        <v>768</v>
      </c>
      <c r="B769" t="s">
        <v>9</v>
      </c>
      <c r="C769" t="s">
        <v>1549</v>
      </c>
      <c r="D769" t="s">
        <v>4035</v>
      </c>
      <c r="E769" t="s">
        <v>4036</v>
      </c>
      <c r="F769">
        <v>2026</v>
      </c>
      <c r="G769" t="s">
        <v>923</v>
      </c>
      <c r="H769" t="s">
        <v>4037</v>
      </c>
      <c r="J769" t="s">
        <v>91</v>
      </c>
      <c r="K769" t="s">
        <v>91</v>
      </c>
      <c r="L769" t="s">
        <v>91</v>
      </c>
      <c r="M769" t="s">
        <v>1570</v>
      </c>
      <c r="N769" t="s">
        <v>1555</v>
      </c>
    </row>
    <row r="770" spans="1:16" ht="14.25" customHeight="1">
      <c r="A770">
        <v>769</v>
      </c>
      <c r="B770" t="s">
        <v>9</v>
      </c>
      <c r="C770" t="s">
        <v>1549</v>
      </c>
      <c r="D770" t="s">
        <v>4038</v>
      </c>
      <c r="E770" t="s">
        <v>4039</v>
      </c>
      <c r="F770">
        <v>2026</v>
      </c>
      <c r="G770" t="s">
        <v>4040</v>
      </c>
      <c r="H770" t="s">
        <v>4041</v>
      </c>
      <c r="J770" t="s">
        <v>91</v>
      </c>
      <c r="K770" t="s">
        <v>91</v>
      </c>
      <c r="L770" t="s">
        <v>91</v>
      </c>
      <c r="M770" t="s">
        <v>1593</v>
      </c>
      <c r="N770" t="s">
        <v>1588</v>
      </c>
    </row>
    <row r="771" spans="1:16" ht="14.25" customHeight="1">
      <c r="A771">
        <v>770</v>
      </c>
      <c r="B771" t="s">
        <v>9</v>
      </c>
      <c r="C771" t="s">
        <v>1549</v>
      </c>
      <c r="D771" t="s">
        <v>4042</v>
      </c>
      <c r="E771" t="s">
        <v>4043</v>
      </c>
      <c r="F771">
        <v>2026</v>
      </c>
      <c r="G771" t="s">
        <v>1085</v>
      </c>
      <c r="H771" t="s">
        <v>4044</v>
      </c>
      <c r="J771" t="s">
        <v>91</v>
      </c>
      <c r="K771" t="s">
        <v>91</v>
      </c>
      <c r="L771" t="s">
        <v>91</v>
      </c>
      <c r="M771" t="s">
        <v>1554</v>
      </c>
      <c r="N771" t="s">
        <v>1588</v>
      </c>
    </row>
    <row r="772" spans="1:16" ht="14.25" customHeight="1">
      <c r="A772" s="20">
        <v>771</v>
      </c>
      <c r="B772" s="20" t="s">
        <v>9</v>
      </c>
      <c r="C772" s="20" t="s">
        <v>1549</v>
      </c>
      <c r="D772" s="20" t="s">
        <v>1142</v>
      </c>
      <c r="E772" s="20" t="s">
        <v>1143</v>
      </c>
      <c r="F772" s="20">
        <v>2026</v>
      </c>
      <c r="G772" s="20" t="s">
        <v>1144</v>
      </c>
      <c r="H772" s="20" t="s">
        <v>1145</v>
      </c>
      <c r="I772" s="20"/>
      <c r="J772" s="20" t="s">
        <v>76</v>
      </c>
      <c r="K772" s="20" t="s">
        <v>76</v>
      </c>
      <c r="L772" s="20" t="s">
        <v>76</v>
      </c>
      <c r="M772" s="20" t="s">
        <v>1625</v>
      </c>
      <c r="N772" s="20" t="s">
        <v>1588</v>
      </c>
      <c r="O772" s="20"/>
      <c r="P772" s="20"/>
    </row>
    <row r="773" spans="1:16" ht="14.25" customHeight="1">
      <c r="A773">
        <v>772</v>
      </c>
      <c r="B773" t="s">
        <v>9</v>
      </c>
      <c r="C773" t="s">
        <v>1549</v>
      </c>
      <c r="D773" t="s">
        <v>4045</v>
      </c>
      <c r="E773" t="s">
        <v>4046</v>
      </c>
      <c r="F773">
        <v>2026</v>
      </c>
      <c r="G773" t="s">
        <v>4047</v>
      </c>
      <c r="H773" t="s">
        <v>4048</v>
      </c>
      <c r="J773" t="s">
        <v>91</v>
      </c>
      <c r="K773" t="s">
        <v>91</v>
      </c>
      <c r="L773" t="s">
        <v>91</v>
      </c>
      <c r="M773" t="s">
        <v>1601</v>
      </c>
      <c r="N773" t="s">
        <v>1588</v>
      </c>
    </row>
    <row r="774" spans="1:16" ht="14.25" customHeight="1">
      <c r="A774">
        <v>773</v>
      </c>
      <c r="B774" t="s">
        <v>9</v>
      </c>
      <c r="C774" t="s">
        <v>1549</v>
      </c>
      <c r="D774" t="s">
        <v>4049</v>
      </c>
      <c r="E774" t="s">
        <v>4050</v>
      </c>
      <c r="F774">
        <v>2026</v>
      </c>
      <c r="G774" t="s">
        <v>1098</v>
      </c>
      <c r="H774" t="s">
        <v>4051</v>
      </c>
      <c r="J774" t="s">
        <v>91</v>
      </c>
      <c r="K774" t="s">
        <v>91</v>
      </c>
      <c r="L774" t="s">
        <v>91</v>
      </c>
      <c r="M774" t="s">
        <v>1570</v>
      </c>
      <c r="N774" t="s">
        <v>1588</v>
      </c>
    </row>
    <row r="775" spans="1:16" ht="14.25" customHeight="1">
      <c r="A775">
        <v>774</v>
      </c>
      <c r="B775" t="s">
        <v>9</v>
      </c>
      <c r="C775" t="s">
        <v>1549</v>
      </c>
      <c r="D775" t="s">
        <v>4052</v>
      </c>
      <c r="E775" t="s">
        <v>4053</v>
      </c>
      <c r="F775">
        <v>2026</v>
      </c>
      <c r="G775" t="s">
        <v>923</v>
      </c>
      <c r="H775" t="s">
        <v>4054</v>
      </c>
      <c r="J775" t="s">
        <v>91</v>
      </c>
      <c r="K775" t="s">
        <v>91</v>
      </c>
      <c r="L775" t="s">
        <v>91</v>
      </c>
      <c r="M775" t="s">
        <v>1570</v>
      </c>
      <c r="N775" t="s">
        <v>1555</v>
      </c>
    </row>
    <row r="776" spans="1:16" ht="14.25" customHeight="1">
      <c r="A776">
        <v>775</v>
      </c>
      <c r="B776" t="s">
        <v>9</v>
      </c>
      <c r="C776" t="s">
        <v>1549</v>
      </c>
      <c r="D776" t="s">
        <v>4055</v>
      </c>
      <c r="E776" t="s">
        <v>4056</v>
      </c>
      <c r="F776">
        <v>2026</v>
      </c>
      <c r="G776" t="s">
        <v>4057</v>
      </c>
      <c r="H776" t="s">
        <v>4058</v>
      </c>
      <c r="J776" t="s">
        <v>91</v>
      </c>
      <c r="K776" t="s">
        <v>91</v>
      </c>
      <c r="L776" t="s">
        <v>91</v>
      </c>
      <c r="M776" t="s">
        <v>1593</v>
      </c>
      <c r="N776" t="s">
        <v>1588</v>
      </c>
    </row>
    <row r="777" spans="1:16" ht="14.25" customHeight="1">
      <c r="A777">
        <v>776</v>
      </c>
      <c r="B777" t="s">
        <v>9</v>
      </c>
      <c r="C777" t="s">
        <v>1549</v>
      </c>
      <c r="D777" t="s">
        <v>4059</v>
      </c>
      <c r="E777" t="s">
        <v>4060</v>
      </c>
      <c r="F777">
        <v>2026</v>
      </c>
      <c r="G777" t="s">
        <v>4061</v>
      </c>
      <c r="H777" t="s">
        <v>4062</v>
      </c>
      <c r="J777" t="s">
        <v>91</v>
      </c>
      <c r="K777" t="s">
        <v>91</v>
      </c>
      <c r="L777" t="s">
        <v>91</v>
      </c>
      <c r="M777" t="s">
        <v>1587</v>
      </c>
      <c r="N777" t="s">
        <v>1588</v>
      </c>
    </row>
    <row r="778" spans="1:16" ht="14.25" customHeight="1">
      <c r="A778">
        <v>777</v>
      </c>
      <c r="B778" t="s">
        <v>9</v>
      </c>
      <c r="C778" t="s">
        <v>1549</v>
      </c>
      <c r="D778" t="s">
        <v>4063</v>
      </c>
      <c r="E778" t="s">
        <v>4064</v>
      </c>
      <c r="F778">
        <v>2026</v>
      </c>
      <c r="G778" t="s">
        <v>923</v>
      </c>
      <c r="H778" t="s">
        <v>4065</v>
      </c>
      <c r="J778" t="s">
        <v>91</v>
      </c>
      <c r="K778" t="s">
        <v>91</v>
      </c>
      <c r="L778" t="s">
        <v>91</v>
      </c>
      <c r="M778" t="s">
        <v>1570</v>
      </c>
      <c r="N778" t="s">
        <v>1555</v>
      </c>
    </row>
    <row r="779" spans="1:16" ht="14.25" customHeight="1">
      <c r="A779">
        <v>778</v>
      </c>
      <c r="B779" t="s">
        <v>9</v>
      </c>
      <c r="C779" t="s">
        <v>1549</v>
      </c>
      <c r="D779" t="s">
        <v>4066</v>
      </c>
      <c r="E779" t="s">
        <v>4067</v>
      </c>
      <c r="F779">
        <v>2026</v>
      </c>
      <c r="G779" t="s">
        <v>2559</v>
      </c>
      <c r="H779" t="s">
        <v>4068</v>
      </c>
      <c r="J779" t="s">
        <v>91</v>
      </c>
      <c r="K779" t="s">
        <v>91</v>
      </c>
      <c r="L779" t="s">
        <v>91</v>
      </c>
      <c r="M779" t="s">
        <v>1587</v>
      </c>
      <c r="N779" t="s">
        <v>1588</v>
      </c>
    </row>
    <row r="780" spans="1:16" ht="14.25" customHeight="1">
      <c r="A780">
        <v>779</v>
      </c>
      <c r="B780" t="s">
        <v>9</v>
      </c>
      <c r="C780" t="s">
        <v>1549</v>
      </c>
      <c r="D780" t="s">
        <v>4069</v>
      </c>
      <c r="E780" t="s">
        <v>4070</v>
      </c>
      <c r="F780">
        <v>2026</v>
      </c>
      <c r="G780" t="s">
        <v>4071</v>
      </c>
      <c r="H780" t="s">
        <v>4072</v>
      </c>
      <c r="J780" t="s">
        <v>91</v>
      </c>
      <c r="K780" t="s">
        <v>91</v>
      </c>
      <c r="L780" t="s">
        <v>91</v>
      </c>
      <c r="M780" t="s">
        <v>1593</v>
      </c>
      <c r="N780" t="s">
        <v>1555</v>
      </c>
    </row>
    <row r="781" spans="1:16" ht="14.25" customHeight="1">
      <c r="A781">
        <v>780</v>
      </c>
      <c r="B781" t="s">
        <v>9</v>
      </c>
      <c r="C781" t="s">
        <v>1549</v>
      </c>
      <c r="D781" t="s">
        <v>4073</v>
      </c>
      <c r="E781" t="s">
        <v>4074</v>
      </c>
      <c r="F781">
        <v>2026</v>
      </c>
      <c r="G781" t="s">
        <v>2009</v>
      </c>
      <c r="H781" t="s">
        <v>4075</v>
      </c>
      <c r="J781" t="s">
        <v>91</v>
      </c>
      <c r="K781" t="s">
        <v>91</v>
      </c>
      <c r="L781" t="s">
        <v>91</v>
      </c>
      <c r="M781" t="s">
        <v>1554</v>
      </c>
      <c r="N781" t="s">
        <v>1555</v>
      </c>
    </row>
    <row r="782" spans="1:16" ht="14.25" customHeight="1">
      <c r="A782" s="20">
        <v>781</v>
      </c>
      <c r="B782" s="20" t="s">
        <v>9</v>
      </c>
      <c r="C782" s="20" t="s">
        <v>1549</v>
      </c>
      <c r="D782" s="20" t="s">
        <v>1146</v>
      </c>
      <c r="E782" s="20" t="s">
        <v>1147</v>
      </c>
      <c r="F782" s="20">
        <v>2026</v>
      </c>
      <c r="G782" s="20" t="s">
        <v>1148</v>
      </c>
      <c r="H782" s="20" t="s">
        <v>1149</v>
      </c>
      <c r="I782" s="20"/>
      <c r="J782" s="20" t="s">
        <v>76</v>
      </c>
      <c r="K782" s="20" t="s">
        <v>76</v>
      </c>
      <c r="L782" s="20" t="s">
        <v>76</v>
      </c>
      <c r="M782" s="20" t="s">
        <v>1625</v>
      </c>
      <c r="N782" s="20" t="s">
        <v>1588</v>
      </c>
      <c r="O782" s="20"/>
      <c r="P782" s="20"/>
    </row>
    <row r="783" spans="1:16" ht="14.25" customHeight="1">
      <c r="A783">
        <v>782</v>
      </c>
      <c r="B783" t="s">
        <v>9</v>
      </c>
      <c r="C783" t="s">
        <v>1549</v>
      </c>
      <c r="D783" t="s">
        <v>4076</v>
      </c>
      <c r="E783" t="s">
        <v>4077</v>
      </c>
      <c r="F783">
        <v>2026</v>
      </c>
      <c r="G783" t="s">
        <v>4078</v>
      </c>
      <c r="H783" t="s">
        <v>4079</v>
      </c>
      <c r="J783" t="s">
        <v>91</v>
      </c>
      <c r="K783" t="s">
        <v>91</v>
      </c>
      <c r="L783" t="s">
        <v>91</v>
      </c>
      <c r="M783" t="s">
        <v>1593</v>
      </c>
      <c r="N783" t="s">
        <v>1588</v>
      </c>
    </row>
    <row r="784" spans="1:16" ht="14.25" customHeight="1">
      <c r="A784">
        <v>783</v>
      </c>
      <c r="B784" t="s">
        <v>9</v>
      </c>
      <c r="C784" t="s">
        <v>1549</v>
      </c>
      <c r="D784" t="s">
        <v>4080</v>
      </c>
      <c r="E784" t="s">
        <v>4081</v>
      </c>
      <c r="F784">
        <v>2026</v>
      </c>
      <c r="G784" t="s">
        <v>3285</v>
      </c>
      <c r="H784" t="s">
        <v>4082</v>
      </c>
      <c r="J784" t="s">
        <v>91</v>
      </c>
      <c r="K784" t="s">
        <v>91</v>
      </c>
      <c r="L784" t="s">
        <v>91</v>
      </c>
      <c r="M784" t="s">
        <v>1570</v>
      </c>
      <c r="N784" t="s">
        <v>1555</v>
      </c>
    </row>
    <row r="785" spans="1:16" ht="14.25" customHeight="1">
      <c r="A785">
        <v>784</v>
      </c>
      <c r="B785" t="s">
        <v>9</v>
      </c>
      <c r="C785" t="s">
        <v>1549</v>
      </c>
      <c r="D785" t="s">
        <v>4083</v>
      </c>
      <c r="E785" t="s">
        <v>2566</v>
      </c>
      <c r="F785">
        <v>2026</v>
      </c>
      <c r="G785" t="s">
        <v>1066</v>
      </c>
      <c r="H785" t="s">
        <v>4084</v>
      </c>
      <c r="J785" t="s">
        <v>91</v>
      </c>
      <c r="K785" t="s">
        <v>91</v>
      </c>
      <c r="L785" t="s">
        <v>91</v>
      </c>
      <c r="M785" t="s">
        <v>1587</v>
      </c>
      <c r="N785" t="s">
        <v>1588</v>
      </c>
    </row>
    <row r="786" spans="1:16" ht="14.25" customHeight="1">
      <c r="A786">
        <v>785</v>
      </c>
      <c r="B786" t="s">
        <v>9</v>
      </c>
      <c r="C786" t="s">
        <v>1549</v>
      </c>
      <c r="D786" t="s">
        <v>4085</v>
      </c>
      <c r="E786" t="s">
        <v>4086</v>
      </c>
      <c r="F786">
        <v>2026</v>
      </c>
      <c r="G786" t="s">
        <v>3949</v>
      </c>
      <c r="H786" t="s">
        <v>4087</v>
      </c>
      <c r="J786" t="s">
        <v>91</v>
      </c>
      <c r="K786" t="s">
        <v>91</v>
      </c>
      <c r="L786" t="s">
        <v>91</v>
      </c>
      <c r="M786" t="s">
        <v>1570</v>
      </c>
      <c r="N786" t="s">
        <v>1588</v>
      </c>
    </row>
    <row r="787" spans="1:16" ht="14.25" customHeight="1">
      <c r="A787">
        <v>786</v>
      </c>
      <c r="B787" t="s">
        <v>9</v>
      </c>
      <c r="C787" t="s">
        <v>1549</v>
      </c>
      <c r="D787" t="s">
        <v>4088</v>
      </c>
      <c r="E787" t="s">
        <v>4089</v>
      </c>
      <c r="F787">
        <v>2026</v>
      </c>
      <c r="G787" t="s">
        <v>1121</v>
      </c>
      <c r="H787" t="s">
        <v>4090</v>
      </c>
      <c r="J787" t="s">
        <v>91</v>
      </c>
      <c r="K787" t="s">
        <v>91</v>
      </c>
      <c r="L787" t="s">
        <v>91</v>
      </c>
      <c r="M787" t="s">
        <v>1593</v>
      </c>
      <c r="N787" t="s">
        <v>1588</v>
      </c>
    </row>
    <row r="788" spans="1:16" ht="14.25" customHeight="1">
      <c r="A788" s="20">
        <v>787</v>
      </c>
      <c r="B788" s="20" t="s">
        <v>9</v>
      </c>
      <c r="C788" s="20" t="s">
        <v>1549</v>
      </c>
      <c r="D788" s="20" t="s">
        <v>1150</v>
      </c>
      <c r="E788" s="20" t="s">
        <v>1151</v>
      </c>
      <c r="F788" s="20">
        <v>2026</v>
      </c>
      <c r="G788" s="20" t="s">
        <v>1152</v>
      </c>
      <c r="H788" s="20" t="s">
        <v>1153</v>
      </c>
      <c r="I788" s="20"/>
      <c r="J788" s="20" t="s">
        <v>76</v>
      </c>
      <c r="K788" s="20" t="s">
        <v>76</v>
      </c>
      <c r="L788" s="20" t="s">
        <v>76</v>
      </c>
      <c r="M788" s="20" t="s">
        <v>1625</v>
      </c>
      <c r="N788" s="20" t="s">
        <v>1555</v>
      </c>
      <c r="O788" s="20"/>
      <c r="P788" s="20"/>
    </row>
    <row r="789" spans="1:16" ht="14.25" customHeight="1">
      <c r="A789">
        <v>788</v>
      </c>
      <c r="B789" t="s">
        <v>9</v>
      </c>
      <c r="C789" t="s">
        <v>1549</v>
      </c>
      <c r="D789" t="s">
        <v>4091</v>
      </c>
      <c r="E789" t="s">
        <v>4092</v>
      </c>
      <c r="F789">
        <v>2026</v>
      </c>
      <c r="G789" t="s">
        <v>4093</v>
      </c>
      <c r="H789" t="s">
        <v>4094</v>
      </c>
      <c r="J789" t="s">
        <v>91</v>
      </c>
      <c r="K789" t="s">
        <v>91</v>
      </c>
      <c r="L789" t="s">
        <v>91</v>
      </c>
      <c r="M789" t="s">
        <v>1570</v>
      </c>
      <c r="N789" t="s">
        <v>1588</v>
      </c>
    </row>
    <row r="790" spans="1:16" ht="14.25" customHeight="1">
      <c r="A790">
        <v>789</v>
      </c>
      <c r="B790" t="s">
        <v>9</v>
      </c>
      <c r="C790" t="s">
        <v>1549</v>
      </c>
      <c r="D790" t="s">
        <v>4095</v>
      </c>
      <c r="E790" t="s">
        <v>4096</v>
      </c>
      <c r="F790">
        <v>2026</v>
      </c>
      <c r="G790" t="s">
        <v>1019</v>
      </c>
      <c r="H790" t="s">
        <v>4097</v>
      </c>
      <c r="J790" t="s">
        <v>91</v>
      </c>
      <c r="K790" t="s">
        <v>91</v>
      </c>
      <c r="L790" t="s">
        <v>91</v>
      </c>
      <c r="M790" t="s">
        <v>1593</v>
      </c>
      <c r="N790" t="s">
        <v>1555</v>
      </c>
    </row>
    <row r="791" spans="1:16" ht="14.25" customHeight="1">
      <c r="A791" s="20">
        <v>790</v>
      </c>
      <c r="B791" s="20" t="s">
        <v>9</v>
      </c>
      <c r="C791" s="20" t="s">
        <v>1549</v>
      </c>
      <c r="D791" s="20" t="s">
        <v>1154</v>
      </c>
      <c r="E791" s="20" t="s">
        <v>1155</v>
      </c>
      <c r="F791" s="20">
        <v>2026</v>
      </c>
      <c r="G791" s="20" t="s">
        <v>1156</v>
      </c>
      <c r="H791" s="20" t="s">
        <v>1157</v>
      </c>
      <c r="I791" s="20"/>
      <c r="J791" s="20" t="s">
        <v>76</v>
      </c>
      <c r="K791" s="20" t="s">
        <v>76</v>
      </c>
      <c r="L791" s="20" t="s">
        <v>76</v>
      </c>
      <c r="M791" s="20" t="s">
        <v>1625</v>
      </c>
      <c r="N791" s="20" t="s">
        <v>1588</v>
      </c>
      <c r="O791" s="20"/>
      <c r="P791" s="20"/>
    </row>
    <row r="792" spans="1:16" ht="14.25" customHeight="1">
      <c r="A792">
        <v>791</v>
      </c>
      <c r="B792" t="s">
        <v>9</v>
      </c>
      <c r="C792" t="s">
        <v>1549</v>
      </c>
      <c r="D792" t="s">
        <v>4098</v>
      </c>
      <c r="E792" t="s">
        <v>4099</v>
      </c>
      <c r="F792">
        <v>2026</v>
      </c>
      <c r="G792" t="s">
        <v>1098</v>
      </c>
      <c r="H792" t="s">
        <v>4100</v>
      </c>
      <c r="J792" t="s">
        <v>91</v>
      </c>
      <c r="K792" t="s">
        <v>91</v>
      </c>
      <c r="L792" t="s">
        <v>91</v>
      </c>
      <c r="M792" t="s">
        <v>1570</v>
      </c>
      <c r="N792" t="s">
        <v>1588</v>
      </c>
    </row>
    <row r="793" spans="1:16" ht="14.25" customHeight="1">
      <c r="A793">
        <v>792</v>
      </c>
      <c r="B793" t="s">
        <v>9</v>
      </c>
      <c r="C793" t="s">
        <v>1549</v>
      </c>
      <c r="D793" t="s">
        <v>4101</v>
      </c>
      <c r="E793" t="s">
        <v>4102</v>
      </c>
      <c r="F793">
        <v>2026</v>
      </c>
      <c r="G793" t="s">
        <v>1573</v>
      </c>
      <c r="H793" t="s">
        <v>4103</v>
      </c>
      <c r="J793" t="s">
        <v>91</v>
      </c>
      <c r="K793" t="s">
        <v>91</v>
      </c>
      <c r="L793" t="s">
        <v>91</v>
      </c>
      <c r="M793" t="s">
        <v>1554</v>
      </c>
      <c r="N793" t="s">
        <v>1555</v>
      </c>
    </row>
    <row r="794" spans="1:16" ht="14.25" customHeight="1">
      <c r="A794">
        <v>793</v>
      </c>
      <c r="B794" t="s">
        <v>9</v>
      </c>
      <c r="C794" t="s">
        <v>1549</v>
      </c>
      <c r="D794" t="s">
        <v>4104</v>
      </c>
      <c r="E794" t="s">
        <v>4105</v>
      </c>
      <c r="F794">
        <v>2026</v>
      </c>
      <c r="G794" t="s">
        <v>2009</v>
      </c>
      <c r="H794" t="s">
        <v>4106</v>
      </c>
      <c r="J794" t="s">
        <v>91</v>
      </c>
      <c r="K794" t="s">
        <v>91</v>
      </c>
      <c r="L794" t="s">
        <v>91</v>
      </c>
      <c r="M794" t="s">
        <v>1570</v>
      </c>
      <c r="N794" t="s">
        <v>1555</v>
      </c>
    </row>
    <row r="795" spans="1:16" ht="14.25" customHeight="1">
      <c r="A795">
        <v>794</v>
      </c>
      <c r="B795" t="s">
        <v>9</v>
      </c>
      <c r="C795" t="s">
        <v>1549</v>
      </c>
      <c r="D795" t="s">
        <v>4107</v>
      </c>
      <c r="E795" t="s">
        <v>4108</v>
      </c>
      <c r="F795">
        <v>2026</v>
      </c>
      <c r="G795" t="s">
        <v>920</v>
      </c>
      <c r="H795" t="s">
        <v>4109</v>
      </c>
      <c r="J795" t="s">
        <v>91</v>
      </c>
      <c r="K795" t="s">
        <v>91</v>
      </c>
      <c r="L795" t="s">
        <v>91</v>
      </c>
      <c r="M795" t="s">
        <v>1587</v>
      </c>
      <c r="N795" t="s">
        <v>1555</v>
      </c>
    </row>
    <row r="796" spans="1:16" ht="14.25" customHeight="1">
      <c r="A796">
        <v>795</v>
      </c>
      <c r="B796" t="s">
        <v>9</v>
      </c>
      <c r="C796" t="s">
        <v>1549</v>
      </c>
      <c r="D796" t="s">
        <v>4110</v>
      </c>
      <c r="E796" t="s">
        <v>4111</v>
      </c>
      <c r="F796">
        <v>2026</v>
      </c>
      <c r="G796" t="s">
        <v>3547</v>
      </c>
      <c r="H796" t="s">
        <v>4112</v>
      </c>
      <c r="J796" t="s">
        <v>91</v>
      </c>
      <c r="K796" t="s">
        <v>91</v>
      </c>
      <c r="L796" t="s">
        <v>91</v>
      </c>
      <c r="M796" t="s">
        <v>1587</v>
      </c>
      <c r="N796" t="s">
        <v>1588</v>
      </c>
    </row>
    <row r="797" spans="1:16" ht="14.25" customHeight="1">
      <c r="A797">
        <v>796</v>
      </c>
      <c r="B797" t="s">
        <v>9</v>
      </c>
      <c r="C797" t="s">
        <v>1549</v>
      </c>
      <c r="D797" t="s">
        <v>4113</v>
      </c>
      <c r="E797" t="s">
        <v>4114</v>
      </c>
      <c r="F797">
        <v>2026</v>
      </c>
      <c r="G797" t="s">
        <v>4115</v>
      </c>
      <c r="H797" t="s">
        <v>4116</v>
      </c>
      <c r="J797" t="s">
        <v>91</v>
      </c>
      <c r="K797" t="s">
        <v>91</v>
      </c>
      <c r="L797" t="s">
        <v>91</v>
      </c>
      <c r="M797" t="s">
        <v>1593</v>
      </c>
      <c r="N797" t="s">
        <v>1555</v>
      </c>
    </row>
    <row r="798" spans="1:16" ht="14.25" customHeight="1">
      <c r="A798" s="20">
        <v>797</v>
      </c>
      <c r="B798" s="20" t="s">
        <v>9</v>
      </c>
      <c r="C798" s="20" t="s">
        <v>1549</v>
      </c>
      <c r="D798" s="20" t="s">
        <v>1158</v>
      </c>
      <c r="E798" s="20" t="s">
        <v>1159</v>
      </c>
      <c r="F798" s="20">
        <v>2026</v>
      </c>
      <c r="G798" s="20" t="s">
        <v>923</v>
      </c>
      <c r="H798" s="20" t="s">
        <v>1160</v>
      </c>
      <c r="I798" s="20"/>
      <c r="J798" s="20" t="s">
        <v>76</v>
      </c>
      <c r="K798" s="20" t="s">
        <v>76</v>
      </c>
      <c r="L798" s="20" t="s">
        <v>76</v>
      </c>
      <c r="M798" s="20" t="s">
        <v>1625</v>
      </c>
      <c r="N798" s="20" t="s">
        <v>1555</v>
      </c>
      <c r="O798" s="20"/>
      <c r="P798" s="20"/>
    </row>
    <row r="799" spans="1:16" ht="14.25" customHeight="1">
      <c r="A799">
        <v>798</v>
      </c>
      <c r="B799" t="s">
        <v>9</v>
      </c>
      <c r="C799" t="s">
        <v>1549</v>
      </c>
      <c r="D799" t="s">
        <v>4117</v>
      </c>
      <c r="E799" t="s">
        <v>4118</v>
      </c>
      <c r="F799">
        <v>2026</v>
      </c>
      <c r="G799" t="s">
        <v>4119</v>
      </c>
      <c r="H799" t="s">
        <v>4120</v>
      </c>
      <c r="J799" t="s">
        <v>91</v>
      </c>
      <c r="K799" t="s">
        <v>91</v>
      </c>
      <c r="L799" t="s">
        <v>91</v>
      </c>
      <c r="M799" t="s">
        <v>1587</v>
      </c>
      <c r="N799" t="s">
        <v>1588</v>
      </c>
    </row>
    <row r="800" spans="1:16" ht="14.25" customHeight="1">
      <c r="A800">
        <v>799</v>
      </c>
      <c r="B800" t="s">
        <v>9</v>
      </c>
      <c r="C800" t="s">
        <v>1549</v>
      </c>
      <c r="D800" t="s">
        <v>4121</v>
      </c>
      <c r="E800" t="s">
        <v>4122</v>
      </c>
      <c r="F800">
        <v>2026</v>
      </c>
      <c r="G800" t="s">
        <v>1019</v>
      </c>
      <c r="H800" t="s">
        <v>4123</v>
      </c>
      <c r="J800" t="s">
        <v>91</v>
      </c>
      <c r="K800" t="s">
        <v>91</v>
      </c>
      <c r="L800" t="s">
        <v>91</v>
      </c>
      <c r="M800" t="s">
        <v>1570</v>
      </c>
      <c r="N800" t="s">
        <v>1555</v>
      </c>
    </row>
    <row r="801" spans="1:16" ht="14.25" customHeight="1">
      <c r="A801">
        <v>800</v>
      </c>
      <c r="B801" t="s">
        <v>9</v>
      </c>
      <c r="C801" t="s">
        <v>1549</v>
      </c>
      <c r="D801" t="s">
        <v>4124</v>
      </c>
      <c r="E801" t="s">
        <v>4125</v>
      </c>
      <c r="F801">
        <v>2026</v>
      </c>
      <c r="G801" t="s">
        <v>1117</v>
      </c>
      <c r="H801" t="s">
        <v>4126</v>
      </c>
      <c r="J801" t="s">
        <v>91</v>
      </c>
      <c r="K801" t="s">
        <v>91</v>
      </c>
      <c r="L801" t="s">
        <v>91</v>
      </c>
      <c r="M801" t="s">
        <v>1587</v>
      </c>
      <c r="N801" t="s">
        <v>1588</v>
      </c>
    </row>
    <row r="802" spans="1:16" ht="14.25" customHeight="1">
      <c r="A802">
        <v>801</v>
      </c>
      <c r="B802" t="s">
        <v>9</v>
      </c>
      <c r="C802" t="s">
        <v>1549</v>
      </c>
      <c r="D802" t="s">
        <v>4127</v>
      </c>
      <c r="E802" t="s">
        <v>4128</v>
      </c>
      <c r="F802">
        <v>2026</v>
      </c>
      <c r="G802" t="s">
        <v>1117</v>
      </c>
      <c r="H802" t="s">
        <v>4129</v>
      </c>
      <c r="J802" t="s">
        <v>91</v>
      </c>
      <c r="K802" t="s">
        <v>91</v>
      </c>
      <c r="L802" t="s">
        <v>91</v>
      </c>
      <c r="M802" t="s">
        <v>1570</v>
      </c>
      <c r="N802" t="s">
        <v>1588</v>
      </c>
    </row>
    <row r="803" spans="1:16" ht="14.25" customHeight="1">
      <c r="A803">
        <v>802</v>
      </c>
      <c r="B803" t="s">
        <v>9</v>
      </c>
      <c r="C803" t="s">
        <v>1549</v>
      </c>
      <c r="D803" t="s">
        <v>4130</v>
      </c>
      <c r="E803" t="s">
        <v>2655</v>
      </c>
      <c r="F803">
        <v>2026</v>
      </c>
      <c r="G803" t="s">
        <v>1091</v>
      </c>
      <c r="H803" t="s">
        <v>4131</v>
      </c>
      <c r="J803" t="s">
        <v>91</v>
      </c>
      <c r="K803" t="s">
        <v>91</v>
      </c>
      <c r="L803" t="s">
        <v>91</v>
      </c>
      <c r="M803" t="s">
        <v>1570</v>
      </c>
      <c r="N803" t="s">
        <v>1588</v>
      </c>
    </row>
    <row r="804" spans="1:16" ht="14.25" customHeight="1">
      <c r="A804">
        <v>803</v>
      </c>
      <c r="B804" t="s">
        <v>9</v>
      </c>
      <c r="C804" t="s">
        <v>1549</v>
      </c>
      <c r="D804" t="s">
        <v>4132</v>
      </c>
      <c r="E804" t="s">
        <v>4133</v>
      </c>
      <c r="F804">
        <v>2026</v>
      </c>
      <c r="G804" t="s">
        <v>1121</v>
      </c>
      <c r="H804" t="s">
        <v>4134</v>
      </c>
      <c r="J804" t="s">
        <v>91</v>
      </c>
      <c r="K804" t="s">
        <v>91</v>
      </c>
      <c r="L804" t="s">
        <v>91</v>
      </c>
      <c r="M804" t="s">
        <v>1587</v>
      </c>
      <c r="N804" t="s">
        <v>1588</v>
      </c>
    </row>
    <row r="805" spans="1:16" ht="14.25" customHeight="1">
      <c r="A805">
        <v>804</v>
      </c>
      <c r="B805" t="s">
        <v>9</v>
      </c>
      <c r="C805" t="s">
        <v>1549</v>
      </c>
      <c r="D805" t="s">
        <v>4135</v>
      </c>
      <c r="E805" t="s">
        <v>4136</v>
      </c>
      <c r="F805">
        <v>2026</v>
      </c>
      <c r="G805" t="s">
        <v>1121</v>
      </c>
      <c r="H805" t="s">
        <v>4137</v>
      </c>
      <c r="J805" t="s">
        <v>91</v>
      </c>
      <c r="K805" t="s">
        <v>91</v>
      </c>
      <c r="L805" t="s">
        <v>91</v>
      </c>
      <c r="M805" t="s">
        <v>1570</v>
      </c>
      <c r="N805" t="s">
        <v>1588</v>
      </c>
    </row>
    <row r="806" spans="1:16" ht="14.25" customHeight="1">
      <c r="A806">
        <v>805</v>
      </c>
      <c r="B806" t="s">
        <v>9</v>
      </c>
      <c r="C806" t="s">
        <v>1549</v>
      </c>
      <c r="D806" t="s">
        <v>4138</v>
      </c>
      <c r="E806" t="s">
        <v>4139</v>
      </c>
      <c r="F806">
        <v>2026</v>
      </c>
      <c r="G806" t="s">
        <v>4140</v>
      </c>
      <c r="H806" t="s">
        <v>4141</v>
      </c>
      <c r="J806" t="s">
        <v>91</v>
      </c>
      <c r="K806" t="s">
        <v>91</v>
      </c>
      <c r="L806" t="s">
        <v>91</v>
      </c>
      <c r="M806" t="s">
        <v>1587</v>
      </c>
      <c r="N806" t="s">
        <v>1588</v>
      </c>
    </row>
    <row r="807" spans="1:16" ht="14.25" customHeight="1">
      <c r="A807">
        <v>806</v>
      </c>
      <c r="B807" t="s">
        <v>9</v>
      </c>
      <c r="C807" t="s">
        <v>1549</v>
      </c>
      <c r="D807" t="s">
        <v>4142</v>
      </c>
      <c r="E807" t="s">
        <v>4143</v>
      </c>
      <c r="F807">
        <v>2026</v>
      </c>
      <c r="G807" t="s">
        <v>920</v>
      </c>
      <c r="H807" t="s">
        <v>4144</v>
      </c>
      <c r="J807" t="s">
        <v>91</v>
      </c>
      <c r="K807" t="s">
        <v>91</v>
      </c>
      <c r="L807" t="s">
        <v>91</v>
      </c>
      <c r="M807" t="s">
        <v>1554</v>
      </c>
      <c r="N807" t="s">
        <v>1555</v>
      </c>
    </row>
    <row r="808" spans="1:16" ht="14.25" customHeight="1">
      <c r="A808">
        <v>807</v>
      </c>
      <c r="B808" t="s">
        <v>9</v>
      </c>
      <c r="C808" t="s">
        <v>1549</v>
      </c>
      <c r="D808" t="s">
        <v>4145</v>
      </c>
      <c r="E808" t="s">
        <v>4146</v>
      </c>
      <c r="F808">
        <v>2026</v>
      </c>
      <c r="G808" t="s">
        <v>1721</v>
      </c>
      <c r="H808" t="s">
        <v>4147</v>
      </c>
      <c r="J808" t="s">
        <v>91</v>
      </c>
      <c r="K808" t="s">
        <v>91</v>
      </c>
      <c r="L808" t="s">
        <v>91</v>
      </c>
      <c r="M808" t="s">
        <v>1593</v>
      </c>
      <c r="N808" t="s">
        <v>1555</v>
      </c>
    </row>
    <row r="809" spans="1:16" ht="14.25" customHeight="1">
      <c r="A809">
        <v>808</v>
      </c>
      <c r="B809" t="s">
        <v>9</v>
      </c>
      <c r="C809" t="s">
        <v>1549</v>
      </c>
      <c r="D809" t="s">
        <v>4148</v>
      </c>
      <c r="E809" t="s">
        <v>4149</v>
      </c>
      <c r="F809">
        <v>2026</v>
      </c>
      <c r="G809" t="s">
        <v>1573</v>
      </c>
      <c r="H809" t="s">
        <v>4150</v>
      </c>
      <c r="J809" t="s">
        <v>91</v>
      </c>
      <c r="K809" t="s">
        <v>91</v>
      </c>
      <c r="L809" t="s">
        <v>91</v>
      </c>
      <c r="M809" t="s">
        <v>1593</v>
      </c>
      <c r="N809" t="s">
        <v>1555</v>
      </c>
    </row>
    <row r="810" spans="1:16" ht="14.25" customHeight="1">
      <c r="A810">
        <v>809</v>
      </c>
      <c r="B810" t="s">
        <v>9</v>
      </c>
      <c r="C810" t="s">
        <v>1549</v>
      </c>
      <c r="D810" t="s">
        <v>4151</v>
      </c>
      <c r="E810" t="s">
        <v>4152</v>
      </c>
      <c r="F810">
        <v>2026</v>
      </c>
      <c r="G810" t="s">
        <v>1591</v>
      </c>
      <c r="H810" t="s">
        <v>4153</v>
      </c>
      <c r="J810" t="s">
        <v>91</v>
      </c>
      <c r="K810" t="s">
        <v>91</v>
      </c>
      <c r="L810" t="s">
        <v>91</v>
      </c>
      <c r="M810" t="s">
        <v>1554</v>
      </c>
      <c r="N810" t="s">
        <v>1555</v>
      </c>
    </row>
    <row r="811" spans="1:16" ht="14.25" customHeight="1">
      <c r="A811">
        <v>810</v>
      </c>
      <c r="B811" t="s">
        <v>9</v>
      </c>
      <c r="C811" t="s">
        <v>1549</v>
      </c>
      <c r="D811" t="s">
        <v>4154</v>
      </c>
      <c r="E811" t="s">
        <v>4155</v>
      </c>
      <c r="F811">
        <v>2026</v>
      </c>
      <c r="G811" t="s">
        <v>4156</v>
      </c>
      <c r="H811" t="s">
        <v>4157</v>
      </c>
      <c r="J811" t="s">
        <v>91</v>
      </c>
      <c r="K811" t="s">
        <v>91</v>
      </c>
      <c r="L811" t="s">
        <v>91</v>
      </c>
      <c r="M811" t="s">
        <v>1570</v>
      </c>
      <c r="N811" t="s">
        <v>1588</v>
      </c>
    </row>
    <row r="812" spans="1:16" ht="14.25" customHeight="1">
      <c r="A812">
        <v>811</v>
      </c>
      <c r="B812" t="s">
        <v>9</v>
      </c>
      <c r="C812" t="s">
        <v>1549</v>
      </c>
      <c r="D812" t="s">
        <v>4158</v>
      </c>
      <c r="E812" t="s">
        <v>4159</v>
      </c>
      <c r="F812">
        <v>2026</v>
      </c>
      <c r="G812" t="s">
        <v>3719</v>
      </c>
      <c r="H812" t="s">
        <v>4160</v>
      </c>
      <c r="J812" t="s">
        <v>91</v>
      </c>
      <c r="K812" t="s">
        <v>91</v>
      </c>
      <c r="L812" t="s">
        <v>91</v>
      </c>
      <c r="M812" t="s">
        <v>1593</v>
      </c>
      <c r="N812" t="s">
        <v>1555</v>
      </c>
    </row>
    <row r="813" spans="1:16" ht="14.25" customHeight="1">
      <c r="A813">
        <v>812</v>
      </c>
      <c r="B813" t="s">
        <v>9</v>
      </c>
      <c r="C813" t="s">
        <v>1549</v>
      </c>
      <c r="D813" t="s">
        <v>4161</v>
      </c>
      <c r="E813" t="s">
        <v>4162</v>
      </c>
      <c r="F813">
        <v>2026</v>
      </c>
      <c r="G813" t="s">
        <v>4163</v>
      </c>
      <c r="H813" t="s">
        <v>4164</v>
      </c>
      <c r="J813" t="s">
        <v>91</v>
      </c>
      <c r="K813" t="s">
        <v>91</v>
      </c>
      <c r="L813" t="s">
        <v>91</v>
      </c>
      <c r="M813" t="s">
        <v>1587</v>
      </c>
      <c r="N813" t="s">
        <v>1588</v>
      </c>
    </row>
    <row r="814" spans="1:16" ht="14.25" customHeight="1">
      <c r="A814">
        <v>813</v>
      </c>
      <c r="B814" t="s">
        <v>9</v>
      </c>
      <c r="C814" t="s">
        <v>1549</v>
      </c>
      <c r="D814" t="s">
        <v>4165</v>
      </c>
      <c r="E814" t="s">
        <v>4166</v>
      </c>
      <c r="F814">
        <v>2026</v>
      </c>
      <c r="G814" t="s">
        <v>2664</v>
      </c>
      <c r="H814" t="s">
        <v>4167</v>
      </c>
      <c r="J814" t="s">
        <v>91</v>
      </c>
      <c r="K814" t="s">
        <v>91</v>
      </c>
      <c r="L814" t="s">
        <v>91</v>
      </c>
      <c r="M814" t="s">
        <v>1570</v>
      </c>
      <c r="N814" t="s">
        <v>1588</v>
      </c>
    </row>
    <row r="815" spans="1:16" ht="14.25" customHeight="1">
      <c r="A815">
        <v>814</v>
      </c>
      <c r="B815" t="s">
        <v>9</v>
      </c>
      <c r="C815" t="s">
        <v>1549</v>
      </c>
      <c r="D815" t="s">
        <v>4168</v>
      </c>
      <c r="E815" t="s">
        <v>4169</v>
      </c>
      <c r="F815">
        <v>2026</v>
      </c>
      <c r="G815" t="s">
        <v>1825</v>
      </c>
      <c r="H815" t="s">
        <v>4170</v>
      </c>
      <c r="J815" t="s">
        <v>91</v>
      </c>
      <c r="K815" t="s">
        <v>91</v>
      </c>
      <c r="L815" t="s">
        <v>91</v>
      </c>
      <c r="M815" t="s">
        <v>1570</v>
      </c>
      <c r="N815" t="s">
        <v>1555</v>
      </c>
    </row>
    <row r="816" spans="1:16" ht="14.25" customHeight="1">
      <c r="A816" s="20">
        <v>815</v>
      </c>
      <c r="B816" s="20" t="s">
        <v>9</v>
      </c>
      <c r="C816" s="20" t="s">
        <v>1549</v>
      </c>
      <c r="D816" s="20" t="s">
        <v>1161</v>
      </c>
      <c r="E816" s="20" t="s">
        <v>1162</v>
      </c>
      <c r="F816" s="20">
        <v>2026</v>
      </c>
      <c r="G816" s="20" t="s">
        <v>982</v>
      </c>
      <c r="H816" s="20" t="s">
        <v>1163</v>
      </c>
      <c r="I816" s="20"/>
      <c r="J816" s="20" t="s">
        <v>76</v>
      </c>
      <c r="K816" s="20" t="s">
        <v>76</v>
      </c>
      <c r="L816" s="20" t="s">
        <v>76</v>
      </c>
      <c r="M816" s="20" t="s">
        <v>1625</v>
      </c>
      <c r="N816" s="20" t="s">
        <v>1588</v>
      </c>
      <c r="O816" s="20"/>
      <c r="P816" s="20"/>
    </row>
    <row r="817" spans="1:14" ht="14.25" customHeight="1">
      <c r="A817">
        <v>816</v>
      </c>
      <c r="B817" t="s">
        <v>9</v>
      </c>
      <c r="C817" t="s">
        <v>1549</v>
      </c>
      <c r="D817" t="s">
        <v>4171</v>
      </c>
      <c r="E817" t="s">
        <v>4172</v>
      </c>
      <c r="F817">
        <v>2026</v>
      </c>
      <c r="G817" t="s">
        <v>4173</v>
      </c>
      <c r="H817" t="s">
        <v>4174</v>
      </c>
      <c r="J817" t="s">
        <v>91</v>
      </c>
      <c r="K817" t="s">
        <v>91</v>
      </c>
      <c r="L817" t="s">
        <v>91</v>
      </c>
      <c r="M817" t="s">
        <v>1593</v>
      </c>
      <c r="N817" t="s">
        <v>1555</v>
      </c>
    </row>
    <row r="818" spans="1:14" ht="14.25" customHeight="1">
      <c r="A818">
        <v>817</v>
      </c>
      <c r="B818" t="s">
        <v>9</v>
      </c>
      <c r="C818" t="s">
        <v>1549</v>
      </c>
      <c r="D818" t="s">
        <v>4175</v>
      </c>
      <c r="E818" t="s">
        <v>4176</v>
      </c>
      <c r="F818">
        <v>2026</v>
      </c>
      <c r="G818" t="s">
        <v>4177</v>
      </c>
      <c r="H818" t="s">
        <v>4178</v>
      </c>
      <c r="J818" t="s">
        <v>91</v>
      </c>
      <c r="K818" t="s">
        <v>91</v>
      </c>
      <c r="L818" t="s">
        <v>91</v>
      </c>
      <c r="M818" t="s">
        <v>1570</v>
      </c>
      <c r="N818" t="s">
        <v>1555</v>
      </c>
    </row>
    <row r="819" spans="1:14" ht="14.25" customHeight="1">
      <c r="A819">
        <v>818</v>
      </c>
      <c r="B819" t="s">
        <v>9</v>
      </c>
      <c r="C819" t="s">
        <v>1549</v>
      </c>
      <c r="D819" t="s">
        <v>4179</v>
      </c>
      <c r="E819" t="s">
        <v>4180</v>
      </c>
      <c r="F819">
        <v>2026</v>
      </c>
      <c r="G819" t="s">
        <v>3547</v>
      </c>
      <c r="H819" t="s">
        <v>4181</v>
      </c>
      <c r="J819" t="s">
        <v>91</v>
      </c>
      <c r="K819" t="s">
        <v>91</v>
      </c>
      <c r="L819" t="s">
        <v>91</v>
      </c>
      <c r="M819" t="s">
        <v>1587</v>
      </c>
      <c r="N819" t="s">
        <v>1588</v>
      </c>
    </row>
    <row r="820" spans="1:14" ht="14.25" customHeight="1">
      <c r="A820">
        <v>819</v>
      </c>
      <c r="B820" t="s">
        <v>9</v>
      </c>
      <c r="C820" t="s">
        <v>1549</v>
      </c>
      <c r="D820" t="s">
        <v>4182</v>
      </c>
      <c r="E820" t="s">
        <v>4183</v>
      </c>
      <c r="F820">
        <v>2026</v>
      </c>
      <c r="G820" t="s">
        <v>4184</v>
      </c>
      <c r="H820" t="s">
        <v>4185</v>
      </c>
      <c r="J820" t="s">
        <v>91</v>
      </c>
      <c r="K820" t="s">
        <v>91</v>
      </c>
      <c r="L820" t="s">
        <v>91</v>
      </c>
      <c r="M820" t="s">
        <v>1570</v>
      </c>
      <c r="N820" t="s">
        <v>1588</v>
      </c>
    </row>
    <row r="821" spans="1:14" ht="14.25" customHeight="1">
      <c r="A821">
        <v>820</v>
      </c>
      <c r="B821" t="s">
        <v>9</v>
      </c>
      <c r="C821" t="s">
        <v>1549</v>
      </c>
      <c r="D821" t="s">
        <v>4186</v>
      </c>
      <c r="E821" t="s">
        <v>4187</v>
      </c>
      <c r="F821">
        <v>2026</v>
      </c>
      <c r="G821" t="s">
        <v>2664</v>
      </c>
      <c r="H821" t="s">
        <v>4188</v>
      </c>
      <c r="J821" t="s">
        <v>91</v>
      </c>
      <c r="K821" t="s">
        <v>91</v>
      </c>
      <c r="L821" t="s">
        <v>91</v>
      </c>
      <c r="M821" t="s">
        <v>1593</v>
      </c>
      <c r="N821" t="s">
        <v>1588</v>
      </c>
    </row>
    <row r="822" spans="1:14" ht="14.25" customHeight="1">
      <c r="A822">
        <v>821</v>
      </c>
      <c r="B822" t="s">
        <v>9</v>
      </c>
      <c r="C822" t="s">
        <v>1549</v>
      </c>
      <c r="D822" t="s">
        <v>4189</v>
      </c>
      <c r="E822" t="s">
        <v>4190</v>
      </c>
      <c r="F822">
        <v>2026</v>
      </c>
      <c r="G822" t="s">
        <v>923</v>
      </c>
      <c r="H822" t="s">
        <v>4191</v>
      </c>
      <c r="J822" t="s">
        <v>91</v>
      </c>
      <c r="K822" t="s">
        <v>91</v>
      </c>
      <c r="L822" t="s">
        <v>91</v>
      </c>
      <c r="M822" t="s">
        <v>1570</v>
      </c>
      <c r="N822" t="s">
        <v>1555</v>
      </c>
    </row>
    <row r="823" spans="1:14" ht="14.25" customHeight="1">
      <c r="A823">
        <v>822</v>
      </c>
      <c r="B823" t="s">
        <v>9</v>
      </c>
      <c r="C823" t="s">
        <v>1549</v>
      </c>
      <c r="D823" t="s">
        <v>4192</v>
      </c>
      <c r="E823" t="s">
        <v>4193</v>
      </c>
      <c r="F823">
        <v>2026</v>
      </c>
      <c r="G823" t="s">
        <v>4194</v>
      </c>
      <c r="H823" t="s">
        <v>4195</v>
      </c>
      <c r="J823" t="s">
        <v>91</v>
      </c>
      <c r="K823" t="s">
        <v>91</v>
      </c>
      <c r="L823" t="s">
        <v>91</v>
      </c>
      <c r="M823" t="s">
        <v>1587</v>
      </c>
      <c r="N823" t="s">
        <v>1588</v>
      </c>
    </row>
    <row r="824" spans="1:14" ht="14.25" customHeight="1">
      <c r="A824">
        <v>823</v>
      </c>
      <c r="B824" t="s">
        <v>9</v>
      </c>
      <c r="C824" t="s">
        <v>1549</v>
      </c>
      <c r="D824" t="s">
        <v>4196</v>
      </c>
      <c r="E824" t="s">
        <v>4197</v>
      </c>
      <c r="F824">
        <v>2026</v>
      </c>
      <c r="G824" t="s">
        <v>993</v>
      </c>
      <c r="H824" t="s">
        <v>4198</v>
      </c>
      <c r="J824" t="s">
        <v>91</v>
      </c>
      <c r="K824" t="s">
        <v>91</v>
      </c>
      <c r="L824" t="s">
        <v>91</v>
      </c>
      <c r="M824" t="s">
        <v>1570</v>
      </c>
      <c r="N824" t="s">
        <v>1588</v>
      </c>
    </row>
    <row r="825" spans="1:14" ht="14.25" customHeight="1">
      <c r="A825">
        <v>824</v>
      </c>
      <c r="B825" t="s">
        <v>9</v>
      </c>
      <c r="C825" t="s">
        <v>1549</v>
      </c>
      <c r="D825" t="s">
        <v>4199</v>
      </c>
      <c r="E825" t="s">
        <v>4200</v>
      </c>
      <c r="F825">
        <v>2026</v>
      </c>
      <c r="G825" t="s">
        <v>4201</v>
      </c>
      <c r="H825" t="s">
        <v>4202</v>
      </c>
      <c r="J825" t="s">
        <v>91</v>
      </c>
      <c r="K825" t="s">
        <v>91</v>
      </c>
      <c r="L825" t="s">
        <v>91</v>
      </c>
      <c r="M825" t="s">
        <v>1570</v>
      </c>
      <c r="N825" t="s">
        <v>1588</v>
      </c>
    </row>
    <row r="826" spans="1:14" ht="14.25" customHeight="1">
      <c r="A826">
        <v>825</v>
      </c>
      <c r="B826" t="s">
        <v>9</v>
      </c>
      <c r="C826" t="s">
        <v>1549</v>
      </c>
      <c r="D826" t="s">
        <v>4203</v>
      </c>
      <c r="E826" t="s">
        <v>4204</v>
      </c>
      <c r="F826">
        <v>2026</v>
      </c>
      <c r="G826" t="s">
        <v>1066</v>
      </c>
      <c r="H826" t="s">
        <v>4205</v>
      </c>
      <c r="J826" t="s">
        <v>91</v>
      </c>
      <c r="K826" t="s">
        <v>91</v>
      </c>
      <c r="L826" t="s">
        <v>91</v>
      </c>
      <c r="M826" t="s">
        <v>1587</v>
      </c>
      <c r="N826" t="s">
        <v>1588</v>
      </c>
    </row>
    <row r="827" spans="1:14" ht="14.25" customHeight="1">
      <c r="A827">
        <v>826</v>
      </c>
      <c r="B827" t="s">
        <v>9</v>
      </c>
      <c r="C827" t="s">
        <v>1549</v>
      </c>
      <c r="D827" t="s">
        <v>4206</v>
      </c>
      <c r="E827" t="s">
        <v>4207</v>
      </c>
      <c r="F827">
        <v>2026</v>
      </c>
      <c r="G827" t="s">
        <v>4208</v>
      </c>
      <c r="H827" t="s">
        <v>4209</v>
      </c>
      <c r="J827" t="s">
        <v>91</v>
      </c>
      <c r="K827" t="s">
        <v>91</v>
      </c>
      <c r="L827" t="s">
        <v>91</v>
      </c>
      <c r="M827" t="s">
        <v>1587</v>
      </c>
      <c r="N827" t="s">
        <v>1588</v>
      </c>
    </row>
    <row r="828" spans="1:14" ht="14.25" customHeight="1">
      <c r="A828">
        <v>827</v>
      </c>
      <c r="B828" t="s">
        <v>9</v>
      </c>
      <c r="C828" t="s">
        <v>1549</v>
      </c>
      <c r="D828" t="s">
        <v>4210</v>
      </c>
      <c r="E828" t="s">
        <v>4211</v>
      </c>
      <c r="F828">
        <v>2026</v>
      </c>
      <c r="G828" t="s">
        <v>4212</v>
      </c>
      <c r="H828" t="s">
        <v>4213</v>
      </c>
      <c r="J828" t="s">
        <v>91</v>
      </c>
      <c r="K828" t="s">
        <v>91</v>
      </c>
      <c r="L828" t="s">
        <v>91</v>
      </c>
      <c r="M828" t="s">
        <v>1554</v>
      </c>
      <c r="N828" t="s">
        <v>1555</v>
      </c>
    </row>
    <row r="829" spans="1:14" ht="14.25" customHeight="1">
      <c r="A829">
        <v>828</v>
      </c>
      <c r="B829" t="s">
        <v>9</v>
      </c>
      <c r="C829" t="s">
        <v>1549</v>
      </c>
      <c r="D829" t="s">
        <v>4214</v>
      </c>
      <c r="E829" t="s">
        <v>4215</v>
      </c>
      <c r="F829">
        <v>2026</v>
      </c>
      <c r="G829" t="s">
        <v>1085</v>
      </c>
      <c r="H829" t="s">
        <v>4216</v>
      </c>
      <c r="J829" t="s">
        <v>91</v>
      </c>
      <c r="K829" t="s">
        <v>91</v>
      </c>
      <c r="L829" t="s">
        <v>91</v>
      </c>
      <c r="M829" t="s">
        <v>1570</v>
      </c>
      <c r="N829" t="s">
        <v>1588</v>
      </c>
    </row>
    <row r="830" spans="1:14" ht="14.25" customHeight="1">
      <c r="A830">
        <v>829</v>
      </c>
      <c r="B830" t="s">
        <v>9</v>
      </c>
      <c r="C830" t="s">
        <v>1549</v>
      </c>
      <c r="D830" t="s">
        <v>4217</v>
      </c>
      <c r="E830" t="s">
        <v>4218</v>
      </c>
      <c r="F830">
        <v>2026</v>
      </c>
      <c r="G830" t="s">
        <v>4219</v>
      </c>
      <c r="H830" t="s">
        <v>4220</v>
      </c>
      <c r="J830" t="s">
        <v>91</v>
      </c>
      <c r="K830" t="s">
        <v>91</v>
      </c>
      <c r="L830" t="s">
        <v>91</v>
      </c>
      <c r="M830" t="s">
        <v>1587</v>
      </c>
      <c r="N830" t="s">
        <v>1555</v>
      </c>
    </row>
    <row r="831" spans="1:14" ht="14.25" customHeight="1">
      <c r="A831">
        <v>830</v>
      </c>
      <c r="B831" t="s">
        <v>9</v>
      </c>
      <c r="C831" t="s">
        <v>1549</v>
      </c>
      <c r="D831" t="s">
        <v>4221</v>
      </c>
      <c r="E831" t="s">
        <v>4222</v>
      </c>
      <c r="F831">
        <v>2026</v>
      </c>
      <c r="G831" t="s">
        <v>923</v>
      </c>
      <c r="H831" t="s">
        <v>4223</v>
      </c>
      <c r="J831" t="s">
        <v>91</v>
      </c>
      <c r="K831" t="s">
        <v>91</v>
      </c>
      <c r="L831" t="s">
        <v>91</v>
      </c>
      <c r="M831" t="s">
        <v>1554</v>
      </c>
      <c r="N831" t="s">
        <v>1555</v>
      </c>
    </row>
    <row r="832" spans="1:14" ht="14.25" customHeight="1">
      <c r="A832">
        <v>831</v>
      </c>
      <c r="B832" t="s">
        <v>9</v>
      </c>
      <c r="C832" t="s">
        <v>1549</v>
      </c>
      <c r="D832" t="s">
        <v>4224</v>
      </c>
      <c r="E832" t="s">
        <v>4225</v>
      </c>
      <c r="F832">
        <v>2026</v>
      </c>
      <c r="G832" t="s">
        <v>1676</v>
      </c>
      <c r="H832" t="s">
        <v>4226</v>
      </c>
      <c r="J832" t="s">
        <v>91</v>
      </c>
      <c r="K832" t="s">
        <v>91</v>
      </c>
      <c r="L832" t="s">
        <v>91</v>
      </c>
      <c r="M832" t="s">
        <v>1570</v>
      </c>
      <c r="N832" t="s">
        <v>1588</v>
      </c>
    </row>
    <row r="833" spans="1:16" ht="14.25" customHeight="1">
      <c r="A833">
        <v>832</v>
      </c>
      <c r="B833" t="s">
        <v>9</v>
      </c>
      <c r="C833" t="s">
        <v>1549</v>
      </c>
      <c r="D833" t="s">
        <v>4227</v>
      </c>
      <c r="E833" t="s">
        <v>4228</v>
      </c>
      <c r="F833">
        <v>2026</v>
      </c>
      <c r="G833" t="s">
        <v>1591</v>
      </c>
      <c r="H833" t="s">
        <v>4229</v>
      </c>
      <c r="J833" t="s">
        <v>91</v>
      </c>
      <c r="K833" t="s">
        <v>91</v>
      </c>
      <c r="L833" t="s">
        <v>91</v>
      </c>
      <c r="M833" t="s">
        <v>1570</v>
      </c>
      <c r="N833" t="s">
        <v>1555</v>
      </c>
    </row>
    <row r="834" spans="1:16" ht="14.25" customHeight="1">
      <c r="A834">
        <v>833</v>
      </c>
      <c r="B834" t="s">
        <v>9</v>
      </c>
      <c r="C834" t="s">
        <v>1549</v>
      </c>
      <c r="D834" t="s">
        <v>4230</v>
      </c>
      <c r="E834" t="s">
        <v>4231</v>
      </c>
      <c r="F834">
        <v>2026</v>
      </c>
      <c r="G834" t="s">
        <v>4232</v>
      </c>
      <c r="H834" t="s">
        <v>4233</v>
      </c>
      <c r="J834" t="s">
        <v>91</v>
      </c>
      <c r="K834" t="s">
        <v>91</v>
      </c>
      <c r="L834" t="s">
        <v>91</v>
      </c>
      <c r="M834" t="s">
        <v>1570</v>
      </c>
      <c r="N834" t="s">
        <v>1588</v>
      </c>
    </row>
    <row r="835" spans="1:16" ht="14.25" customHeight="1">
      <c r="A835">
        <v>834</v>
      </c>
      <c r="B835" t="s">
        <v>9</v>
      </c>
      <c r="C835" t="s">
        <v>1549</v>
      </c>
      <c r="D835" t="s">
        <v>4234</v>
      </c>
      <c r="E835" t="s">
        <v>4235</v>
      </c>
      <c r="F835">
        <v>2026</v>
      </c>
      <c r="G835" t="s">
        <v>4236</v>
      </c>
      <c r="H835" t="s">
        <v>4237</v>
      </c>
      <c r="J835" t="s">
        <v>91</v>
      </c>
      <c r="K835" t="s">
        <v>91</v>
      </c>
      <c r="L835" t="s">
        <v>91</v>
      </c>
      <c r="M835" t="s">
        <v>1570</v>
      </c>
      <c r="N835" t="s">
        <v>1588</v>
      </c>
    </row>
    <row r="836" spans="1:16" ht="14.25" customHeight="1">
      <c r="A836">
        <v>835</v>
      </c>
      <c r="B836" t="s">
        <v>9</v>
      </c>
      <c r="C836" t="s">
        <v>1549</v>
      </c>
      <c r="D836" t="s">
        <v>4238</v>
      </c>
      <c r="E836" t="s">
        <v>4239</v>
      </c>
      <c r="F836">
        <v>2026</v>
      </c>
      <c r="G836" t="s">
        <v>4240</v>
      </c>
      <c r="H836" t="s">
        <v>4241</v>
      </c>
      <c r="J836" t="s">
        <v>91</v>
      </c>
      <c r="K836" t="s">
        <v>91</v>
      </c>
      <c r="L836" t="s">
        <v>91</v>
      </c>
      <c r="M836" t="s">
        <v>1570</v>
      </c>
      <c r="N836" t="s">
        <v>1588</v>
      </c>
    </row>
    <row r="837" spans="1:16" ht="14.25" customHeight="1">
      <c r="A837">
        <v>836</v>
      </c>
      <c r="B837" t="s">
        <v>9</v>
      </c>
      <c r="C837" t="s">
        <v>1549</v>
      </c>
      <c r="D837" t="s">
        <v>4242</v>
      </c>
      <c r="E837" t="s">
        <v>4243</v>
      </c>
      <c r="F837">
        <v>2026</v>
      </c>
      <c r="G837" t="s">
        <v>4244</v>
      </c>
      <c r="H837" t="s">
        <v>4245</v>
      </c>
      <c r="J837" t="s">
        <v>91</v>
      </c>
      <c r="K837" t="s">
        <v>91</v>
      </c>
      <c r="L837" t="s">
        <v>91</v>
      </c>
      <c r="M837" t="s">
        <v>1593</v>
      </c>
      <c r="N837" t="s">
        <v>1588</v>
      </c>
    </row>
    <row r="838" spans="1:16" ht="14.25" customHeight="1">
      <c r="A838">
        <v>837</v>
      </c>
      <c r="B838" t="s">
        <v>9</v>
      </c>
      <c r="C838" t="s">
        <v>1549</v>
      </c>
      <c r="D838" t="s">
        <v>4246</v>
      </c>
      <c r="E838" t="s">
        <v>4247</v>
      </c>
      <c r="F838">
        <v>2026</v>
      </c>
      <c r="G838" t="s">
        <v>2190</v>
      </c>
      <c r="H838" t="s">
        <v>4248</v>
      </c>
      <c r="J838" t="s">
        <v>91</v>
      </c>
      <c r="K838" t="s">
        <v>91</v>
      </c>
      <c r="L838" t="s">
        <v>91</v>
      </c>
      <c r="M838" t="s">
        <v>1593</v>
      </c>
      <c r="N838" t="s">
        <v>1555</v>
      </c>
    </row>
    <row r="839" spans="1:16" ht="14.25" customHeight="1">
      <c r="A839">
        <v>838</v>
      </c>
      <c r="B839" t="s">
        <v>9</v>
      </c>
      <c r="C839" t="s">
        <v>1549</v>
      </c>
      <c r="D839" t="s">
        <v>4249</v>
      </c>
      <c r="E839" t="s">
        <v>4250</v>
      </c>
      <c r="F839">
        <v>2026</v>
      </c>
      <c r="G839" t="s">
        <v>4251</v>
      </c>
      <c r="H839" t="s">
        <v>4252</v>
      </c>
      <c r="J839" t="s">
        <v>91</v>
      </c>
      <c r="K839" t="s">
        <v>91</v>
      </c>
      <c r="L839" t="s">
        <v>91</v>
      </c>
      <c r="M839" t="s">
        <v>1570</v>
      </c>
      <c r="N839" t="s">
        <v>1588</v>
      </c>
    </row>
    <row r="840" spans="1:16" ht="14.25" customHeight="1">
      <c r="A840">
        <v>839</v>
      </c>
      <c r="B840" t="s">
        <v>9</v>
      </c>
      <c r="C840" t="s">
        <v>1549</v>
      </c>
      <c r="D840" t="s">
        <v>4253</v>
      </c>
      <c r="E840" t="s">
        <v>4254</v>
      </c>
      <c r="F840">
        <v>2026</v>
      </c>
      <c r="G840" t="s">
        <v>1098</v>
      </c>
      <c r="H840" t="s">
        <v>4255</v>
      </c>
      <c r="J840" t="s">
        <v>91</v>
      </c>
      <c r="K840" t="s">
        <v>91</v>
      </c>
      <c r="L840" t="s">
        <v>91</v>
      </c>
      <c r="M840" t="s">
        <v>1570</v>
      </c>
      <c r="N840" t="s">
        <v>1588</v>
      </c>
    </row>
    <row r="841" spans="1:16" ht="14.25" customHeight="1">
      <c r="A841">
        <v>840</v>
      </c>
      <c r="B841" t="s">
        <v>9</v>
      </c>
      <c r="C841" t="s">
        <v>1549</v>
      </c>
      <c r="D841" t="s">
        <v>4256</v>
      </c>
      <c r="E841" t="s">
        <v>4257</v>
      </c>
      <c r="F841">
        <v>2026</v>
      </c>
      <c r="G841" t="s">
        <v>986</v>
      </c>
      <c r="H841" t="s">
        <v>4258</v>
      </c>
      <c r="J841" t="s">
        <v>91</v>
      </c>
      <c r="K841" t="s">
        <v>91</v>
      </c>
      <c r="L841" t="s">
        <v>91</v>
      </c>
      <c r="M841" t="s">
        <v>1570</v>
      </c>
      <c r="N841" t="s">
        <v>1555</v>
      </c>
    </row>
    <row r="842" spans="1:16" ht="14.25" customHeight="1">
      <c r="A842">
        <v>841</v>
      </c>
      <c r="B842" t="s">
        <v>9</v>
      </c>
      <c r="C842" t="s">
        <v>1549</v>
      </c>
      <c r="D842" t="s">
        <v>4259</v>
      </c>
      <c r="E842" t="s">
        <v>4260</v>
      </c>
      <c r="F842">
        <v>2026</v>
      </c>
      <c r="G842" t="s">
        <v>4261</v>
      </c>
      <c r="H842" t="s">
        <v>4262</v>
      </c>
      <c r="J842" t="s">
        <v>91</v>
      </c>
      <c r="K842" t="s">
        <v>91</v>
      </c>
      <c r="L842" t="s">
        <v>91</v>
      </c>
      <c r="M842" t="s">
        <v>1570</v>
      </c>
      <c r="N842" t="s">
        <v>1555</v>
      </c>
    </row>
    <row r="843" spans="1:16" ht="14.25" customHeight="1">
      <c r="A843">
        <v>842</v>
      </c>
      <c r="B843" t="s">
        <v>9</v>
      </c>
      <c r="C843" t="s">
        <v>1549</v>
      </c>
      <c r="D843" t="s">
        <v>4263</v>
      </c>
      <c r="E843" t="s">
        <v>4264</v>
      </c>
      <c r="F843">
        <v>2026</v>
      </c>
      <c r="G843" t="s">
        <v>1140</v>
      </c>
      <c r="H843" t="s">
        <v>4265</v>
      </c>
      <c r="J843" t="s">
        <v>91</v>
      </c>
      <c r="K843" t="s">
        <v>91</v>
      </c>
      <c r="L843" t="s">
        <v>91</v>
      </c>
      <c r="M843" t="s">
        <v>1570</v>
      </c>
      <c r="N843" t="s">
        <v>1588</v>
      </c>
    </row>
    <row r="844" spans="1:16" ht="14.25" customHeight="1">
      <c r="A844">
        <v>843</v>
      </c>
      <c r="B844" t="s">
        <v>9</v>
      </c>
      <c r="C844" t="s">
        <v>1549</v>
      </c>
      <c r="D844" t="s">
        <v>4266</v>
      </c>
      <c r="E844" t="s">
        <v>4267</v>
      </c>
      <c r="F844">
        <v>2026</v>
      </c>
      <c r="G844" t="s">
        <v>4268</v>
      </c>
      <c r="H844" t="s">
        <v>4269</v>
      </c>
      <c r="J844" t="s">
        <v>91</v>
      </c>
      <c r="K844" t="s">
        <v>91</v>
      </c>
      <c r="L844" t="s">
        <v>91</v>
      </c>
      <c r="M844" t="s">
        <v>1570</v>
      </c>
      <c r="N844" t="s">
        <v>1588</v>
      </c>
    </row>
    <row r="845" spans="1:16" ht="14.25" customHeight="1">
      <c r="A845">
        <v>844</v>
      </c>
      <c r="B845" t="s">
        <v>9</v>
      </c>
      <c r="C845" t="s">
        <v>1549</v>
      </c>
      <c r="D845" t="s">
        <v>4270</v>
      </c>
      <c r="E845" t="s">
        <v>4271</v>
      </c>
      <c r="F845">
        <v>2026</v>
      </c>
      <c r="G845" t="s">
        <v>4272</v>
      </c>
      <c r="H845" t="s">
        <v>4273</v>
      </c>
      <c r="J845" t="s">
        <v>91</v>
      </c>
      <c r="K845" t="s">
        <v>91</v>
      </c>
      <c r="L845" t="s">
        <v>91</v>
      </c>
      <c r="M845" t="s">
        <v>1570</v>
      </c>
      <c r="N845" t="s">
        <v>1555</v>
      </c>
    </row>
    <row r="846" spans="1:16" ht="14.25" customHeight="1">
      <c r="A846" s="20">
        <v>845</v>
      </c>
      <c r="B846" s="20" t="s">
        <v>9</v>
      </c>
      <c r="C846" s="20" t="s">
        <v>1549</v>
      </c>
      <c r="D846" s="20" t="s">
        <v>1164</v>
      </c>
      <c r="E846" s="20" t="s">
        <v>1165</v>
      </c>
      <c r="F846" s="20">
        <v>2026</v>
      </c>
      <c r="G846" s="20" t="s">
        <v>1166</v>
      </c>
      <c r="H846" s="20" t="s">
        <v>1167</v>
      </c>
      <c r="I846" s="20"/>
      <c r="J846" s="20" t="s">
        <v>76</v>
      </c>
      <c r="K846" s="20" t="s">
        <v>76</v>
      </c>
      <c r="L846" s="20" t="s">
        <v>76</v>
      </c>
      <c r="M846" s="20" t="s">
        <v>1625</v>
      </c>
      <c r="N846" s="20" t="s">
        <v>1588</v>
      </c>
      <c r="O846" s="20"/>
      <c r="P846" s="20"/>
    </row>
    <row r="847" spans="1:16" ht="14.25" customHeight="1">
      <c r="A847">
        <v>846</v>
      </c>
      <c r="B847" t="s">
        <v>9</v>
      </c>
      <c r="C847" t="s">
        <v>1549</v>
      </c>
      <c r="D847" t="s">
        <v>4274</v>
      </c>
      <c r="E847" t="s">
        <v>4275</v>
      </c>
      <c r="F847">
        <v>2026</v>
      </c>
      <c r="G847" t="s">
        <v>3991</v>
      </c>
      <c r="H847" t="s">
        <v>4276</v>
      </c>
      <c r="J847" t="s">
        <v>91</v>
      </c>
      <c r="K847" t="s">
        <v>91</v>
      </c>
      <c r="L847" t="s">
        <v>91</v>
      </c>
      <c r="M847" t="s">
        <v>1570</v>
      </c>
      <c r="N847" t="s">
        <v>1588</v>
      </c>
    </row>
    <row r="848" spans="1:16" ht="14.25" customHeight="1">
      <c r="A848">
        <v>847</v>
      </c>
      <c r="B848" t="s">
        <v>9</v>
      </c>
      <c r="C848" t="s">
        <v>1549</v>
      </c>
      <c r="D848" t="s">
        <v>4277</v>
      </c>
      <c r="E848" t="s">
        <v>4278</v>
      </c>
      <c r="F848">
        <v>2026</v>
      </c>
      <c r="G848" t="s">
        <v>1899</v>
      </c>
      <c r="H848" t="s">
        <v>4279</v>
      </c>
      <c r="J848" t="s">
        <v>91</v>
      </c>
      <c r="K848" t="s">
        <v>91</v>
      </c>
      <c r="L848" t="s">
        <v>91</v>
      </c>
      <c r="M848" t="s">
        <v>1554</v>
      </c>
      <c r="N848" t="s">
        <v>1555</v>
      </c>
    </row>
    <row r="849" spans="1:14" ht="14.25" customHeight="1">
      <c r="A849">
        <v>848</v>
      </c>
      <c r="B849" t="s">
        <v>9</v>
      </c>
      <c r="C849" t="s">
        <v>1549</v>
      </c>
      <c r="D849" t="s">
        <v>4280</v>
      </c>
      <c r="E849" t="s">
        <v>4281</v>
      </c>
      <c r="F849">
        <v>2026</v>
      </c>
      <c r="G849" t="s">
        <v>4282</v>
      </c>
      <c r="H849" t="s">
        <v>4283</v>
      </c>
      <c r="J849" t="s">
        <v>91</v>
      </c>
      <c r="K849" t="s">
        <v>91</v>
      </c>
      <c r="L849" t="s">
        <v>91</v>
      </c>
      <c r="M849" t="s">
        <v>1570</v>
      </c>
      <c r="N849" t="s">
        <v>1588</v>
      </c>
    </row>
    <row r="850" spans="1:14" ht="14.25" customHeight="1">
      <c r="A850">
        <v>849</v>
      </c>
      <c r="B850" t="s">
        <v>9</v>
      </c>
      <c r="C850" t="s">
        <v>1549</v>
      </c>
      <c r="D850" t="s">
        <v>4284</v>
      </c>
      <c r="E850" t="s">
        <v>4285</v>
      </c>
      <c r="F850">
        <v>2026</v>
      </c>
      <c r="G850" t="s">
        <v>982</v>
      </c>
      <c r="H850" t="s">
        <v>4286</v>
      </c>
      <c r="J850" t="s">
        <v>91</v>
      </c>
      <c r="K850" t="s">
        <v>91</v>
      </c>
      <c r="L850" t="s">
        <v>91</v>
      </c>
      <c r="M850" t="s">
        <v>1593</v>
      </c>
      <c r="N850" t="s">
        <v>1588</v>
      </c>
    </row>
    <row r="851" spans="1:14" ht="14.25" customHeight="1">
      <c r="A851">
        <v>850</v>
      </c>
      <c r="B851" t="s">
        <v>9</v>
      </c>
      <c r="C851" t="s">
        <v>1549</v>
      </c>
      <c r="D851" t="s">
        <v>4287</v>
      </c>
      <c r="E851" t="s">
        <v>4288</v>
      </c>
      <c r="F851">
        <v>2026</v>
      </c>
      <c r="G851" t="s">
        <v>1755</v>
      </c>
      <c r="H851" t="s">
        <v>4289</v>
      </c>
      <c r="J851" t="s">
        <v>91</v>
      </c>
      <c r="K851" t="s">
        <v>91</v>
      </c>
      <c r="L851" t="s">
        <v>91</v>
      </c>
      <c r="M851" t="s">
        <v>1570</v>
      </c>
      <c r="N851" t="s">
        <v>1555</v>
      </c>
    </row>
    <row r="852" spans="1:14" ht="14.25" customHeight="1">
      <c r="A852">
        <v>851</v>
      </c>
      <c r="B852" t="s">
        <v>9</v>
      </c>
      <c r="C852" t="s">
        <v>1549</v>
      </c>
      <c r="D852" t="s">
        <v>4290</v>
      </c>
      <c r="E852" t="s">
        <v>4291</v>
      </c>
      <c r="F852">
        <v>2026</v>
      </c>
      <c r="G852" t="s">
        <v>4292</v>
      </c>
      <c r="H852" t="s">
        <v>4293</v>
      </c>
      <c r="J852" t="s">
        <v>91</v>
      </c>
      <c r="K852" t="s">
        <v>91</v>
      </c>
      <c r="L852" t="s">
        <v>91</v>
      </c>
      <c r="M852" t="s">
        <v>1587</v>
      </c>
      <c r="N852" t="s">
        <v>1555</v>
      </c>
    </row>
    <row r="853" spans="1:14" ht="14.25" customHeight="1">
      <c r="A853">
        <v>852</v>
      </c>
      <c r="B853" t="s">
        <v>9</v>
      </c>
      <c r="C853" t="s">
        <v>1549</v>
      </c>
      <c r="D853" t="s">
        <v>4294</v>
      </c>
      <c r="E853" t="s">
        <v>4295</v>
      </c>
      <c r="F853">
        <v>2026</v>
      </c>
      <c r="G853" t="s">
        <v>3991</v>
      </c>
      <c r="H853" t="s">
        <v>4296</v>
      </c>
      <c r="J853" t="s">
        <v>91</v>
      </c>
      <c r="K853" t="s">
        <v>91</v>
      </c>
      <c r="L853" t="s">
        <v>91</v>
      </c>
      <c r="M853" t="s">
        <v>1587</v>
      </c>
      <c r="N853" t="s">
        <v>1588</v>
      </c>
    </row>
    <row r="854" spans="1:14" ht="14.25" customHeight="1">
      <c r="A854">
        <v>853</v>
      </c>
      <c r="B854" t="s">
        <v>9</v>
      </c>
      <c r="C854" t="s">
        <v>1549</v>
      </c>
      <c r="D854" t="s">
        <v>4297</v>
      </c>
      <c r="E854" t="s">
        <v>4298</v>
      </c>
      <c r="F854">
        <v>2026</v>
      </c>
      <c r="G854" t="s">
        <v>4299</v>
      </c>
      <c r="H854" t="s">
        <v>4300</v>
      </c>
      <c r="J854" t="s">
        <v>91</v>
      </c>
      <c r="K854" t="s">
        <v>91</v>
      </c>
      <c r="L854" t="s">
        <v>91</v>
      </c>
      <c r="M854" t="s">
        <v>1593</v>
      </c>
      <c r="N854" t="s">
        <v>1588</v>
      </c>
    </row>
    <row r="855" spans="1:14" ht="14.25" customHeight="1">
      <c r="A855">
        <v>854</v>
      </c>
      <c r="B855" t="s">
        <v>9</v>
      </c>
      <c r="C855" t="s">
        <v>1549</v>
      </c>
      <c r="D855" t="s">
        <v>4301</v>
      </c>
      <c r="E855" t="s">
        <v>4302</v>
      </c>
      <c r="F855">
        <v>2026</v>
      </c>
      <c r="G855" t="s">
        <v>982</v>
      </c>
      <c r="H855" t="s">
        <v>4303</v>
      </c>
      <c r="J855" t="s">
        <v>91</v>
      </c>
      <c r="K855" t="s">
        <v>91</v>
      </c>
      <c r="L855" t="s">
        <v>91</v>
      </c>
      <c r="M855" t="s">
        <v>1587</v>
      </c>
      <c r="N855" t="s">
        <v>1588</v>
      </c>
    </row>
    <row r="856" spans="1:14" ht="14.25" customHeight="1">
      <c r="A856">
        <v>855</v>
      </c>
      <c r="B856" t="s">
        <v>9</v>
      </c>
      <c r="C856" t="s">
        <v>1549</v>
      </c>
      <c r="D856" t="s">
        <v>4304</v>
      </c>
      <c r="E856" t="s">
        <v>4305</v>
      </c>
      <c r="F856">
        <v>2026</v>
      </c>
      <c r="G856" t="s">
        <v>4306</v>
      </c>
      <c r="H856" t="s">
        <v>4307</v>
      </c>
      <c r="J856" t="s">
        <v>91</v>
      </c>
      <c r="K856" t="s">
        <v>91</v>
      </c>
      <c r="L856" t="s">
        <v>91</v>
      </c>
      <c r="M856" t="s">
        <v>1593</v>
      </c>
      <c r="N856" t="s">
        <v>1588</v>
      </c>
    </row>
    <row r="857" spans="1:14" ht="14.25" customHeight="1">
      <c r="A857">
        <v>856</v>
      </c>
      <c r="B857" t="s">
        <v>9</v>
      </c>
      <c r="C857" t="s">
        <v>1549</v>
      </c>
      <c r="D857" t="s">
        <v>4308</v>
      </c>
      <c r="E857" t="s">
        <v>4309</v>
      </c>
      <c r="F857">
        <v>2026</v>
      </c>
      <c r="G857" t="s">
        <v>2783</v>
      </c>
      <c r="H857" t="s">
        <v>4310</v>
      </c>
      <c r="J857" t="s">
        <v>91</v>
      </c>
      <c r="K857" t="s">
        <v>91</v>
      </c>
      <c r="L857" t="s">
        <v>91</v>
      </c>
      <c r="M857" t="s">
        <v>1593</v>
      </c>
      <c r="N857" t="s">
        <v>1588</v>
      </c>
    </row>
    <row r="858" spans="1:14" ht="14.25" customHeight="1">
      <c r="A858">
        <v>857</v>
      </c>
      <c r="B858" t="s">
        <v>9</v>
      </c>
      <c r="C858" t="s">
        <v>1549</v>
      </c>
      <c r="D858" t="s">
        <v>4311</v>
      </c>
      <c r="E858" t="s">
        <v>4312</v>
      </c>
      <c r="F858">
        <v>2026</v>
      </c>
      <c r="G858" t="s">
        <v>1121</v>
      </c>
      <c r="H858" t="s">
        <v>4313</v>
      </c>
      <c r="J858" t="s">
        <v>91</v>
      </c>
      <c r="K858" t="s">
        <v>91</v>
      </c>
      <c r="L858" t="s">
        <v>91</v>
      </c>
      <c r="M858" t="s">
        <v>1570</v>
      </c>
      <c r="N858" t="s">
        <v>1588</v>
      </c>
    </row>
    <row r="859" spans="1:14" ht="14.25" customHeight="1">
      <c r="A859">
        <v>858</v>
      </c>
      <c r="B859" t="s">
        <v>9</v>
      </c>
      <c r="C859" t="s">
        <v>1549</v>
      </c>
      <c r="D859" t="s">
        <v>4314</v>
      </c>
      <c r="E859" t="s">
        <v>2070</v>
      </c>
      <c r="F859">
        <v>2026</v>
      </c>
      <c r="G859" t="s">
        <v>2660</v>
      </c>
      <c r="H859" t="s">
        <v>4315</v>
      </c>
      <c r="J859" t="s">
        <v>91</v>
      </c>
      <c r="K859" t="s">
        <v>91</v>
      </c>
      <c r="L859" t="s">
        <v>91</v>
      </c>
      <c r="M859" t="s">
        <v>1570</v>
      </c>
      <c r="N859" t="s">
        <v>1588</v>
      </c>
    </row>
    <row r="860" spans="1:14" ht="14.25" customHeight="1">
      <c r="A860">
        <v>859</v>
      </c>
      <c r="B860" t="s">
        <v>9</v>
      </c>
      <c r="C860" t="s">
        <v>1549</v>
      </c>
      <c r="D860" t="s">
        <v>4316</v>
      </c>
      <c r="E860" t="s">
        <v>4317</v>
      </c>
      <c r="F860">
        <v>2026</v>
      </c>
      <c r="G860" t="s">
        <v>982</v>
      </c>
      <c r="H860" t="s">
        <v>4318</v>
      </c>
      <c r="J860" t="s">
        <v>91</v>
      </c>
      <c r="K860" t="s">
        <v>91</v>
      </c>
      <c r="L860" t="s">
        <v>91</v>
      </c>
      <c r="M860" t="s">
        <v>1570</v>
      </c>
      <c r="N860" t="s">
        <v>1588</v>
      </c>
    </row>
    <row r="861" spans="1:14" ht="14.25" customHeight="1">
      <c r="A861">
        <v>860</v>
      </c>
      <c r="B861" t="s">
        <v>9</v>
      </c>
      <c r="C861" t="s">
        <v>1549</v>
      </c>
      <c r="D861" t="s">
        <v>4319</v>
      </c>
      <c r="E861" t="s">
        <v>4320</v>
      </c>
      <c r="F861">
        <v>2026</v>
      </c>
      <c r="G861" t="s">
        <v>4321</v>
      </c>
      <c r="H861" t="s">
        <v>4322</v>
      </c>
      <c r="J861" t="s">
        <v>91</v>
      </c>
      <c r="K861" t="s">
        <v>91</v>
      </c>
      <c r="L861" t="s">
        <v>91</v>
      </c>
      <c r="M861" t="s">
        <v>1587</v>
      </c>
      <c r="N861" t="s">
        <v>1588</v>
      </c>
    </row>
    <row r="862" spans="1:14" ht="14.25" customHeight="1">
      <c r="A862">
        <v>861</v>
      </c>
      <c r="B862" t="s">
        <v>9</v>
      </c>
      <c r="C862" t="s">
        <v>1549</v>
      </c>
      <c r="D862" t="s">
        <v>4323</v>
      </c>
      <c r="E862" t="s">
        <v>4324</v>
      </c>
      <c r="F862">
        <v>2026</v>
      </c>
      <c r="G862" t="s">
        <v>982</v>
      </c>
      <c r="H862" t="s">
        <v>4325</v>
      </c>
      <c r="J862" t="s">
        <v>91</v>
      </c>
      <c r="K862" t="s">
        <v>91</v>
      </c>
      <c r="L862" t="s">
        <v>91</v>
      </c>
      <c r="M862" t="s">
        <v>1570</v>
      </c>
      <c r="N862" t="s">
        <v>1588</v>
      </c>
    </row>
    <row r="863" spans="1:14" ht="14.25" customHeight="1">
      <c r="A863">
        <v>862</v>
      </c>
      <c r="B863" t="s">
        <v>9</v>
      </c>
      <c r="C863" t="s">
        <v>1549</v>
      </c>
      <c r="D863" t="s">
        <v>4326</v>
      </c>
      <c r="E863" t="s">
        <v>4327</v>
      </c>
      <c r="F863">
        <v>2026</v>
      </c>
      <c r="G863" t="s">
        <v>4328</v>
      </c>
      <c r="H863" t="s">
        <v>4329</v>
      </c>
      <c r="J863" t="s">
        <v>91</v>
      </c>
      <c r="K863" t="s">
        <v>91</v>
      </c>
      <c r="L863" t="s">
        <v>91</v>
      </c>
      <c r="M863" t="s">
        <v>1570</v>
      </c>
      <c r="N863" t="s">
        <v>1555</v>
      </c>
    </row>
    <row r="864" spans="1:14" ht="14.25" customHeight="1">
      <c r="A864">
        <v>863</v>
      </c>
      <c r="B864" t="s">
        <v>9</v>
      </c>
      <c r="C864" t="s">
        <v>1549</v>
      </c>
      <c r="D864" t="s">
        <v>4330</v>
      </c>
      <c r="E864" t="s">
        <v>4331</v>
      </c>
      <c r="F864">
        <v>2026</v>
      </c>
      <c r="G864" t="s">
        <v>4332</v>
      </c>
      <c r="H864" t="s">
        <v>4333</v>
      </c>
      <c r="J864" t="s">
        <v>91</v>
      </c>
      <c r="K864" t="s">
        <v>91</v>
      </c>
      <c r="L864" t="s">
        <v>91</v>
      </c>
      <c r="M864" t="s">
        <v>1554</v>
      </c>
      <c r="N864" t="s">
        <v>1588</v>
      </c>
    </row>
    <row r="865" spans="1:14" ht="14.25" customHeight="1">
      <c r="A865">
        <v>864</v>
      </c>
      <c r="B865" t="s">
        <v>9</v>
      </c>
      <c r="C865" t="s">
        <v>1549</v>
      </c>
      <c r="D865" t="s">
        <v>4334</v>
      </c>
      <c r="E865" t="s">
        <v>4335</v>
      </c>
      <c r="F865">
        <v>2026</v>
      </c>
      <c r="G865" t="s">
        <v>1094</v>
      </c>
      <c r="H865" t="s">
        <v>4336</v>
      </c>
      <c r="J865" t="s">
        <v>91</v>
      </c>
      <c r="K865" t="s">
        <v>91</v>
      </c>
      <c r="L865" t="s">
        <v>91</v>
      </c>
      <c r="M865" t="s">
        <v>1593</v>
      </c>
      <c r="N865" t="s">
        <v>1555</v>
      </c>
    </row>
    <row r="866" spans="1:14" ht="14.25" customHeight="1">
      <c r="A866">
        <v>865</v>
      </c>
      <c r="B866" t="s">
        <v>9</v>
      </c>
      <c r="C866" t="s">
        <v>1549</v>
      </c>
      <c r="D866" t="s">
        <v>4337</v>
      </c>
      <c r="E866" t="s">
        <v>4338</v>
      </c>
      <c r="F866">
        <v>2026</v>
      </c>
      <c r="G866" t="s">
        <v>4339</v>
      </c>
      <c r="H866" t="s">
        <v>4340</v>
      </c>
      <c r="J866" t="s">
        <v>91</v>
      </c>
      <c r="K866" t="s">
        <v>91</v>
      </c>
      <c r="L866" t="s">
        <v>91</v>
      </c>
      <c r="M866" t="s">
        <v>1570</v>
      </c>
      <c r="N866" t="s">
        <v>1555</v>
      </c>
    </row>
    <row r="867" spans="1:14" ht="14.25" customHeight="1">
      <c r="A867">
        <v>866</v>
      </c>
      <c r="B867" t="s">
        <v>9</v>
      </c>
      <c r="C867" t="s">
        <v>1549</v>
      </c>
      <c r="D867" t="s">
        <v>4341</v>
      </c>
      <c r="E867" t="s">
        <v>4342</v>
      </c>
      <c r="F867">
        <v>2026</v>
      </c>
      <c r="G867" t="s">
        <v>4272</v>
      </c>
      <c r="H867" t="s">
        <v>4343</v>
      </c>
      <c r="J867" t="s">
        <v>91</v>
      </c>
      <c r="K867" t="s">
        <v>91</v>
      </c>
      <c r="L867" t="s">
        <v>91</v>
      </c>
      <c r="M867" t="s">
        <v>1593</v>
      </c>
      <c r="N867" t="s">
        <v>1555</v>
      </c>
    </row>
    <row r="868" spans="1:14" ht="14.25" customHeight="1">
      <c r="A868">
        <v>867</v>
      </c>
      <c r="B868" t="s">
        <v>9</v>
      </c>
      <c r="C868" t="s">
        <v>1549</v>
      </c>
      <c r="D868" t="s">
        <v>4344</v>
      </c>
      <c r="E868" t="s">
        <v>4345</v>
      </c>
      <c r="F868">
        <v>2026</v>
      </c>
      <c r="G868" t="s">
        <v>3949</v>
      </c>
      <c r="H868" t="s">
        <v>4346</v>
      </c>
      <c r="J868" t="s">
        <v>91</v>
      </c>
      <c r="K868" t="s">
        <v>91</v>
      </c>
      <c r="L868" t="s">
        <v>91</v>
      </c>
      <c r="M868" t="s">
        <v>1570</v>
      </c>
      <c r="N868" t="s">
        <v>1588</v>
      </c>
    </row>
    <row r="869" spans="1:14" ht="14.25" customHeight="1">
      <c r="A869">
        <v>868</v>
      </c>
      <c r="B869" t="s">
        <v>9</v>
      </c>
      <c r="C869" t="s">
        <v>1549</v>
      </c>
      <c r="D869" t="s">
        <v>4347</v>
      </c>
      <c r="E869" t="s">
        <v>4348</v>
      </c>
      <c r="F869">
        <v>2026</v>
      </c>
      <c r="G869" t="s">
        <v>4349</v>
      </c>
      <c r="H869" t="s">
        <v>4350</v>
      </c>
      <c r="J869" t="s">
        <v>91</v>
      </c>
      <c r="K869" t="s">
        <v>91</v>
      </c>
      <c r="L869" t="s">
        <v>91</v>
      </c>
      <c r="M869" t="s">
        <v>1570</v>
      </c>
      <c r="N869" t="s">
        <v>1588</v>
      </c>
    </row>
    <row r="870" spans="1:14" ht="14.25" customHeight="1">
      <c r="A870">
        <v>869</v>
      </c>
      <c r="B870" t="s">
        <v>9</v>
      </c>
      <c r="C870" t="s">
        <v>1549</v>
      </c>
      <c r="D870" t="s">
        <v>4351</v>
      </c>
      <c r="E870" t="s">
        <v>4352</v>
      </c>
      <c r="F870">
        <v>2026</v>
      </c>
      <c r="G870" t="s">
        <v>4353</v>
      </c>
      <c r="H870" t="s">
        <v>4354</v>
      </c>
      <c r="J870" t="s">
        <v>91</v>
      </c>
      <c r="K870" t="s">
        <v>91</v>
      </c>
      <c r="L870" t="s">
        <v>91</v>
      </c>
      <c r="M870" t="s">
        <v>1587</v>
      </c>
      <c r="N870" t="s">
        <v>1588</v>
      </c>
    </row>
    <row r="871" spans="1:14" ht="14.25" customHeight="1">
      <c r="A871">
        <v>870</v>
      </c>
      <c r="B871" t="s">
        <v>9</v>
      </c>
      <c r="C871" t="s">
        <v>1549</v>
      </c>
      <c r="D871" t="s">
        <v>4355</v>
      </c>
      <c r="E871" t="s">
        <v>1139</v>
      </c>
      <c r="F871">
        <v>2026</v>
      </c>
      <c r="G871" t="s">
        <v>1117</v>
      </c>
      <c r="H871" t="s">
        <v>4356</v>
      </c>
      <c r="J871" t="s">
        <v>91</v>
      </c>
      <c r="K871" t="s">
        <v>91</v>
      </c>
      <c r="L871" t="s">
        <v>91</v>
      </c>
      <c r="M871" t="s">
        <v>1587</v>
      </c>
      <c r="N871" t="s">
        <v>1588</v>
      </c>
    </row>
    <row r="872" spans="1:14" ht="14.25" customHeight="1">
      <c r="A872">
        <v>871</v>
      </c>
      <c r="B872" t="s">
        <v>9</v>
      </c>
      <c r="C872" t="s">
        <v>1549</v>
      </c>
      <c r="D872" t="s">
        <v>4357</v>
      </c>
      <c r="E872" t="s">
        <v>4358</v>
      </c>
      <c r="F872">
        <v>2026</v>
      </c>
      <c r="G872" t="s">
        <v>982</v>
      </c>
      <c r="H872" t="s">
        <v>4359</v>
      </c>
      <c r="J872" t="s">
        <v>91</v>
      </c>
      <c r="K872" t="s">
        <v>91</v>
      </c>
      <c r="L872" t="s">
        <v>91</v>
      </c>
      <c r="M872" t="s">
        <v>1570</v>
      </c>
      <c r="N872" t="s">
        <v>1588</v>
      </c>
    </row>
    <row r="873" spans="1:14" ht="14.25" customHeight="1">
      <c r="A873">
        <v>872</v>
      </c>
      <c r="B873" t="s">
        <v>9</v>
      </c>
      <c r="C873" t="s">
        <v>1549</v>
      </c>
      <c r="D873" t="s">
        <v>4360</v>
      </c>
      <c r="E873" t="s">
        <v>4361</v>
      </c>
      <c r="F873">
        <v>2026</v>
      </c>
      <c r="G873" t="s">
        <v>3881</v>
      </c>
      <c r="H873" t="s">
        <v>4362</v>
      </c>
      <c r="J873" t="s">
        <v>91</v>
      </c>
      <c r="K873" t="s">
        <v>91</v>
      </c>
      <c r="L873" t="s">
        <v>91</v>
      </c>
      <c r="M873" t="s">
        <v>1570</v>
      </c>
      <c r="N873" t="s">
        <v>1588</v>
      </c>
    </row>
    <row r="874" spans="1:14" ht="14.25" customHeight="1">
      <c r="A874">
        <v>873</v>
      </c>
      <c r="B874" t="s">
        <v>9</v>
      </c>
      <c r="C874" t="s">
        <v>1549</v>
      </c>
      <c r="D874" t="s">
        <v>4363</v>
      </c>
      <c r="E874" t="s">
        <v>4364</v>
      </c>
      <c r="F874">
        <v>2026</v>
      </c>
      <c r="G874" t="s">
        <v>2882</v>
      </c>
      <c r="H874" t="s">
        <v>4365</v>
      </c>
      <c r="J874" t="s">
        <v>91</v>
      </c>
      <c r="K874" t="s">
        <v>91</v>
      </c>
      <c r="L874" t="s">
        <v>91</v>
      </c>
      <c r="M874" t="s">
        <v>1570</v>
      </c>
      <c r="N874" t="s">
        <v>1555</v>
      </c>
    </row>
    <row r="875" spans="1:14" ht="14.25" customHeight="1">
      <c r="A875">
        <v>874</v>
      </c>
      <c r="B875" t="s">
        <v>9</v>
      </c>
      <c r="C875" t="s">
        <v>1549</v>
      </c>
      <c r="D875" t="s">
        <v>4366</v>
      </c>
      <c r="E875" t="s">
        <v>4367</v>
      </c>
      <c r="F875">
        <v>2026</v>
      </c>
      <c r="G875" t="s">
        <v>2649</v>
      </c>
      <c r="H875" t="s">
        <v>4368</v>
      </c>
      <c r="J875" t="s">
        <v>91</v>
      </c>
      <c r="K875" t="s">
        <v>91</v>
      </c>
      <c r="L875" t="s">
        <v>91</v>
      </c>
      <c r="M875" t="s">
        <v>1593</v>
      </c>
      <c r="N875" t="s">
        <v>1555</v>
      </c>
    </row>
    <row r="876" spans="1:14" ht="14.25" customHeight="1">
      <c r="A876">
        <v>875</v>
      </c>
      <c r="B876" t="s">
        <v>9</v>
      </c>
      <c r="C876" t="s">
        <v>1549</v>
      </c>
      <c r="D876" t="s">
        <v>4369</v>
      </c>
      <c r="E876" t="s">
        <v>4370</v>
      </c>
      <c r="F876">
        <v>2026</v>
      </c>
      <c r="G876" t="s">
        <v>4371</v>
      </c>
      <c r="H876" t="s">
        <v>4372</v>
      </c>
      <c r="J876" t="s">
        <v>91</v>
      </c>
      <c r="K876" t="s">
        <v>91</v>
      </c>
      <c r="L876" t="s">
        <v>91</v>
      </c>
      <c r="M876" t="s">
        <v>1570</v>
      </c>
      <c r="N876" t="s">
        <v>1588</v>
      </c>
    </row>
    <row r="877" spans="1:14" ht="14.25" customHeight="1">
      <c r="A877">
        <v>876</v>
      </c>
      <c r="B877" t="s">
        <v>9</v>
      </c>
      <c r="C877" t="s">
        <v>1549</v>
      </c>
      <c r="D877" t="s">
        <v>4373</v>
      </c>
      <c r="E877" t="s">
        <v>4374</v>
      </c>
      <c r="F877">
        <v>2026</v>
      </c>
      <c r="G877" t="s">
        <v>1066</v>
      </c>
      <c r="H877" t="s">
        <v>4375</v>
      </c>
      <c r="J877" t="s">
        <v>91</v>
      </c>
      <c r="K877" t="s">
        <v>91</v>
      </c>
      <c r="L877" t="s">
        <v>91</v>
      </c>
      <c r="M877" t="s">
        <v>1570</v>
      </c>
      <c r="N877" t="s">
        <v>1588</v>
      </c>
    </row>
    <row r="878" spans="1:14" ht="14.25" customHeight="1">
      <c r="A878">
        <v>877</v>
      </c>
      <c r="B878" t="s">
        <v>9</v>
      </c>
      <c r="C878" t="s">
        <v>1549</v>
      </c>
      <c r="D878" t="s">
        <v>4376</v>
      </c>
      <c r="E878" t="s">
        <v>4377</v>
      </c>
      <c r="F878">
        <v>2026</v>
      </c>
      <c r="G878" t="s">
        <v>3499</v>
      </c>
      <c r="H878" t="s">
        <v>4378</v>
      </c>
      <c r="J878" t="s">
        <v>91</v>
      </c>
      <c r="K878" t="s">
        <v>91</v>
      </c>
      <c r="L878" t="s">
        <v>91</v>
      </c>
      <c r="M878" t="s">
        <v>1570</v>
      </c>
      <c r="N878" t="s">
        <v>1555</v>
      </c>
    </row>
    <row r="879" spans="1:14" ht="14.25" customHeight="1">
      <c r="A879">
        <v>878</v>
      </c>
      <c r="B879" t="s">
        <v>9</v>
      </c>
      <c r="C879" t="s">
        <v>1549</v>
      </c>
      <c r="D879" t="s">
        <v>4379</v>
      </c>
      <c r="E879" t="s">
        <v>4380</v>
      </c>
      <c r="F879">
        <v>2026</v>
      </c>
      <c r="G879" t="s">
        <v>2664</v>
      </c>
      <c r="H879" t="s">
        <v>4381</v>
      </c>
      <c r="J879" t="s">
        <v>91</v>
      </c>
      <c r="K879" t="s">
        <v>91</v>
      </c>
      <c r="L879" t="s">
        <v>91</v>
      </c>
      <c r="M879" t="s">
        <v>1570</v>
      </c>
      <c r="N879" t="s">
        <v>1588</v>
      </c>
    </row>
    <row r="880" spans="1:14" ht="14.25" customHeight="1">
      <c r="A880">
        <v>879</v>
      </c>
      <c r="B880" t="s">
        <v>9</v>
      </c>
      <c r="C880" t="s">
        <v>1549</v>
      </c>
      <c r="D880" t="s">
        <v>4382</v>
      </c>
      <c r="E880" t="s">
        <v>4383</v>
      </c>
      <c r="F880">
        <v>2026</v>
      </c>
      <c r="G880" t="s">
        <v>4384</v>
      </c>
      <c r="H880" t="s">
        <v>4385</v>
      </c>
      <c r="J880" t="s">
        <v>91</v>
      </c>
      <c r="K880" t="s">
        <v>91</v>
      </c>
      <c r="L880" t="s">
        <v>91</v>
      </c>
      <c r="M880" t="s">
        <v>1593</v>
      </c>
      <c r="N880" t="s">
        <v>1555</v>
      </c>
    </row>
    <row r="881" spans="1:14" ht="14.25" customHeight="1">
      <c r="A881">
        <v>880</v>
      </c>
      <c r="B881" t="s">
        <v>9</v>
      </c>
      <c r="C881" t="s">
        <v>1549</v>
      </c>
      <c r="D881" t="s">
        <v>4386</v>
      </c>
      <c r="E881" t="s">
        <v>4387</v>
      </c>
      <c r="F881">
        <v>2026</v>
      </c>
      <c r="G881" t="s">
        <v>4388</v>
      </c>
      <c r="H881" t="s">
        <v>4389</v>
      </c>
      <c r="J881" t="s">
        <v>91</v>
      </c>
      <c r="K881" t="s">
        <v>91</v>
      </c>
      <c r="L881" t="s">
        <v>91</v>
      </c>
      <c r="M881" t="s">
        <v>1570</v>
      </c>
      <c r="N881" t="s">
        <v>1588</v>
      </c>
    </row>
    <row r="882" spans="1:14" ht="14.25" customHeight="1">
      <c r="A882">
        <v>881</v>
      </c>
      <c r="B882" t="s">
        <v>9</v>
      </c>
      <c r="C882" t="s">
        <v>1549</v>
      </c>
      <c r="D882" t="s">
        <v>4390</v>
      </c>
      <c r="E882" t="s">
        <v>4391</v>
      </c>
      <c r="F882">
        <v>2026</v>
      </c>
      <c r="G882" t="s">
        <v>4392</v>
      </c>
      <c r="H882" t="s">
        <v>4393</v>
      </c>
      <c r="J882" t="s">
        <v>91</v>
      </c>
      <c r="K882" t="s">
        <v>91</v>
      </c>
      <c r="L882" t="s">
        <v>91</v>
      </c>
      <c r="M882" t="s">
        <v>1554</v>
      </c>
      <c r="N882" t="s">
        <v>1555</v>
      </c>
    </row>
    <row r="883" spans="1:14" ht="14.25" customHeight="1">
      <c r="A883">
        <v>882</v>
      </c>
      <c r="B883" t="s">
        <v>9</v>
      </c>
      <c r="C883" t="s">
        <v>1549</v>
      </c>
      <c r="D883" t="s">
        <v>4394</v>
      </c>
      <c r="E883" t="s">
        <v>4395</v>
      </c>
      <c r="F883">
        <v>2026</v>
      </c>
      <c r="G883" t="s">
        <v>4396</v>
      </c>
      <c r="H883" t="s">
        <v>4397</v>
      </c>
      <c r="J883" t="s">
        <v>91</v>
      </c>
      <c r="K883" t="s">
        <v>91</v>
      </c>
      <c r="L883" t="s">
        <v>91</v>
      </c>
      <c r="M883" t="s">
        <v>1570</v>
      </c>
      <c r="N883" t="s">
        <v>1588</v>
      </c>
    </row>
    <row r="884" spans="1:14" ht="14.25" customHeight="1">
      <c r="A884">
        <v>883</v>
      </c>
      <c r="B884" t="s">
        <v>9</v>
      </c>
      <c r="C884" t="s">
        <v>1549</v>
      </c>
      <c r="D884" t="s">
        <v>4398</v>
      </c>
      <c r="E884" t="s">
        <v>4399</v>
      </c>
      <c r="F884">
        <v>2026</v>
      </c>
      <c r="G884" t="s">
        <v>4400</v>
      </c>
      <c r="H884" t="s">
        <v>4401</v>
      </c>
      <c r="J884" t="s">
        <v>91</v>
      </c>
      <c r="K884" t="s">
        <v>91</v>
      </c>
      <c r="L884" t="s">
        <v>91</v>
      </c>
      <c r="M884" t="s">
        <v>1554</v>
      </c>
      <c r="N884" t="s">
        <v>1555</v>
      </c>
    </row>
    <row r="885" spans="1:14" ht="14.25" customHeight="1">
      <c r="A885">
        <v>884</v>
      </c>
      <c r="B885" t="s">
        <v>9</v>
      </c>
      <c r="C885" t="s">
        <v>1549</v>
      </c>
      <c r="D885" t="s">
        <v>4402</v>
      </c>
      <c r="E885" t="s">
        <v>4403</v>
      </c>
      <c r="F885">
        <v>2026</v>
      </c>
      <c r="G885" t="s">
        <v>4404</v>
      </c>
      <c r="H885" t="s">
        <v>4405</v>
      </c>
      <c r="J885" t="s">
        <v>91</v>
      </c>
      <c r="K885" t="s">
        <v>91</v>
      </c>
      <c r="L885" t="s">
        <v>91</v>
      </c>
      <c r="M885" t="s">
        <v>1593</v>
      </c>
      <c r="N885" t="s">
        <v>1588</v>
      </c>
    </row>
    <row r="886" spans="1:14" ht="14.25" customHeight="1">
      <c r="A886">
        <v>885</v>
      </c>
      <c r="B886" t="s">
        <v>9</v>
      </c>
      <c r="C886" t="s">
        <v>1549</v>
      </c>
      <c r="D886" t="s">
        <v>4406</v>
      </c>
      <c r="E886" t="s">
        <v>4407</v>
      </c>
      <c r="F886">
        <v>2026</v>
      </c>
      <c r="G886" t="s">
        <v>4408</v>
      </c>
      <c r="H886" t="s">
        <v>4409</v>
      </c>
      <c r="J886" t="s">
        <v>91</v>
      </c>
      <c r="K886" t="s">
        <v>91</v>
      </c>
      <c r="L886" t="s">
        <v>91</v>
      </c>
      <c r="M886" t="s">
        <v>1570</v>
      </c>
      <c r="N886" t="s">
        <v>1588</v>
      </c>
    </row>
    <row r="887" spans="1:14" ht="14.25" customHeight="1">
      <c r="A887">
        <v>886</v>
      </c>
      <c r="B887" t="s">
        <v>9</v>
      </c>
      <c r="C887" t="s">
        <v>1549</v>
      </c>
      <c r="D887" t="s">
        <v>4410</v>
      </c>
      <c r="E887" t="s">
        <v>4411</v>
      </c>
      <c r="F887">
        <v>2026</v>
      </c>
      <c r="G887" t="s">
        <v>4412</v>
      </c>
      <c r="H887" t="s">
        <v>4413</v>
      </c>
      <c r="J887" t="s">
        <v>91</v>
      </c>
      <c r="K887" t="s">
        <v>91</v>
      </c>
      <c r="L887" t="s">
        <v>91</v>
      </c>
      <c r="M887" t="s">
        <v>1593</v>
      </c>
      <c r="N887" t="s">
        <v>1555</v>
      </c>
    </row>
    <row r="888" spans="1:14" ht="14.25" customHeight="1">
      <c r="A888">
        <v>887</v>
      </c>
      <c r="B888" t="s">
        <v>9</v>
      </c>
      <c r="C888" t="s">
        <v>1549</v>
      </c>
      <c r="D888" t="s">
        <v>4414</v>
      </c>
      <c r="E888" t="s">
        <v>4415</v>
      </c>
      <c r="F888">
        <v>2026</v>
      </c>
      <c r="G888" t="s">
        <v>4416</v>
      </c>
      <c r="H888" t="s">
        <v>4417</v>
      </c>
      <c r="J888" t="s">
        <v>91</v>
      </c>
      <c r="K888" t="s">
        <v>91</v>
      </c>
      <c r="L888" t="s">
        <v>91</v>
      </c>
      <c r="M888" t="s">
        <v>1587</v>
      </c>
      <c r="N888" t="s">
        <v>1588</v>
      </c>
    </row>
    <row r="889" spans="1:14" ht="14.25" customHeight="1">
      <c r="A889">
        <v>888</v>
      </c>
      <c r="B889" t="s">
        <v>9</v>
      </c>
      <c r="C889" t="s">
        <v>1549</v>
      </c>
      <c r="D889" t="s">
        <v>4418</v>
      </c>
      <c r="E889" t="s">
        <v>4419</v>
      </c>
      <c r="F889">
        <v>2026</v>
      </c>
      <c r="G889" t="s">
        <v>4420</v>
      </c>
      <c r="H889" t="s">
        <v>4421</v>
      </c>
      <c r="J889" t="s">
        <v>91</v>
      </c>
      <c r="K889" t="s">
        <v>91</v>
      </c>
      <c r="L889" t="s">
        <v>91</v>
      </c>
      <c r="M889" t="s">
        <v>1587</v>
      </c>
      <c r="N889" t="s">
        <v>1588</v>
      </c>
    </row>
    <row r="890" spans="1:14" ht="14.25" customHeight="1">
      <c r="A890">
        <v>889</v>
      </c>
      <c r="B890" t="s">
        <v>9</v>
      </c>
      <c r="C890" t="s">
        <v>1549</v>
      </c>
      <c r="D890" t="s">
        <v>4422</v>
      </c>
      <c r="E890" t="s">
        <v>4423</v>
      </c>
      <c r="F890">
        <v>2026</v>
      </c>
      <c r="G890" t="s">
        <v>4424</v>
      </c>
      <c r="H890" t="s">
        <v>4425</v>
      </c>
      <c r="J890" t="s">
        <v>91</v>
      </c>
      <c r="K890" t="s">
        <v>91</v>
      </c>
      <c r="L890" t="s">
        <v>91</v>
      </c>
      <c r="M890" t="s">
        <v>1554</v>
      </c>
      <c r="N890" t="s">
        <v>1555</v>
      </c>
    </row>
    <row r="891" spans="1:14" ht="14.25" customHeight="1">
      <c r="A891">
        <v>890</v>
      </c>
      <c r="B891" t="s">
        <v>9</v>
      </c>
      <c r="C891" t="s">
        <v>1549</v>
      </c>
      <c r="D891" t="s">
        <v>4426</v>
      </c>
      <c r="E891" t="s">
        <v>4427</v>
      </c>
      <c r="F891">
        <v>2026</v>
      </c>
      <c r="G891" t="s">
        <v>4140</v>
      </c>
      <c r="H891" t="s">
        <v>4428</v>
      </c>
      <c r="J891" t="s">
        <v>91</v>
      </c>
      <c r="K891" t="s">
        <v>91</v>
      </c>
      <c r="L891" t="s">
        <v>91</v>
      </c>
      <c r="M891" t="s">
        <v>1570</v>
      </c>
      <c r="N891" t="s">
        <v>1588</v>
      </c>
    </row>
    <row r="892" spans="1:14" ht="14.25" customHeight="1">
      <c r="A892">
        <v>891</v>
      </c>
      <c r="B892" t="s">
        <v>9</v>
      </c>
      <c r="C892" t="s">
        <v>1549</v>
      </c>
      <c r="D892" t="s">
        <v>4429</v>
      </c>
      <c r="E892" t="s">
        <v>4430</v>
      </c>
      <c r="F892">
        <v>2026</v>
      </c>
      <c r="G892" t="s">
        <v>2559</v>
      </c>
      <c r="H892" t="s">
        <v>4431</v>
      </c>
      <c r="J892" t="s">
        <v>91</v>
      </c>
      <c r="K892" t="s">
        <v>91</v>
      </c>
      <c r="L892" t="s">
        <v>91</v>
      </c>
      <c r="M892" t="s">
        <v>1593</v>
      </c>
      <c r="N892" t="s">
        <v>1588</v>
      </c>
    </row>
    <row r="893" spans="1:14" ht="14.25" customHeight="1">
      <c r="A893">
        <v>892</v>
      </c>
      <c r="B893" t="s">
        <v>9</v>
      </c>
      <c r="C893" t="s">
        <v>1549</v>
      </c>
      <c r="D893" t="s">
        <v>4432</v>
      </c>
      <c r="E893" t="s">
        <v>4433</v>
      </c>
      <c r="F893">
        <v>2026</v>
      </c>
      <c r="G893" t="s">
        <v>4434</v>
      </c>
      <c r="H893" t="s">
        <v>4435</v>
      </c>
      <c r="J893" t="s">
        <v>91</v>
      </c>
      <c r="K893" t="s">
        <v>91</v>
      </c>
      <c r="L893" t="s">
        <v>91</v>
      </c>
      <c r="M893" t="s">
        <v>1593</v>
      </c>
      <c r="N893" t="s">
        <v>1555</v>
      </c>
    </row>
    <row r="894" spans="1:14" ht="14.25" customHeight="1">
      <c r="A894">
        <v>893</v>
      </c>
      <c r="B894" t="s">
        <v>9</v>
      </c>
      <c r="C894" t="s">
        <v>1549</v>
      </c>
      <c r="D894" t="s">
        <v>4436</v>
      </c>
      <c r="E894" t="s">
        <v>4437</v>
      </c>
      <c r="F894">
        <v>2026</v>
      </c>
      <c r="G894" t="s">
        <v>4424</v>
      </c>
      <c r="H894" t="s">
        <v>4438</v>
      </c>
      <c r="J894" t="s">
        <v>91</v>
      </c>
      <c r="K894" t="s">
        <v>91</v>
      </c>
      <c r="L894" t="s">
        <v>91</v>
      </c>
      <c r="M894" t="s">
        <v>1554</v>
      </c>
      <c r="N894" t="s">
        <v>1555</v>
      </c>
    </row>
    <row r="895" spans="1:14" ht="14.25" customHeight="1">
      <c r="A895">
        <v>894</v>
      </c>
      <c r="B895" t="s">
        <v>9</v>
      </c>
      <c r="C895" t="s">
        <v>1549</v>
      </c>
      <c r="D895" t="s">
        <v>4439</v>
      </c>
      <c r="E895" t="s">
        <v>4440</v>
      </c>
      <c r="F895">
        <v>2026</v>
      </c>
      <c r="G895" t="s">
        <v>3640</v>
      </c>
      <c r="H895" t="s">
        <v>4441</v>
      </c>
      <c r="J895" t="s">
        <v>91</v>
      </c>
      <c r="K895" t="s">
        <v>91</v>
      </c>
      <c r="L895" t="s">
        <v>91</v>
      </c>
      <c r="M895" t="s">
        <v>1570</v>
      </c>
      <c r="N895" t="s">
        <v>1588</v>
      </c>
    </row>
    <row r="896" spans="1:14" ht="14.25" customHeight="1">
      <c r="A896">
        <v>895</v>
      </c>
      <c r="B896" t="s">
        <v>9</v>
      </c>
      <c r="C896" t="s">
        <v>1549</v>
      </c>
      <c r="D896" t="s">
        <v>4442</v>
      </c>
      <c r="E896" t="s">
        <v>4443</v>
      </c>
      <c r="F896">
        <v>2026</v>
      </c>
      <c r="G896" t="s">
        <v>1019</v>
      </c>
      <c r="H896" t="s">
        <v>4444</v>
      </c>
      <c r="J896" t="s">
        <v>91</v>
      </c>
      <c r="K896" t="s">
        <v>91</v>
      </c>
      <c r="L896" t="s">
        <v>91</v>
      </c>
      <c r="M896" t="s">
        <v>1570</v>
      </c>
      <c r="N896" t="s">
        <v>1555</v>
      </c>
    </row>
    <row r="897" spans="1:14" ht="14.25" customHeight="1">
      <c r="A897">
        <v>896</v>
      </c>
      <c r="B897" t="s">
        <v>9</v>
      </c>
      <c r="C897" t="s">
        <v>1549</v>
      </c>
      <c r="D897" t="s">
        <v>4445</v>
      </c>
      <c r="E897" t="s">
        <v>4446</v>
      </c>
      <c r="F897">
        <v>2026</v>
      </c>
      <c r="G897" t="s">
        <v>4447</v>
      </c>
      <c r="H897" t="s">
        <v>4448</v>
      </c>
      <c r="J897" t="s">
        <v>91</v>
      </c>
      <c r="K897" t="s">
        <v>91</v>
      </c>
      <c r="L897" t="s">
        <v>91</v>
      </c>
      <c r="M897" t="s">
        <v>1570</v>
      </c>
      <c r="N897" t="s">
        <v>1555</v>
      </c>
    </row>
    <row r="898" spans="1:14" ht="14.25" customHeight="1">
      <c r="A898">
        <v>897</v>
      </c>
      <c r="B898" t="s">
        <v>9</v>
      </c>
      <c r="C898" t="s">
        <v>1549</v>
      </c>
      <c r="D898" t="s">
        <v>4449</v>
      </c>
      <c r="E898" t="s">
        <v>4450</v>
      </c>
      <c r="F898">
        <v>2026</v>
      </c>
      <c r="G898" t="s">
        <v>4451</v>
      </c>
      <c r="H898" t="s">
        <v>4452</v>
      </c>
      <c r="J898" t="s">
        <v>91</v>
      </c>
      <c r="K898" t="s">
        <v>91</v>
      </c>
      <c r="L898" t="s">
        <v>91</v>
      </c>
      <c r="M898" t="s">
        <v>1554</v>
      </c>
      <c r="N898" t="s">
        <v>1555</v>
      </c>
    </row>
    <row r="899" spans="1:14" ht="14.25" customHeight="1">
      <c r="A899">
        <v>898</v>
      </c>
      <c r="B899" t="s">
        <v>9</v>
      </c>
      <c r="C899" t="s">
        <v>1549</v>
      </c>
      <c r="D899" t="s">
        <v>4453</v>
      </c>
      <c r="E899" t="s">
        <v>4454</v>
      </c>
      <c r="F899">
        <v>2026</v>
      </c>
      <c r="G899" t="s">
        <v>3900</v>
      </c>
      <c r="H899" t="s">
        <v>4455</v>
      </c>
      <c r="J899" t="s">
        <v>91</v>
      </c>
      <c r="K899" t="s">
        <v>91</v>
      </c>
      <c r="L899" t="s">
        <v>91</v>
      </c>
      <c r="M899" t="s">
        <v>1570</v>
      </c>
      <c r="N899" t="s">
        <v>1588</v>
      </c>
    </row>
    <row r="900" spans="1:14" ht="14.25" customHeight="1">
      <c r="A900">
        <v>899</v>
      </c>
      <c r="B900" t="s">
        <v>9</v>
      </c>
      <c r="C900" t="s">
        <v>1549</v>
      </c>
      <c r="D900" t="s">
        <v>4456</v>
      </c>
      <c r="E900" t="s">
        <v>4457</v>
      </c>
      <c r="F900">
        <v>2026</v>
      </c>
      <c r="G900" t="s">
        <v>1140</v>
      </c>
      <c r="H900" t="s">
        <v>4458</v>
      </c>
      <c r="J900" t="s">
        <v>91</v>
      </c>
      <c r="K900" t="s">
        <v>91</v>
      </c>
      <c r="L900" t="s">
        <v>91</v>
      </c>
      <c r="M900" t="s">
        <v>1570</v>
      </c>
      <c r="N900" t="s">
        <v>1588</v>
      </c>
    </row>
    <row r="901" spans="1:14" ht="14.25" customHeight="1">
      <c r="A901">
        <v>900</v>
      </c>
      <c r="B901" t="s">
        <v>9</v>
      </c>
      <c r="C901" t="s">
        <v>1549</v>
      </c>
      <c r="D901" t="s">
        <v>4459</v>
      </c>
      <c r="E901" t="s">
        <v>4460</v>
      </c>
      <c r="F901">
        <v>2026</v>
      </c>
      <c r="G901" t="s">
        <v>2923</v>
      </c>
      <c r="H901" t="s">
        <v>4461</v>
      </c>
      <c r="J901" t="s">
        <v>91</v>
      </c>
      <c r="K901" t="s">
        <v>91</v>
      </c>
      <c r="L901" t="s">
        <v>91</v>
      </c>
      <c r="M901" t="s">
        <v>1593</v>
      </c>
      <c r="N901" t="s">
        <v>1555</v>
      </c>
    </row>
    <row r="902" spans="1:14" ht="14.25" customHeight="1">
      <c r="A902">
        <v>901</v>
      </c>
      <c r="B902" t="s">
        <v>9</v>
      </c>
      <c r="C902" t="s">
        <v>1549</v>
      </c>
      <c r="D902" t="s">
        <v>4462</v>
      </c>
      <c r="F902">
        <v>2026</v>
      </c>
      <c r="G902" t="s">
        <v>4463</v>
      </c>
      <c r="H902" t="s">
        <v>4464</v>
      </c>
      <c r="J902" t="s">
        <v>91</v>
      </c>
      <c r="K902" t="s">
        <v>91</v>
      </c>
      <c r="L902" t="s">
        <v>91</v>
      </c>
      <c r="M902" t="s">
        <v>1570</v>
      </c>
      <c r="N902" t="s">
        <v>1555</v>
      </c>
    </row>
    <row r="903" spans="1:14" ht="14.25" customHeight="1">
      <c r="A903">
        <v>902</v>
      </c>
      <c r="B903" t="s">
        <v>9</v>
      </c>
      <c r="C903" t="s">
        <v>1549</v>
      </c>
      <c r="D903" t="s">
        <v>4465</v>
      </c>
      <c r="E903" t="s">
        <v>4466</v>
      </c>
      <c r="F903">
        <v>2026</v>
      </c>
      <c r="G903" t="s">
        <v>4467</v>
      </c>
      <c r="H903" t="s">
        <v>4468</v>
      </c>
      <c r="J903" t="s">
        <v>91</v>
      </c>
      <c r="K903" t="s">
        <v>91</v>
      </c>
      <c r="L903" t="s">
        <v>91</v>
      </c>
      <c r="M903" t="s">
        <v>1570</v>
      </c>
      <c r="N903" t="s">
        <v>1555</v>
      </c>
    </row>
    <row r="904" spans="1:14" ht="14.25" customHeight="1">
      <c r="A904">
        <v>903</v>
      </c>
      <c r="B904" t="s">
        <v>9</v>
      </c>
      <c r="C904" t="s">
        <v>1549</v>
      </c>
      <c r="D904" t="s">
        <v>4469</v>
      </c>
      <c r="E904" t="s">
        <v>4470</v>
      </c>
      <c r="F904">
        <v>2026</v>
      </c>
      <c r="G904" t="s">
        <v>1094</v>
      </c>
      <c r="H904" t="s">
        <v>4471</v>
      </c>
      <c r="J904" t="s">
        <v>91</v>
      </c>
      <c r="K904" t="s">
        <v>91</v>
      </c>
      <c r="L904" t="s">
        <v>91</v>
      </c>
      <c r="M904" t="s">
        <v>1587</v>
      </c>
      <c r="N904" t="s">
        <v>1555</v>
      </c>
    </row>
    <row r="905" spans="1:14" ht="14.25" customHeight="1">
      <c r="A905">
        <v>904</v>
      </c>
      <c r="B905" t="s">
        <v>9</v>
      </c>
      <c r="C905" t="s">
        <v>1549</v>
      </c>
      <c r="D905" t="s">
        <v>4472</v>
      </c>
      <c r="E905" t="s">
        <v>4473</v>
      </c>
      <c r="F905">
        <v>2026</v>
      </c>
      <c r="G905" t="s">
        <v>4474</v>
      </c>
      <c r="H905" t="s">
        <v>4475</v>
      </c>
      <c r="J905" t="s">
        <v>91</v>
      </c>
      <c r="K905" t="s">
        <v>91</v>
      </c>
      <c r="L905" t="s">
        <v>91</v>
      </c>
      <c r="M905" t="s">
        <v>1587</v>
      </c>
      <c r="N905" t="s">
        <v>1588</v>
      </c>
    </row>
    <row r="906" spans="1:14" ht="14.25" customHeight="1">
      <c r="A906">
        <v>905</v>
      </c>
      <c r="B906" t="s">
        <v>9</v>
      </c>
      <c r="C906" t="s">
        <v>1549</v>
      </c>
      <c r="D906" t="s">
        <v>4476</v>
      </c>
      <c r="E906" t="s">
        <v>4477</v>
      </c>
      <c r="F906">
        <v>2026</v>
      </c>
      <c r="G906" t="s">
        <v>2660</v>
      </c>
      <c r="H906" t="s">
        <v>4478</v>
      </c>
      <c r="J906" t="s">
        <v>91</v>
      </c>
      <c r="K906" t="s">
        <v>91</v>
      </c>
      <c r="L906" t="s">
        <v>91</v>
      </c>
      <c r="M906" t="s">
        <v>1570</v>
      </c>
      <c r="N906" t="s">
        <v>1588</v>
      </c>
    </row>
    <row r="907" spans="1:14" ht="14.25" customHeight="1">
      <c r="A907">
        <v>906</v>
      </c>
      <c r="B907" t="s">
        <v>9</v>
      </c>
      <c r="C907" t="s">
        <v>1549</v>
      </c>
      <c r="D907" t="s">
        <v>4479</v>
      </c>
      <c r="E907" t="s">
        <v>4480</v>
      </c>
      <c r="F907">
        <v>2026</v>
      </c>
      <c r="G907" t="s">
        <v>4481</v>
      </c>
      <c r="H907" t="s">
        <v>4482</v>
      </c>
      <c r="J907" t="s">
        <v>91</v>
      </c>
      <c r="K907" t="s">
        <v>91</v>
      </c>
      <c r="L907" t="s">
        <v>91</v>
      </c>
      <c r="M907" t="s">
        <v>1554</v>
      </c>
      <c r="N907" t="s">
        <v>1555</v>
      </c>
    </row>
    <row r="908" spans="1:14" ht="14.25" customHeight="1">
      <c r="A908">
        <v>907</v>
      </c>
      <c r="B908" t="s">
        <v>9</v>
      </c>
      <c r="C908" t="s">
        <v>1549</v>
      </c>
      <c r="D908" t="s">
        <v>4483</v>
      </c>
      <c r="E908" t="s">
        <v>4484</v>
      </c>
      <c r="F908">
        <v>2026</v>
      </c>
      <c r="G908" t="s">
        <v>2491</v>
      </c>
      <c r="H908" t="s">
        <v>4485</v>
      </c>
      <c r="J908" t="s">
        <v>91</v>
      </c>
      <c r="K908" t="s">
        <v>91</v>
      </c>
      <c r="L908" t="s">
        <v>91</v>
      </c>
      <c r="M908" t="s">
        <v>1554</v>
      </c>
      <c r="N908" t="s">
        <v>1555</v>
      </c>
    </row>
    <row r="909" spans="1:14" ht="14.25" customHeight="1">
      <c r="A909">
        <v>908</v>
      </c>
      <c r="B909" t="s">
        <v>9</v>
      </c>
      <c r="C909" t="s">
        <v>1549</v>
      </c>
      <c r="D909" t="s">
        <v>4486</v>
      </c>
      <c r="E909" t="s">
        <v>4487</v>
      </c>
      <c r="F909">
        <v>2026</v>
      </c>
      <c r="G909" t="s">
        <v>2923</v>
      </c>
      <c r="H909" t="s">
        <v>4488</v>
      </c>
      <c r="J909" t="s">
        <v>91</v>
      </c>
      <c r="K909" t="s">
        <v>91</v>
      </c>
      <c r="L909" t="s">
        <v>91</v>
      </c>
      <c r="M909" t="s">
        <v>1570</v>
      </c>
      <c r="N909" t="s">
        <v>1555</v>
      </c>
    </row>
    <row r="910" spans="1:14" ht="14.25" customHeight="1">
      <c r="A910">
        <v>909</v>
      </c>
      <c r="B910" t="s">
        <v>9</v>
      </c>
      <c r="C910" t="s">
        <v>1549</v>
      </c>
      <c r="D910" t="s">
        <v>4489</v>
      </c>
      <c r="E910" t="s">
        <v>4490</v>
      </c>
      <c r="F910">
        <v>2026</v>
      </c>
      <c r="G910" t="s">
        <v>4491</v>
      </c>
      <c r="H910" t="s">
        <v>4492</v>
      </c>
      <c r="J910" t="s">
        <v>91</v>
      </c>
      <c r="K910" t="s">
        <v>91</v>
      </c>
      <c r="L910" t="s">
        <v>91</v>
      </c>
      <c r="M910" t="s">
        <v>1570</v>
      </c>
      <c r="N910" t="s">
        <v>1588</v>
      </c>
    </row>
    <row r="911" spans="1:14" ht="14.25" customHeight="1">
      <c r="A911">
        <v>910</v>
      </c>
      <c r="B911" t="s">
        <v>9</v>
      </c>
      <c r="C911" t="s">
        <v>1549</v>
      </c>
      <c r="D911" t="s">
        <v>4493</v>
      </c>
      <c r="E911" t="s">
        <v>4494</v>
      </c>
      <c r="F911">
        <v>2026</v>
      </c>
      <c r="G911" t="s">
        <v>1094</v>
      </c>
      <c r="H911" t="s">
        <v>4495</v>
      </c>
      <c r="J911" t="s">
        <v>91</v>
      </c>
      <c r="K911" t="s">
        <v>91</v>
      </c>
      <c r="L911" t="s">
        <v>91</v>
      </c>
      <c r="M911" t="s">
        <v>1587</v>
      </c>
      <c r="N911" t="s">
        <v>1555</v>
      </c>
    </row>
    <row r="912" spans="1:14" ht="14.25" customHeight="1">
      <c r="A912">
        <v>911</v>
      </c>
      <c r="B912" t="s">
        <v>9</v>
      </c>
      <c r="C912" t="s">
        <v>1549</v>
      </c>
      <c r="D912" t="s">
        <v>4496</v>
      </c>
      <c r="E912" t="s">
        <v>4497</v>
      </c>
      <c r="F912">
        <v>2026</v>
      </c>
      <c r="G912" t="s">
        <v>3270</v>
      </c>
      <c r="H912" t="s">
        <v>4498</v>
      </c>
      <c r="J912" t="s">
        <v>91</v>
      </c>
      <c r="K912" t="s">
        <v>91</v>
      </c>
      <c r="L912" t="s">
        <v>91</v>
      </c>
      <c r="M912" t="s">
        <v>1593</v>
      </c>
      <c r="N912" t="s">
        <v>1555</v>
      </c>
    </row>
    <row r="913" spans="1:14" ht="14.25" customHeight="1">
      <c r="A913">
        <v>912</v>
      </c>
      <c r="B913" t="s">
        <v>9</v>
      </c>
      <c r="C913" t="s">
        <v>1549</v>
      </c>
      <c r="D913" t="s">
        <v>4499</v>
      </c>
      <c r="E913" t="s">
        <v>4500</v>
      </c>
      <c r="F913">
        <v>2026</v>
      </c>
      <c r="G913" t="s">
        <v>4412</v>
      </c>
      <c r="H913" t="s">
        <v>4501</v>
      </c>
      <c r="J913" t="s">
        <v>91</v>
      </c>
      <c r="K913" t="s">
        <v>91</v>
      </c>
      <c r="L913" t="s">
        <v>91</v>
      </c>
      <c r="M913" t="s">
        <v>1570</v>
      </c>
      <c r="N913" t="s">
        <v>1555</v>
      </c>
    </row>
    <row r="914" spans="1:14" ht="14.25" customHeight="1">
      <c r="A914">
        <v>913</v>
      </c>
      <c r="B914" t="s">
        <v>9</v>
      </c>
      <c r="C914" t="s">
        <v>1549</v>
      </c>
      <c r="D914" t="s">
        <v>4502</v>
      </c>
      <c r="E914" t="s">
        <v>4503</v>
      </c>
      <c r="F914">
        <v>2026</v>
      </c>
      <c r="G914" t="s">
        <v>4504</v>
      </c>
      <c r="H914" t="s">
        <v>4505</v>
      </c>
      <c r="J914" t="s">
        <v>91</v>
      </c>
      <c r="K914" t="s">
        <v>91</v>
      </c>
      <c r="L914" t="s">
        <v>91</v>
      </c>
      <c r="M914" t="s">
        <v>1570</v>
      </c>
      <c r="N914" t="s">
        <v>1588</v>
      </c>
    </row>
    <row r="915" spans="1:14" ht="14.25" customHeight="1">
      <c r="A915">
        <v>914</v>
      </c>
      <c r="B915" t="s">
        <v>9</v>
      </c>
      <c r="C915" t="s">
        <v>1549</v>
      </c>
      <c r="D915" t="s">
        <v>4506</v>
      </c>
      <c r="E915" t="s">
        <v>4507</v>
      </c>
      <c r="F915">
        <v>2026</v>
      </c>
      <c r="G915" t="s">
        <v>2528</v>
      </c>
      <c r="H915" t="s">
        <v>4508</v>
      </c>
      <c r="J915" t="s">
        <v>91</v>
      </c>
      <c r="K915" t="s">
        <v>91</v>
      </c>
      <c r="L915" t="s">
        <v>91</v>
      </c>
      <c r="M915" t="s">
        <v>1554</v>
      </c>
      <c r="N915" t="s">
        <v>1555</v>
      </c>
    </row>
    <row r="916" spans="1:14" ht="14.25" customHeight="1">
      <c r="A916">
        <v>915</v>
      </c>
      <c r="B916" t="s">
        <v>9</v>
      </c>
      <c r="C916" t="s">
        <v>1549</v>
      </c>
      <c r="D916" t="s">
        <v>4509</v>
      </c>
      <c r="E916" t="s">
        <v>4510</v>
      </c>
      <c r="F916">
        <v>2026</v>
      </c>
      <c r="G916" t="s">
        <v>4511</v>
      </c>
      <c r="H916" t="s">
        <v>4512</v>
      </c>
      <c r="J916" t="s">
        <v>91</v>
      </c>
      <c r="K916" t="s">
        <v>91</v>
      </c>
      <c r="L916" t="s">
        <v>91</v>
      </c>
      <c r="M916" t="s">
        <v>1593</v>
      </c>
      <c r="N916" t="s">
        <v>1588</v>
      </c>
    </row>
    <row r="917" spans="1:14" ht="14.25" customHeight="1">
      <c r="A917">
        <v>916</v>
      </c>
      <c r="B917" t="s">
        <v>9</v>
      </c>
      <c r="C917" t="s">
        <v>1549</v>
      </c>
      <c r="D917" t="s">
        <v>4513</v>
      </c>
      <c r="E917" t="s">
        <v>4514</v>
      </c>
      <c r="F917">
        <v>2026</v>
      </c>
      <c r="G917" t="s">
        <v>969</v>
      </c>
      <c r="H917" t="s">
        <v>4515</v>
      </c>
      <c r="J917" t="s">
        <v>91</v>
      </c>
      <c r="K917" t="s">
        <v>91</v>
      </c>
      <c r="L917" t="s">
        <v>91</v>
      </c>
      <c r="M917" t="s">
        <v>1593</v>
      </c>
      <c r="N917" t="s">
        <v>1555</v>
      </c>
    </row>
    <row r="918" spans="1:14" ht="14.25" customHeight="1">
      <c r="A918">
        <v>917</v>
      </c>
      <c r="B918" t="s">
        <v>9</v>
      </c>
      <c r="C918" t="s">
        <v>1549</v>
      </c>
      <c r="D918" t="s">
        <v>4516</v>
      </c>
      <c r="E918" t="s">
        <v>4517</v>
      </c>
      <c r="F918">
        <v>2026</v>
      </c>
      <c r="G918" t="s">
        <v>1949</v>
      </c>
      <c r="H918" t="s">
        <v>4518</v>
      </c>
      <c r="J918" t="s">
        <v>91</v>
      </c>
      <c r="K918" t="s">
        <v>91</v>
      </c>
      <c r="L918" t="s">
        <v>91</v>
      </c>
      <c r="M918" t="s">
        <v>1570</v>
      </c>
      <c r="N918" t="s">
        <v>1555</v>
      </c>
    </row>
    <row r="919" spans="1:14" ht="14.25" customHeight="1">
      <c r="A919">
        <v>918</v>
      </c>
      <c r="B919" t="s">
        <v>9</v>
      </c>
      <c r="C919" t="s">
        <v>1549</v>
      </c>
      <c r="D919" t="s">
        <v>4519</v>
      </c>
      <c r="E919" t="s">
        <v>4520</v>
      </c>
      <c r="F919">
        <v>2026</v>
      </c>
      <c r="G919" t="s">
        <v>4521</v>
      </c>
      <c r="H919" t="s">
        <v>4522</v>
      </c>
      <c r="J919" t="s">
        <v>91</v>
      </c>
      <c r="K919" t="s">
        <v>91</v>
      </c>
      <c r="L919" t="s">
        <v>91</v>
      </c>
      <c r="M919" t="s">
        <v>1554</v>
      </c>
      <c r="N919" t="s">
        <v>1555</v>
      </c>
    </row>
    <row r="920" spans="1:14" ht="14.25" customHeight="1">
      <c r="A920">
        <v>919</v>
      </c>
      <c r="B920" t="s">
        <v>9</v>
      </c>
      <c r="C920" t="s">
        <v>1549</v>
      </c>
      <c r="D920" t="s">
        <v>4523</v>
      </c>
      <c r="E920" t="s">
        <v>4524</v>
      </c>
      <c r="F920">
        <v>2026</v>
      </c>
      <c r="G920" t="s">
        <v>2621</v>
      </c>
      <c r="H920" t="s">
        <v>4525</v>
      </c>
      <c r="J920" t="s">
        <v>91</v>
      </c>
      <c r="K920" t="s">
        <v>91</v>
      </c>
      <c r="L920" t="s">
        <v>91</v>
      </c>
      <c r="M920" t="s">
        <v>1570</v>
      </c>
      <c r="N920" t="s">
        <v>1555</v>
      </c>
    </row>
    <row r="921" spans="1:14" ht="14.25" customHeight="1">
      <c r="A921">
        <v>920</v>
      </c>
      <c r="B921" t="s">
        <v>9</v>
      </c>
      <c r="C921" t="s">
        <v>1549</v>
      </c>
      <c r="D921" t="s">
        <v>4526</v>
      </c>
      <c r="E921" t="s">
        <v>4527</v>
      </c>
      <c r="F921">
        <v>2026</v>
      </c>
      <c r="G921" t="s">
        <v>923</v>
      </c>
      <c r="H921" t="s">
        <v>4528</v>
      </c>
      <c r="J921" t="s">
        <v>91</v>
      </c>
      <c r="K921" t="s">
        <v>91</v>
      </c>
      <c r="L921" t="s">
        <v>91</v>
      </c>
      <c r="M921" t="s">
        <v>1601</v>
      </c>
      <c r="N921" t="s">
        <v>1555</v>
      </c>
    </row>
    <row r="922" spans="1:14" ht="14.25" customHeight="1">
      <c r="A922">
        <v>921</v>
      </c>
      <c r="B922" t="s">
        <v>9</v>
      </c>
      <c r="C922" t="s">
        <v>1549</v>
      </c>
      <c r="D922" t="s">
        <v>4529</v>
      </c>
      <c r="E922" t="s">
        <v>4530</v>
      </c>
      <c r="F922">
        <v>2026</v>
      </c>
      <c r="G922" t="s">
        <v>4384</v>
      </c>
      <c r="H922" t="s">
        <v>4531</v>
      </c>
      <c r="J922" t="s">
        <v>91</v>
      </c>
      <c r="K922" t="s">
        <v>91</v>
      </c>
      <c r="L922" t="s">
        <v>91</v>
      </c>
      <c r="M922" t="s">
        <v>1570</v>
      </c>
      <c r="N922" t="s">
        <v>1555</v>
      </c>
    </row>
    <row r="923" spans="1:14" ht="14.25" customHeight="1">
      <c r="A923">
        <v>922</v>
      </c>
      <c r="B923" t="s">
        <v>9</v>
      </c>
      <c r="C923" t="s">
        <v>1549</v>
      </c>
      <c r="D923" t="s">
        <v>4532</v>
      </c>
      <c r="E923" t="s">
        <v>4533</v>
      </c>
      <c r="F923">
        <v>2026</v>
      </c>
      <c r="G923" t="s">
        <v>1019</v>
      </c>
      <c r="H923" t="s">
        <v>4534</v>
      </c>
      <c r="J923" t="s">
        <v>91</v>
      </c>
      <c r="K923" t="s">
        <v>91</v>
      </c>
      <c r="L923" t="s">
        <v>91</v>
      </c>
      <c r="M923" t="s">
        <v>1570</v>
      </c>
      <c r="N923" t="s">
        <v>1555</v>
      </c>
    </row>
    <row r="924" spans="1:14" ht="14.25" customHeight="1">
      <c r="A924">
        <v>923</v>
      </c>
      <c r="B924" t="s">
        <v>9</v>
      </c>
      <c r="C924" t="s">
        <v>1549</v>
      </c>
      <c r="D924" t="s">
        <v>4535</v>
      </c>
      <c r="E924" t="s">
        <v>4536</v>
      </c>
      <c r="F924">
        <v>2026</v>
      </c>
      <c r="G924" t="s">
        <v>923</v>
      </c>
      <c r="H924" t="s">
        <v>4537</v>
      </c>
      <c r="J924" t="s">
        <v>91</v>
      </c>
      <c r="K924" t="s">
        <v>91</v>
      </c>
      <c r="L924" t="s">
        <v>91</v>
      </c>
      <c r="M924" t="s">
        <v>1570</v>
      </c>
      <c r="N924" t="s">
        <v>1555</v>
      </c>
    </row>
    <row r="925" spans="1:14" ht="14.25" customHeight="1">
      <c r="A925">
        <v>924</v>
      </c>
      <c r="B925" t="s">
        <v>9</v>
      </c>
      <c r="C925" t="s">
        <v>1549</v>
      </c>
      <c r="D925" t="s">
        <v>4538</v>
      </c>
      <c r="E925" t="s">
        <v>4539</v>
      </c>
      <c r="F925">
        <v>2026</v>
      </c>
      <c r="G925" t="s">
        <v>4540</v>
      </c>
      <c r="H925" t="s">
        <v>4541</v>
      </c>
      <c r="J925" t="s">
        <v>91</v>
      </c>
      <c r="K925" t="s">
        <v>91</v>
      </c>
      <c r="L925" t="s">
        <v>91</v>
      </c>
      <c r="M925" t="s">
        <v>1587</v>
      </c>
      <c r="N925" t="s">
        <v>1555</v>
      </c>
    </row>
    <row r="926" spans="1:14" ht="14.25" customHeight="1">
      <c r="A926">
        <v>925</v>
      </c>
      <c r="B926" t="s">
        <v>9</v>
      </c>
      <c r="C926" t="s">
        <v>1549</v>
      </c>
      <c r="D926" t="s">
        <v>4542</v>
      </c>
      <c r="E926" t="s">
        <v>4543</v>
      </c>
      <c r="F926">
        <v>2026</v>
      </c>
      <c r="G926" t="s">
        <v>2559</v>
      </c>
      <c r="H926" t="s">
        <v>4544</v>
      </c>
      <c r="J926" t="s">
        <v>91</v>
      </c>
      <c r="K926" t="s">
        <v>91</v>
      </c>
      <c r="L926" t="s">
        <v>91</v>
      </c>
      <c r="M926" t="s">
        <v>1570</v>
      </c>
      <c r="N926" t="s">
        <v>1588</v>
      </c>
    </row>
    <row r="927" spans="1:14" ht="14.25" customHeight="1">
      <c r="A927">
        <v>926</v>
      </c>
      <c r="B927" t="s">
        <v>9</v>
      </c>
      <c r="C927" t="s">
        <v>1549</v>
      </c>
      <c r="D927" t="s">
        <v>4545</v>
      </c>
      <c r="E927" t="s">
        <v>4546</v>
      </c>
      <c r="F927">
        <v>2026</v>
      </c>
      <c r="G927" t="s">
        <v>4547</v>
      </c>
      <c r="H927" t="s">
        <v>4548</v>
      </c>
      <c r="J927" t="s">
        <v>91</v>
      </c>
      <c r="K927" t="s">
        <v>91</v>
      </c>
      <c r="L927" t="s">
        <v>91</v>
      </c>
      <c r="M927" t="s">
        <v>1570</v>
      </c>
      <c r="N927" t="s">
        <v>1588</v>
      </c>
    </row>
    <row r="928" spans="1:14" ht="14.25" customHeight="1">
      <c r="A928">
        <v>927</v>
      </c>
      <c r="B928" t="s">
        <v>9</v>
      </c>
      <c r="C928" t="s">
        <v>1549</v>
      </c>
      <c r="D928" t="s">
        <v>4549</v>
      </c>
      <c r="E928" t="s">
        <v>4550</v>
      </c>
      <c r="F928">
        <v>2026</v>
      </c>
      <c r="G928" t="s">
        <v>4551</v>
      </c>
      <c r="H928" t="s">
        <v>4552</v>
      </c>
      <c r="J928" t="s">
        <v>91</v>
      </c>
      <c r="K928" t="s">
        <v>91</v>
      </c>
      <c r="L928" t="s">
        <v>91</v>
      </c>
      <c r="M928" t="s">
        <v>1587</v>
      </c>
      <c r="N928" t="s">
        <v>1588</v>
      </c>
    </row>
    <row r="929" spans="1:14" ht="14.25" customHeight="1">
      <c r="A929">
        <v>928</v>
      </c>
      <c r="B929" t="s">
        <v>9</v>
      </c>
      <c r="C929" t="s">
        <v>1549</v>
      </c>
      <c r="D929" t="s">
        <v>4553</v>
      </c>
      <c r="E929" t="s">
        <v>4554</v>
      </c>
      <c r="F929">
        <v>2026</v>
      </c>
      <c r="G929" t="s">
        <v>4232</v>
      </c>
      <c r="H929" t="s">
        <v>4555</v>
      </c>
      <c r="J929" t="s">
        <v>91</v>
      </c>
      <c r="K929" t="s">
        <v>91</v>
      </c>
      <c r="L929" t="s">
        <v>91</v>
      </c>
      <c r="M929" t="s">
        <v>1570</v>
      </c>
      <c r="N929" t="s">
        <v>1588</v>
      </c>
    </row>
    <row r="930" spans="1:14" ht="14.25" customHeight="1">
      <c r="A930">
        <v>929</v>
      </c>
      <c r="B930" t="s">
        <v>9</v>
      </c>
      <c r="C930" t="s">
        <v>1549</v>
      </c>
      <c r="D930" t="s">
        <v>4556</v>
      </c>
      <c r="E930" t="s">
        <v>4557</v>
      </c>
      <c r="F930">
        <v>2026</v>
      </c>
      <c r="G930" t="s">
        <v>1573</v>
      </c>
      <c r="H930" t="s">
        <v>4558</v>
      </c>
      <c r="J930" t="s">
        <v>91</v>
      </c>
      <c r="K930" t="s">
        <v>91</v>
      </c>
      <c r="L930" t="s">
        <v>91</v>
      </c>
      <c r="M930" t="s">
        <v>1570</v>
      </c>
      <c r="N930" t="s">
        <v>1555</v>
      </c>
    </row>
    <row r="931" spans="1:14" ht="14.25" customHeight="1">
      <c r="A931">
        <v>930</v>
      </c>
      <c r="B931" t="s">
        <v>9</v>
      </c>
      <c r="C931" t="s">
        <v>1549</v>
      </c>
      <c r="D931" t="s">
        <v>4559</v>
      </c>
      <c r="E931" t="s">
        <v>4560</v>
      </c>
      <c r="F931">
        <v>2026</v>
      </c>
      <c r="G931" t="s">
        <v>1721</v>
      </c>
      <c r="H931" t="s">
        <v>4561</v>
      </c>
      <c r="J931" t="s">
        <v>91</v>
      </c>
      <c r="K931" t="s">
        <v>91</v>
      </c>
      <c r="L931" t="s">
        <v>91</v>
      </c>
      <c r="M931" t="s">
        <v>1593</v>
      </c>
      <c r="N931" t="s">
        <v>1555</v>
      </c>
    </row>
    <row r="932" spans="1:14" ht="14.25" customHeight="1">
      <c r="A932">
        <v>931</v>
      </c>
      <c r="B932" t="s">
        <v>9</v>
      </c>
      <c r="C932" t="s">
        <v>1549</v>
      </c>
      <c r="D932" t="s">
        <v>4562</v>
      </c>
      <c r="E932" t="s">
        <v>4563</v>
      </c>
      <c r="F932">
        <v>2026</v>
      </c>
      <c r="G932" t="s">
        <v>1091</v>
      </c>
      <c r="H932" t="s">
        <v>4564</v>
      </c>
      <c r="J932" t="s">
        <v>91</v>
      </c>
      <c r="K932" t="s">
        <v>91</v>
      </c>
      <c r="L932" t="s">
        <v>91</v>
      </c>
      <c r="M932" t="s">
        <v>1570</v>
      </c>
      <c r="N932" t="s">
        <v>1588</v>
      </c>
    </row>
    <row r="933" spans="1:14" ht="14.25" customHeight="1">
      <c r="A933">
        <v>932</v>
      </c>
      <c r="B933" t="s">
        <v>9</v>
      </c>
      <c r="C933" t="s">
        <v>1549</v>
      </c>
      <c r="D933" t="s">
        <v>4565</v>
      </c>
      <c r="E933" t="s">
        <v>4566</v>
      </c>
      <c r="F933">
        <v>2026</v>
      </c>
      <c r="G933" t="s">
        <v>4412</v>
      </c>
      <c r="H933" t="s">
        <v>4567</v>
      </c>
      <c r="J933" t="s">
        <v>91</v>
      </c>
      <c r="K933" t="s">
        <v>91</v>
      </c>
      <c r="L933" t="s">
        <v>91</v>
      </c>
      <c r="M933" t="s">
        <v>1587</v>
      </c>
      <c r="N933" t="s">
        <v>1555</v>
      </c>
    </row>
    <row r="934" spans="1:14" ht="14.25" customHeight="1">
      <c r="A934">
        <v>933</v>
      </c>
      <c r="B934" t="s">
        <v>9</v>
      </c>
      <c r="C934" t="s">
        <v>1549</v>
      </c>
      <c r="D934" t="s">
        <v>4568</v>
      </c>
      <c r="E934" t="s">
        <v>4569</v>
      </c>
      <c r="F934">
        <v>2026</v>
      </c>
      <c r="G934" t="s">
        <v>969</v>
      </c>
      <c r="H934" t="s">
        <v>4570</v>
      </c>
      <c r="J934" t="s">
        <v>91</v>
      </c>
      <c r="K934" t="s">
        <v>91</v>
      </c>
      <c r="L934" t="s">
        <v>91</v>
      </c>
      <c r="M934" t="s">
        <v>1587</v>
      </c>
      <c r="N934" t="s">
        <v>1555</v>
      </c>
    </row>
    <row r="935" spans="1:14" ht="14.25" customHeight="1">
      <c r="A935">
        <v>934</v>
      </c>
      <c r="B935" t="s">
        <v>9</v>
      </c>
      <c r="C935" t="s">
        <v>1549</v>
      </c>
      <c r="D935" t="s">
        <v>4571</v>
      </c>
      <c r="E935" t="s">
        <v>4572</v>
      </c>
      <c r="F935">
        <v>2026</v>
      </c>
      <c r="G935" t="s">
        <v>1829</v>
      </c>
      <c r="H935" t="s">
        <v>4573</v>
      </c>
      <c r="J935" t="s">
        <v>91</v>
      </c>
      <c r="K935" t="s">
        <v>91</v>
      </c>
      <c r="L935" t="s">
        <v>91</v>
      </c>
      <c r="M935" t="s">
        <v>1570</v>
      </c>
      <c r="N935" t="s">
        <v>1588</v>
      </c>
    </row>
    <row r="936" spans="1:14" ht="14.25" customHeight="1">
      <c r="A936">
        <v>935</v>
      </c>
      <c r="B936" t="s">
        <v>9</v>
      </c>
      <c r="C936" t="s">
        <v>1549</v>
      </c>
      <c r="D936" t="s">
        <v>4574</v>
      </c>
      <c r="E936" t="s">
        <v>4575</v>
      </c>
      <c r="F936">
        <v>2026</v>
      </c>
      <c r="G936" t="s">
        <v>2324</v>
      </c>
      <c r="H936" t="s">
        <v>4576</v>
      </c>
      <c r="J936" t="s">
        <v>91</v>
      </c>
      <c r="K936" t="s">
        <v>91</v>
      </c>
      <c r="L936" t="s">
        <v>91</v>
      </c>
      <c r="M936" t="s">
        <v>1570</v>
      </c>
      <c r="N936" t="s">
        <v>1588</v>
      </c>
    </row>
    <row r="937" spans="1:14" ht="14.25" customHeight="1">
      <c r="A937">
        <v>936</v>
      </c>
      <c r="B937" t="s">
        <v>9</v>
      </c>
      <c r="C937" t="s">
        <v>1549</v>
      </c>
      <c r="D937" t="s">
        <v>4577</v>
      </c>
      <c r="E937" t="s">
        <v>4578</v>
      </c>
      <c r="F937">
        <v>2026</v>
      </c>
      <c r="G937" t="s">
        <v>3543</v>
      </c>
      <c r="H937" t="s">
        <v>4579</v>
      </c>
      <c r="J937" t="s">
        <v>91</v>
      </c>
      <c r="K937" t="s">
        <v>91</v>
      </c>
      <c r="L937" t="s">
        <v>91</v>
      </c>
      <c r="M937" t="s">
        <v>1570</v>
      </c>
      <c r="N937" t="s">
        <v>1588</v>
      </c>
    </row>
    <row r="938" spans="1:14" ht="14.25" customHeight="1">
      <c r="A938">
        <v>937</v>
      </c>
      <c r="B938" t="s">
        <v>9</v>
      </c>
      <c r="C938" t="s">
        <v>1549</v>
      </c>
      <c r="D938" t="s">
        <v>4580</v>
      </c>
      <c r="E938" t="s">
        <v>4581</v>
      </c>
      <c r="F938">
        <v>2026</v>
      </c>
      <c r="G938" t="s">
        <v>1117</v>
      </c>
      <c r="H938" t="s">
        <v>4582</v>
      </c>
      <c r="J938" t="s">
        <v>91</v>
      </c>
      <c r="K938" t="s">
        <v>91</v>
      </c>
      <c r="L938" t="s">
        <v>91</v>
      </c>
      <c r="M938" t="s">
        <v>1593</v>
      </c>
      <c r="N938" t="s">
        <v>1588</v>
      </c>
    </row>
    <row r="939" spans="1:14" ht="14.25" customHeight="1">
      <c r="A939">
        <v>938</v>
      </c>
      <c r="B939" t="s">
        <v>9</v>
      </c>
      <c r="C939" t="s">
        <v>1549</v>
      </c>
      <c r="D939" t="s">
        <v>4583</v>
      </c>
      <c r="E939" t="s">
        <v>4584</v>
      </c>
      <c r="F939">
        <v>2026</v>
      </c>
      <c r="G939" t="s">
        <v>4585</v>
      </c>
      <c r="H939" t="s">
        <v>4586</v>
      </c>
      <c r="J939" t="s">
        <v>91</v>
      </c>
      <c r="K939" t="s">
        <v>91</v>
      </c>
      <c r="L939" t="s">
        <v>91</v>
      </c>
      <c r="M939" t="s">
        <v>1570</v>
      </c>
      <c r="N939" t="s">
        <v>1588</v>
      </c>
    </row>
    <row r="940" spans="1:14" ht="14.25" customHeight="1">
      <c r="A940">
        <v>939</v>
      </c>
      <c r="B940" t="s">
        <v>9</v>
      </c>
      <c r="C940" t="s">
        <v>1549</v>
      </c>
      <c r="D940" t="s">
        <v>4587</v>
      </c>
      <c r="E940" t="s">
        <v>4588</v>
      </c>
      <c r="F940">
        <v>2026</v>
      </c>
      <c r="G940" t="s">
        <v>1066</v>
      </c>
      <c r="H940" t="s">
        <v>4589</v>
      </c>
      <c r="J940" t="s">
        <v>91</v>
      </c>
      <c r="K940" t="s">
        <v>91</v>
      </c>
      <c r="L940" t="s">
        <v>91</v>
      </c>
      <c r="M940" t="s">
        <v>1570</v>
      </c>
      <c r="N940" t="s">
        <v>1588</v>
      </c>
    </row>
    <row r="941" spans="1:14" ht="14.25" customHeight="1">
      <c r="A941">
        <v>940</v>
      </c>
      <c r="B941" t="s">
        <v>9</v>
      </c>
      <c r="C941" t="s">
        <v>1549</v>
      </c>
      <c r="D941" t="s">
        <v>4590</v>
      </c>
      <c r="E941" t="s">
        <v>4591</v>
      </c>
      <c r="F941">
        <v>2026</v>
      </c>
      <c r="G941" t="s">
        <v>993</v>
      </c>
      <c r="H941" t="s">
        <v>4592</v>
      </c>
      <c r="J941" t="s">
        <v>91</v>
      </c>
      <c r="K941" t="s">
        <v>91</v>
      </c>
      <c r="L941" t="s">
        <v>91</v>
      </c>
      <c r="M941" t="s">
        <v>1570</v>
      </c>
      <c r="N941" t="s">
        <v>1588</v>
      </c>
    </row>
    <row r="942" spans="1:14" ht="14.25" customHeight="1">
      <c r="A942">
        <v>941</v>
      </c>
      <c r="B942" t="s">
        <v>9</v>
      </c>
      <c r="C942" t="s">
        <v>1549</v>
      </c>
      <c r="D942" t="s">
        <v>4593</v>
      </c>
      <c r="E942" t="s">
        <v>4594</v>
      </c>
      <c r="F942">
        <v>2026</v>
      </c>
      <c r="G942" t="s">
        <v>4595</v>
      </c>
      <c r="H942" t="s">
        <v>4596</v>
      </c>
      <c r="J942" t="s">
        <v>91</v>
      </c>
      <c r="K942" t="s">
        <v>91</v>
      </c>
      <c r="L942" t="s">
        <v>91</v>
      </c>
      <c r="M942" t="s">
        <v>1593</v>
      </c>
      <c r="N942" t="s">
        <v>1588</v>
      </c>
    </row>
    <row r="943" spans="1:14" ht="14.25" customHeight="1">
      <c r="A943">
        <v>942</v>
      </c>
      <c r="B943" t="s">
        <v>9</v>
      </c>
      <c r="C943" t="s">
        <v>1549</v>
      </c>
      <c r="D943" t="s">
        <v>4597</v>
      </c>
      <c r="E943" t="s">
        <v>4598</v>
      </c>
      <c r="F943">
        <v>2026</v>
      </c>
      <c r="G943" t="s">
        <v>1128</v>
      </c>
      <c r="H943" t="s">
        <v>4599</v>
      </c>
      <c r="J943" t="s">
        <v>91</v>
      </c>
      <c r="K943" t="s">
        <v>91</v>
      </c>
      <c r="L943" t="s">
        <v>91</v>
      </c>
      <c r="M943" t="s">
        <v>1554</v>
      </c>
      <c r="N943" t="s">
        <v>1588</v>
      </c>
    </row>
    <row r="944" spans="1:14" ht="14.25" customHeight="1">
      <c r="A944">
        <v>943</v>
      </c>
      <c r="B944" t="s">
        <v>9</v>
      </c>
      <c r="C944" t="s">
        <v>1549</v>
      </c>
      <c r="D944" t="s">
        <v>4600</v>
      </c>
      <c r="E944" t="s">
        <v>4601</v>
      </c>
      <c r="F944">
        <v>2026</v>
      </c>
      <c r="G944" t="s">
        <v>4602</v>
      </c>
      <c r="H944" t="s">
        <v>4603</v>
      </c>
      <c r="J944" t="s">
        <v>91</v>
      </c>
      <c r="K944" t="s">
        <v>91</v>
      </c>
      <c r="L944" t="s">
        <v>91</v>
      </c>
      <c r="M944" t="s">
        <v>1587</v>
      </c>
      <c r="N944" t="s">
        <v>1588</v>
      </c>
    </row>
    <row r="945" spans="1:16" ht="14.25" customHeight="1">
      <c r="A945">
        <v>944</v>
      </c>
      <c r="B945" t="s">
        <v>9</v>
      </c>
      <c r="C945" t="s">
        <v>1549</v>
      </c>
      <c r="D945" t="s">
        <v>4604</v>
      </c>
      <c r="E945" t="s">
        <v>4605</v>
      </c>
      <c r="F945">
        <v>2026</v>
      </c>
      <c r="G945" t="s">
        <v>3414</v>
      </c>
      <c r="H945" t="s">
        <v>4606</v>
      </c>
      <c r="J945" t="s">
        <v>91</v>
      </c>
      <c r="K945" t="s">
        <v>91</v>
      </c>
      <c r="L945" t="s">
        <v>91</v>
      </c>
      <c r="M945" t="s">
        <v>1570</v>
      </c>
      <c r="N945" t="s">
        <v>1555</v>
      </c>
    </row>
    <row r="946" spans="1:16" ht="14.25" customHeight="1">
      <c r="A946">
        <v>945</v>
      </c>
      <c r="B946" t="s">
        <v>9</v>
      </c>
      <c r="C946" t="s">
        <v>1549</v>
      </c>
      <c r="D946" t="s">
        <v>4607</v>
      </c>
      <c r="E946" t="s">
        <v>4608</v>
      </c>
      <c r="F946">
        <v>2026</v>
      </c>
      <c r="G946" t="s">
        <v>2559</v>
      </c>
      <c r="H946" t="s">
        <v>4609</v>
      </c>
      <c r="J946" t="s">
        <v>91</v>
      </c>
      <c r="K946" t="s">
        <v>91</v>
      </c>
      <c r="L946" t="s">
        <v>91</v>
      </c>
      <c r="M946" t="s">
        <v>1570</v>
      </c>
      <c r="N946" t="s">
        <v>1588</v>
      </c>
    </row>
    <row r="947" spans="1:16" ht="14.25" customHeight="1">
      <c r="A947" s="20">
        <v>946</v>
      </c>
      <c r="B947" s="20" t="s">
        <v>9</v>
      </c>
      <c r="C947" s="20" t="s">
        <v>1549</v>
      </c>
      <c r="D947" s="20" t="s">
        <v>1168</v>
      </c>
      <c r="E947" s="20" t="s">
        <v>1169</v>
      </c>
      <c r="F947" s="20">
        <v>2026</v>
      </c>
      <c r="G947" s="20" t="s">
        <v>1094</v>
      </c>
      <c r="H947" s="20" t="s">
        <v>1170</v>
      </c>
      <c r="I947" s="20"/>
      <c r="J947" s="20" t="s">
        <v>76</v>
      </c>
      <c r="K947" s="20" t="s">
        <v>76</v>
      </c>
      <c r="L947" s="20" t="s">
        <v>76</v>
      </c>
      <c r="M947" s="20" t="s">
        <v>1625</v>
      </c>
      <c r="N947" s="20" t="s">
        <v>1555</v>
      </c>
      <c r="O947" s="20"/>
      <c r="P947" s="20"/>
    </row>
    <row r="948" spans="1:16" ht="14.25" customHeight="1">
      <c r="A948">
        <v>947</v>
      </c>
      <c r="B948" t="s">
        <v>9</v>
      </c>
      <c r="C948" t="s">
        <v>1549</v>
      </c>
      <c r="D948" t="s">
        <v>4610</v>
      </c>
      <c r="E948" t="s">
        <v>4611</v>
      </c>
      <c r="F948">
        <v>2026</v>
      </c>
      <c r="G948" t="s">
        <v>1856</v>
      </c>
      <c r="H948" t="s">
        <v>4612</v>
      </c>
      <c r="J948" t="s">
        <v>91</v>
      </c>
      <c r="K948" t="s">
        <v>91</v>
      </c>
      <c r="L948" t="s">
        <v>91</v>
      </c>
      <c r="M948" t="s">
        <v>1587</v>
      </c>
      <c r="N948" t="s">
        <v>1588</v>
      </c>
    </row>
    <row r="949" spans="1:16" ht="14.25" customHeight="1">
      <c r="A949">
        <v>948</v>
      </c>
      <c r="B949" t="s">
        <v>9</v>
      </c>
      <c r="C949" t="s">
        <v>1549</v>
      </c>
      <c r="D949" t="s">
        <v>4613</v>
      </c>
      <c r="E949" t="s">
        <v>4614</v>
      </c>
      <c r="F949">
        <v>2026</v>
      </c>
      <c r="G949" t="s">
        <v>4615</v>
      </c>
      <c r="H949" t="s">
        <v>4616</v>
      </c>
      <c r="J949" t="s">
        <v>91</v>
      </c>
      <c r="K949" t="s">
        <v>91</v>
      </c>
      <c r="L949" t="s">
        <v>91</v>
      </c>
      <c r="M949" t="s">
        <v>1593</v>
      </c>
      <c r="N949" t="s">
        <v>1555</v>
      </c>
    </row>
    <row r="950" spans="1:16" ht="14.25" customHeight="1">
      <c r="A950">
        <v>949</v>
      </c>
      <c r="B950" t="s">
        <v>9</v>
      </c>
      <c r="C950" t="s">
        <v>1549</v>
      </c>
      <c r="D950" t="s">
        <v>4617</v>
      </c>
      <c r="E950" t="s">
        <v>4618</v>
      </c>
      <c r="F950">
        <v>2026</v>
      </c>
      <c r="G950" t="s">
        <v>1573</v>
      </c>
      <c r="H950" t="s">
        <v>4619</v>
      </c>
      <c r="J950" t="s">
        <v>91</v>
      </c>
      <c r="K950" t="s">
        <v>91</v>
      </c>
      <c r="L950" t="s">
        <v>91</v>
      </c>
      <c r="M950" t="s">
        <v>1554</v>
      </c>
      <c r="N950" t="s">
        <v>1555</v>
      </c>
    </row>
    <row r="951" spans="1:16" ht="14.25" customHeight="1">
      <c r="A951">
        <v>950</v>
      </c>
      <c r="B951" t="s">
        <v>9</v>
      </c>
      <c r="C951" t="s">
        <v>1549</v>
      </c>
      <c r="D951" t="s">
        <v>4620</v>
      </c>
      <c r="E951" t="s">
        <v>4621</v>
      </c>
      <c r="F951">
        <v>2026</v>
      </c>
      <c r="G951" t="s">
        <v>4622</v>
      </c>
      <c r="H951" t="s">
        <v>4623</v>
      </c>
      <c r="J951" t="s">
        <v>91</v>
      </c>
      <c r="K951" t="s">
        <v>91</v>
      </c>
      <c r="L951" t="s">
        <v>91</v>
      </c>
      <c r="M951" t="s">
        <v>1570</v>
      </c>
      <c r="N951" t="s">
        <v>1588</v>
      </c>
    </row>
    <row r="952" spans="1:16" ht="14.25" customHeight="1">
      <c r="A952">
        <v>951</v>
      </c>
      <c r="B952" t="s">
        <v>9</v>
      </c>
      <c r="C952" t="s">
        <v>1549</v>
      </c>
      <c r="D952" t="s">
        <v>4624</v>
      </c>
      <c r="E952" t="s">
        <v>4625</v>
      </c>
      <c r="F952">
        <v>2026</v>
      </c>
      <c r="G952" t="s">
        <v>4626</v>
      </c>
      <c r="H952" t="s">
        <v>4627</v>
      </c>
      <c r="J952" t="s">
        <v>91</v>
      </c>
      <c r="K952" t="s">
        <v>91</v>
      </c>
      <c r="L952" t="s">
        <v>91</v>
      </c>
      <c r="M952" t="s">
        <v>1593</v>
      </c>
      <c r="N952" t="s">
        <v>1588</v>
      </c>
    </row>
    <row r="953" spans="1:16" ht="14.25" customHeight="1">
      <c r="A953">
        <v>952</v>
      </c>
      <c r="B953" t="s">
        <v>9</v>
      </c>
      <c r="C953" t="s">
        <v>1549</v>
      </c>
      <c r="D953" t="s">
        <v>4628</v>
      </c>
      <c r="E953" t="s">
        <v>4629</v>
      </c>
      <c r="F953">
        <v>2026</v>
      </c>
      <c r="G953" t="s">
        <v>4630</v>
      </c>
      <c r="H953" t="s">
        <v>4631</v>
      </c>
      <c r="J953" t="s">
        <v>91</v>
      </c>
      <c r="K953" t="s">
        <v>91</v>
      </c>
      <c r="L953" t="s">
        <v>91</v>
      </c>
      <c r="M953" t="s">
        <v>1570</v>
      </c>
      <c r="N953" t="s">
        <v>1588</v>
      </c>
    </row>
    <row r="954" spans="1:16" ht="14.25" customHeight="1">
      <c r="A954">
        <v>953</v>
      </c>
      <c r="B954" t="s">
        <v>9</v>
      </c>
      <c r="C954" t="s">
        <v>1549</v>
      </c>
      <c r="D954" t="s">
        <v>4632</v>
      </c>
      <c r="E954" t="s">
        <v>4633</v>
      </c>
      <c r="F954">
        <v>2026</v>
      </c>
      <c r="G954" t="s">
        <v>1733</v>
      </c>
      <c r="H954" t="s">
        <v>4634</v>
      </c>
      <c r="J954" t="s">
        <v>91</v>
      </c>
      <c r="K954" t="s">
        <v>91</v>
      </c>
      <c r="L954" t="s">
        <v>91</v>
      </c>
      <c r="M954" t="s">
        <v>1593</v>
      </c>
      <c r="N954" t="s">
        <v>1555</v>
      </c>
    </row>
    <row r="955" spans="1:16" ht="14.25" customHeight="1">
      <c r="A955">
        <v>954</v>
      </c>
      <c r="B955" t="s">
        <v>9</v>
      </c>
      <c r="C955" t="s">
        <v>1549</v>
      </c>
      <c r="D955" t="s">
        <v>4635</v>
      </c>
      <c r="E955" t="s">
        <v>4636</v>
      </c>
      <c r="F955">
        <v>2026</v>
      </c>
      <c r="G955" t="s">
        <v>1148</v>
      </c>
      <c r="H955" t="s">
        <v>4637</v>
      </c>
      <c r="J955" t="s">
        <v>91</v>
      </c>
      <c r="K955" t="s">
        <v>91</v>
      </c>
      <c r="L955" t="s">
        <v>91</v>
      </c>
      <c r="M955" t="s">
        <v>1570</v>
      </c>
      <c r="N955" t="s">
        <v>1588</v>
      </c>
    </row>
    <row r="956" spans="1:16" ht="14.25" customHeight="1">
      <c r="A956">
        <v>955</v>
      </c>
      <c r="B956" t="s">
        <v>9</v>
      </c>
      <c r="C956" t="s">
        <v>1549</v>
      </c>
      <c r="D956" t="s">
        <v>4638</v>
      </c>
      <c r="E956" t="s">
        <v>4639</v>
      </c>
      <c r="F956">
        <v>2026</v>
      </c>
      <c r="G956" t="s">
        <v>3105</v>
      </c>
      <c r="H956" t="s">
        <v>4640</v>
      </c>
      <c r="J956" t="s">
        <v>91</v>
      </c>
      <c r="K956" t="s">
        <v>91</v>
      </c>
      <c r="L956" t="s">
        <v>91</v>
      </c>
      <c r="M956" t="s">
        <v>1570</v>
      </c>
      <c r="N956" t="s">
        <v>1588</v>
      </c>
    </row>
    <row r="957" spans="1:16" ht="14.25" customHeight="1">
      <c r="A957">
        <v>956</v>
      </c>
      <c r="B957" t="s">
        <v>9</v>
      </c>
      <c r="C957" t="s">
        <v>1549</v>
      </c>
      <c r="D957" t="s">
        <v>4641</v>
      </c>
      <c r="E957" t="s">
        <v>4642</v>
      </c>
      <c r="F957">
        <v>2026</v>
      </c>
      <c r="G957" t="s">
        <v>4643</v>
      </c>
      <c r="H957" t="s">
        <v>4644</v>
      </c>
      <c r="J957" t="s">
        <v>91</v>
      </c>
      <c r="K957" t="s">
        <v>91</v>
      </c>
      <c r="L957" t="s">
        <v>91</v>
      </c>
      <c r="M957" t="s">
        <v>1570</v>
      </c>
      <c r="N957" t="s">
        <v>1588</v>
      </c>
    </row>
    <row r="958" spans="1:16" ht="14.25" customHeight="1">
      <c r="A958">
        <v>957</v>
      </c>
      <c r="B958" t="s">
        <v>9</v>
      </c>
      <c r="C958" t="s">
        <v>1549</v>
      </c>
      <c r="D958" t="s">
        <v>4645</v>
      </c>
      <c r="E958" t="s">
        <v>4089</v>
      </c>
      <c r="F958">
        <v>2026</v>
      </c>
      <c r="G958" t="s">
        <v>1121</v>
      </c>
      <c r="H958" t="s">
        <v>4646</v>
      </c>
      <c r="J958" t="s">
        <v>91</v>
      </c>
      <c r="K958" t="s">
        <v>91</v>
      </c>
      <c r="L958" t="s">
        <v>91</v>
      </c>
      <c r="M958" t="s">
        <v>1570</v>
      </c>
      <c r="N958" t="s">
        <v>1588</v>
      </c>
    </row>
    <row r="959" spans="1:16" ht="14.25" customHeight="1">
      <c r="A959">
        <v>958</v>
      </c>
      <c r="B959" t="s">
        <v>9</v>
      </c>
      <c r="C959" t="s">
        <v>1549</v>
      </c>
      <c r="D959" t="s">
        <v>4647</v>
      </c>
      <c r="E959" t="s">
        <v>4648</v>
      </c>
      <c r="F959">
        <v>2026</v>
      </c>
      <c r="G959" t="s">
        <v>3105</v>
      </c>
      <c r="H959" t="s">
        <v>4649</v>
      </c>
      <c r="J959" t="s">
        <v>91</v>
      </c>
      <c r="K959" t="s">
        <v>91</v>
      </c>
      <c r="L959" t="s">
        <v>91</v>
      </c>
      <c r="M959" t="s">
        <v>1587</v>
      </c>
      <c r="N959" t="s">
        <v>1588</v>
      </c>
    </row>
    <row r="960" spans="1:16" ht="14.25" customHeight="1">
      <c r="A960">
        <v>959</v>
      </c>
      <c r="B960" t="s">
        <v>9</v>
      </c>
      <c r="C960" t="s">
        <v>1549</v>
      </c>
      <c r="D960" t="s">
        <v>4650</v>
      </c>
      <c r="E960" t="s">
        <v>4651</v>
      </c>
      <c r="F960">
        <v>2026</v>
      </c>
      <c r="G960" t="s">
        <v>4652</v>
      </c>
      <c r="H960" t="s">
        <v>4653</v>
      </c>
      <c r="J960" t="s">
        <v>91</v>
      </c>
      <c r="K960" t="s">
        <v>91</v>
      </c>
      <c r="L960" t="s">
        <v>91</v>
      </c>
      <c r="M960" t="s">
        <v>1593</v>
      </c>
      <c r="N960" t="s">
        <v>1588</v>
      </c>
    </row>
    <row r="961" spans="1:14" ht="14.25" customHeight="1">
      <c r="A961">
        <v>960</v>
      </c>
      <c r="B961" t="s">
        <v>9</v>
      </c>
      <c r="C961" t="s">
        <v>1549</v>
      </c>
      <c r="D961" t="s">
        <v>4654</v>
      </c>
      <c r="E961" t="s">
        <v>4655</v>
      </c>
      <c r="F961">
        <v>2026</v>
      </c>
      <c r="G961" t="s">
        <v>982</v>
      </c>
      <c r="H961" t="s">
        <v>4656</v>
      </c>
      <c r="J961" t="s">
        <v>91</v>
      </c>
      <c r="K961" t="s">
        <v>91</v>
      </c>
      <c r="L961" t="s">
        <v>91</v>
      </c>
      <c r="M961" t="s">
        <v>1570</v>
      </c>
      <c r="N961" t="s">
        <v>1588</v>
      </c>
    </row>
    <row r="962" spans="1:14" ht="14.25" customHeight="1">
      <c r="A962">
        <v>961</v>
      </c>
      <c r="B962" t="s">
        <v>9</v>
      </c>
      <c r="C962" t="s">
        <v>1549</v>
      </c>
      <c r="D962" t="s">
        <v>4657</v>
      </c>
      <c r="E962" t="s">
        <v>4658</v>
      </c>
      <c r="F962">
        <v>2026</v>
      </c>
      <c r="G962" t="s">
        <v>4659</v>
      </c>
      <c r="H962" t="s">
        <v>4660</v>
      </c>
      <c r="J962" t="s">
        <v>91</v>
      </c>
      <c r="K962" t="s">
        <v>91</v>
      </c>
      <c r="L962" t="s">
        <v>91</v>
      </c>
      <c r="M962" t="s">
        <v>1570</v>
      </c>
      <c r="N962" t="s">
        <v>1588</v>
      </c>
    </row>
    <row r="963" spans="1:14" ht="14.25" customHeight="1">
      <c r="A963">
        <v>962</v>
      </c>
      <c r="B963" t="s">
        <v>9</v>
      </c>
      <c r="C963" t="s">
        <v>1549</v>
      </c>
      <c r="D963" t="s">
        <v>4661</v>
      </c>
      <c r="E963" t="s">
        <v>4662</v>
      </c>
      <c r="F963">
        <v>2026</v>
      </c>
      <c r="G963" t="s">
        <v>2190</v>
      </c>
      <c r="H963" t="s">
        <v>4663</v>
      </c>
      <c r="J963" t="s">
        <v>91</v>
      </c>
      <c r="K963" t="s">
        <v>91</v>
      </c>
      <c r="L963" t="s">
        <v>91</v>
      </c>
      <c r="M963" t="s">
        <v>1593</v>
      </c>
      <c r="N963" t="s">
        <v>1555</v>
      </c>
    </row>
    <row r="964" spans="1:14" ht="14.25" customHeight="1">
      <c r="A964">
        <v>963</v>
      </c>
      <c r="B964" t="s">
        <v>9</v>
      </c>
      <c r="C964" t="s">
        <v>1549</v>
      </c>
      <c r="D964" t="s">
        <v>4664</v>
      </c>
      <c r="E964" t="s">
        <v>4665</v>
      </c>
      <c r="F964">
        <v>2026</v>
      </c>
      <c r="G964" t="s">
        <v>1733</v>
      </c>
      <c r="H964" t="s">
        <v>4666</v>
      </c>
      <c r="J964" t="s">
        <v>91</v>
      </c>
      <c r="K964" t="s">
        <v>91</v>
      </c>
      <c r="L964" t="s">
        <v>91</v>
      </c>
      <c r="M964" t="s">
        <v>1593</v>
      </c>
      <c r="N964" t="s">
        <v>1555</v>
      </c>
    </row>
    <row r="965" spans="1:14" ht="14.25" customHeight="1">
      <c r="A965">
        <v>964</v>
      </c>
      <c r="B965" t="s">
        <v>9</v>
      </c>
      <c r="C965" t="s">
        <v>1549</v>
      </c>
      <c r="D965" t="s">
        <v>4667</v>
      </c>
      <c r="E965" t="s">
        <v>4668</v>
      </c>
      <c r="F965">
        <v>2026</v>
      </c>
      <c r="G965" t="s">
        <v>2190</v>
      </c>
      <c r="H965" t="s">
        <v>4669</v>
      </c>
      <c r="J965" t="s">
        <v>91</v>
      </c>
      <c r="K965" t="s">
        <v>91</v>
      </c>
      <c r="L965" t="s">
        <v>91</v>
      </c>
      <c r="M965" t="s">
        <v>1570</v>
      </c>
      <c r="N965" t="s">
        <v>1555</v>
      </c>
    </row>
    <row r="966" spans="1:14" ht="14.25" customHeight="1">
      <c r="A966">
        <v>965</v>
      </c>
      <c r="B966" t="s">
        <v>9</v>
      </c>
      <c r="C966" t="s">
        <v>1549</v>
      </c>
      <c r="D966" t="s">
        <v>4670</v>
      </c>
      <c r="E966" t="s">
        <v>4671</v>
      </c>
      <c r="F966">
        <v>2026</v>
      </c>
      <c r="G966" t="s">
        <v>1091</v>
      </c>
      <c r="H966" t="s">
        <v>4672</v>
      </c>
      <c r="J966" t="s">
        <v>91</v>
      </c>
      <c r="K966" t="s">
        <v>91</v>
      </c>
      <c r="L966" t="s">
        <v>91</v>
      </c>
      <c r="M966" t="s">
        <v>1570</v>
      </c>
      <c r="N966" t="s">
        <v>1588</v>
      </c>
    </row>
    <row r="967" spans="1:14" ht="14.25" customHeight="1">
      <c r="A967">
        <v>966</v>
      </c>
      <c r="B967" t="s">
        <v>9</v>
      </c>
      <c r="C967" t="s">
        <v>1549</v>
      </c>
      <c r="D967" t="s">
        <v>4673</v>
      </c>
      <c r="E967" t="s">
        <v>4674</v>
      </c>
      <c r="F967">
        <v>2026</v>
      </c>
      <c r="G967" t="s">
        <v>4675</v>
      </c>
      <c r="H967" t="s">
        <v>4676</v>
      </c>
      <c r="J967" t="s">
        <v>91</v>
      </c>
      <c r="K967" t="s">
        <v>91</v>
      </c>
      <c r="L967" t="s">
        <v>91</v>
      </c>
      <c r="M967" t="s">
        <v>1593</v>
      </c>
      <c r="N967" t="s">
        <v>1588</v>
      </c>
    </row>
    <row r="968" spans="1:14" ht="14.25" customHeight="1">
      <c r="A968">
        <v>967</v>
      </c>
      <c r="B968" t="s">
        <v>9</v>
      </c>
      <c r="C968" t="s">
        <v>1549</v>
      </c>
      <c r="D968" t="s">
        <v>4677</v>
      </c>
      <c r="E968" t="s">
        <v>4678</v>
      </c>
      <c r="F968">
        <v>2026</v>
      </c>
      <c r="G968" t="s">
        <v>923</v>
      </c>
      <c r="H968" t="s">
        <v>4679</v>
      </c>
      <c r="J968" t="s">
        <v>91</v>
      </c>
      <c r="K968" t="s">
        <v>91</v>
      </c>
      <c r="L968" t="s">
        <v>91</v>
      </c>
      <c r="M968" t="s">
        <v>1570</v>
      </c>
      <c r="N968" t="s">
        <v>1555</v>
      </c>
    </row>
    <row r="969" spans="1:14" ht="14.25" customHeight="1">
      <c r="A969">
        <v>968</v>
      </c>
      <c r="B969" t="s">
        <v>9</v>
      </c>
      <c r="C969" t="s">
        <v>1549</v>
      </c>
      <c r="D969" t="s">
        <v>4680</v>
      </c>
      <c r="E969" t="s">
        <v>4681</v>
      </c>
      <c r="F969">
        <v>2026</v>
      </c>
      <c r="G969" t="s">
        <v>4682</v>
      </c>
      <c r="H969" t="s">
        <v>4683</v>
      </c>
      <c r="J969" t="s">
        <v>91</v>
      </c>
      <c r="K969" t="s">
        <v>91</v>
      </c>
      <c r="L969" t="s">
        <v>91</v>
      </c>
      <c r="M969" t="s">
        <v>1570</v>
      </c>
      <c r="N969" t="s">
        <v>1588</v>
      </c>
    </row>
    <row r="970" spans="1:14" ht="14.25" customHeight="1">
      <c r="A970">
        <v>969</v>
      </c>
      <c r="B970" t="s">
        <v>9</v>
      </c>
      <c r="C970" t="s">
        <v>1549</v>
      </c>
      <c r="D970" t="s">
        <v>4684</v>
      </c>
      <c r="E970" t="s">
        <v>4685</v>
      </c>
      <c r="F970">
        <v>2026</v>
      </c>
      <c r="G970" t="s">
        <v>4321</v>
      </c>
      <c r="H970" t="s">
        <v>4686</v>
      </c>
      <c r="J970" t="s">
        <v>91</v>
      </c>
      <c r="K970" t="s">
        <v>91</v>
      </c>
      <c r="L970" t="s">
        <v>91</v>
      </c>
      <c r="M970" t="s">
        <v>1570</v>
      </c>
      <c r="N970" t="s">
        <v>1588</v>
      </c>
    </row>
    <row r="971" spans="1:14" ht="14.25" customHeight="1">
      <c r="A971">
        <v>970</v>
      </c>
      <c r="B971" t="s">
        <v>9</v>
      </c>
      <c r="C971" t="s">
        <v>1549</v>
      </c>
      <c r="D971" t="s">
        <v>4687</v>
      </c>
      <c r="E971" t="s">
        <v>4688</v>
      </c>
      <c r="F971">
        <v>2026</v>
      </c>
      <c r="G971" t="s">
        <v>4689</v>
      </c>
      <c r="H971" t="s">
        <v>4690</v>
      </c>
      <c r="J971" t="s">
        <v>91</v>
      </c>
      <c r="K971" t="s">
        <v>91</v>
      </c>
      <c r="L971" t="s">
        <v>91</v>
      </c>
      <c r="M971" t="s">
        <v>1570</v>
      </c>
      <c r="N971" t="s">
        <v>1588</v>
      </c>
    </row>
    <row r="972" spans="1:14" ht="14.25" customHeight="1">
      <c r="A972">
        <v>971</v>
      </c>
      <c r="B972" t="s">
        <v>9</v>
      </c>
      <c r="C972" t="s">
        <v>1549</v>
      </c>
      <c r="D972" t="s">
        <v>4691</v>
      </c>
      <c r="E972" t="s">
        <v>4692</v>
      </c>
      <c r="F972">
        <v>2026</v>
      </c>
      <c r="G972" t="s">
        <v>4693</v>
      </c>
      <c r="H972" t="s">
        <v>4694</v>
      </c>
      <c r="J972" t="s">
        <v>91</v>
      </c>
      <c r="K972" t="s">
        <v>91</v>
      </c>
      <c r="L972" t="s">
        <v>91</v>
      </c>
      <c r="M972" t="s">
        <v>1570</v>
      </c>
      <c r="N972" t="s">
        <v>1555</v>
      </c>
    </row>
    <row r="973" spans="1:14" ht="14.25" customHeight="1">
      <c r="A973">
        <v>972</v>
      </c>
      <c r="B973" t="s">
        <v>9</v>
      </c>
      <c r="C973" t="s">
        <v>1549</v>
      </c>
      <c r="D973" t="s">
        <v>4695</v>
      </c>
      <c r="E973" t="s">
        <v>4696</v>
      </c>
      <c r="F973">
        <v>2026</v>
      </c>
      <c r="G973" t="s">
        <v>4156</v>
      </c>
      <c r="H973" t="s">
        <v>4697</v>
      </c>
      <c r="J973" t="s">
        <v>91</v>
      </c>
      <c r="K973" t="s">
        <v>91</v>
      </c>
      <c r="L973" t="s">
        <v>91</v>
      </c>
      <c r="M973" t="s">
        <v>1587</v>
      </c>
      <c r="N973" t="s">
        <v>1588</v>
      </c>
    </row>
    <row r="974" spans="1:14" ht="14.25" customHeight="1">
      <c r="A974">
        <v>973</v>
      </c>
      <c r="B974" t="s">
        <v>9</v>
      </c>
      <c r="C974" t="s">
        <v>1549</v>
      </c>
      <c r="D974" t="s">
        <v>4698</v>
      </c>
      <c r="E974" t="s">
        <v>4699</v>
      </c>
      <c r="F974">
        <v>2026</v>
      </c>
      <c r="G974" t="s">
        <v>2074</v>
      </c>
      <c r="H974" t="s">
        <v>4700</v>
      </c>
      <c r="J974" t="s">
        <v>91</v>
      </c>
      <c r="K974" t="s">
        <v>91</v>
      </c>
      <c r="L974" t="s">
        <v>91</v>
      </c>
      <c r="M974" t="s">
        <v>1570</v>
      </c>
      <c r="N974" t="s">
        <v>1588</v>
      </c>
    </row>
    <row r="975" spans="1:14" ht="14.25" customHeight="1">
      <c r="A975">
        <v>974</v>
      </c>
      <c r="B975" t="s">
        <v>9</v>
      </c>
      <c r="C975" t="s">
        <v>1549</v>
      </c>
      <c r="D975" t="s">
        <v>4701</v>
      </c>
      <c r="E975" t="s">
        <v>4702</v>
      </c>
      <c r="F975">
        <v>2026</v>
      </c>
      <c r="G975" t="s">
        <v>3991</v>
      </c>
      <c r="H975" t="s">
        <v>4703</v>
      </c>
      <c r="J975" t="s">
        <v>91</v>
      </c>
      <c r="K975" t="s">
        <v>91</v>
      </c>
      <c r="L975" t="s">
        <v>91</v>
      </c>
      <c r="M975" t="s">
        <v>1570</v>
      </c>
      <c r="N975" t="s">
        <v>1588</v>
      </c>
    </row>
    <row r="976" spans="1:14" ht="14.25" customHeight="1">
      <c r="A976">
        <v>975</v>
      </c>
      <c r="B976" t="s">
        <v>9</v>
      </c>
      <c r="C976" t="s">
        <v>1549</v>
      </c>
      <c r="D976" t="s">
        <v>4704</v>
      </c>
      <c r="E976" t="s">
        <v>4705</v>
      </c>
      <c r="F976">
        <v>2026</v>
      </c>
      <c r="G976" t="s">
        <v>2190</v>
      </c>
      <c r="H976" t="s">
        <v>4706</v>
      </c>
      <c r="J976" t="s">
        <v>91</v>
      </c>
      <c r="K976" t="s">
        <v>91</v>
      </c>
      <c r="L976" t="s">
        <v>91</v>
      </c>
      <c r="M976" t="s">
        <v>1570</v>
      </c>
      <c r="N976" t="s">
        <v>1555</v>
      </c>
    </row>
    <row r="977" spans="1:14" ht="14.25" customHeight="1">
      <c r="A977">
        <v>976</v>
      </c>
      <c r="B977" t="s">
        <v>9</v>
      </c>
      <c r="C977" t="s">
        <v>1549</v>
      </c>
      <c r="D977" t="s">
        <v>4707</v>
      </c>
      <c r="E977" t="s">
        <v>4708</v>
      </c>
      <c r="F977">
        <v>2026</v>
      </c>
      <c r="G977" t="s">
        <v>4709</v>
      </c>
      <c r="H977" t="s">
        <v>4710</v>
      </c>
      <c r="J977" t="s">
        <v>91</v>
      </c>
      <c r="K977" t="s">
        <v>91</v>
      </c>
      <c r="L977" t="s">
        <v>91</v>
      </c>
      <c r="M977" t="s">
        <v>1570</v>
      </c>
      <c r="N977" t="s">
        <v>1588</v>
      </c>
    </row>
    <row r="978" spans="1:14" ht="14.25" customHeight="1">
      <c r="A978">
        <v>977</v>
      </c>
      <c r="B978" t="s">
        <v>9</v>
      </c>
      <c r="C978" t="s">
        <v>1549</v>
      </c>
      <c r="D978" t="s">
        <v>4711</v>
      </c>
      <c r="E978" t="s">
        <v>4712</v>
      </c>
      <c r="F978">
        <v>2026</v>
      </c>
      <c r="G978" t="s">
        <v>969</v>
      </c>
      <c r="H978" t="s">
        <v>4713</v>
      </c>
      <c r="J978" t="s">
        <v>91</v>
      </c>
      <c r="K978" t="s">
        <v>91</v>
      </c>
      <c r="L978" t="s">
        <v>91</v>
      </c>
      <c r="M978" t="s">
        <v>1570</v>
      </c>
      <c r="N978" t="s">
        <v>1555</v>
      </c>
    </row>
    <row r="979" spans="1:14" ht="14.25" customHeight="1">
      <c r="A979">
        <v>978</v>
      </c>
      <c r="B979" t="s">
        <v>9</v>
      </c>
      <c r="C979" t="s">
        <v>1549</v>
      </c>
      <c r="D979" t="s">
        <v>4714</v>
      </c>
      <c r="E979" t="s">
        <v>4715</v>
      </c>
      <c r="F979">
        <v>2026</v>
      </c>
      <c r="G979" t="s">
        <v>4716</v>
      </c>
      <c r="H979" t="s">
        <v>4717</v>
      </c>
      <c r="J979" t="s">
        <v>91</v>
      </c>
      <c r="K979" t="s">
        <v>91</v>
      </c>
      <c r="L979" t="s">
        <v>91</v>
      </c>
      <c r="M979" t="s">
        <v>1570</v>
      </c>
      <c r="N979" t="s">
        <v>1588</v>
      </c>
    </row>
    <row r="980" spans="1:14" ht="14.25" customHeight="1">
      <c r="A980">
        <v>979</v>
      </c>
      <c r="B980" t="s">
        <v>9</v>
      </c>
      <c r="C980" t="s">
        <v>1549</v>
      </c>
      <c r="D980" t="s">
        <v>4718</v>
      </c>
      <c r="E980" t="s">
        <v>4719</v>
      </c>
      <c r="F980">
        <v>2026</v>
      </c>
      <c r="G980" t="s">
        <v>4720</v>
      </c>
      <c r="H980" t="s">
        <v>4721</v>
      </c>
      <c r="J980" t="s">
        <v>91</v>
      </c>
      <c r="K980" t="s">
        <v>91</v>
      </c>
      <c r="L980" t="s">
        <v>91</v>
      </c>
      <c r="M980" t="s">
        <v>1570</v>
      </c>
      <c r="N980" t="s">
        <v>1588</v>
      </c>
    </row>
    <row r="981" spans="1:14" ht="14.25" customHeight="1">
      <c r="A981">
        <v>980</v>
      </c>
      <c r="B981" t="s">
        <v>9</v>
      </c>
      <c r="C981" t="s">
        <v>1549</v>
      </c>
      <c r="D981" t="s">
        <v>4722</v>
      </c>
      <c r="E981" t="s">
        <v>4723</v>
      </c>
      <c r="F981">
        <v>2026</v>
      </c>
      <c r="G981" t="s">
        <v>2190</v>
      </c>
      <c r="H981" t="s">
        <v>4724</v>
      </c>
      <c r="J981" t="s">
        <v>91</v>
      </c>
      <c r="K981" t="s">
        <v>91</v>
      </c>
      <c r="L981" t="s">
        <v>91</v>
      </c>
      <c r="M981" t="s">
        <v>1593</v>
      </c>
      <c r="N981" t="s">
        <v>1555</v>
      </c>
    </row>
    <row r="982" spans="1:14" ht="14.25" customHeight="1">
      <c r="A982">
        <v>981</v>
      </c>
      <c r="B982" t="s">
        <v>9</v>
      </c>
      <c r="C982" t="s">
        <v>1549</v>
      </c>
      <c r="D982" t="s">
        <v>4725</v>
      </c>
      <c r="E982" t="s">
        <v>4726</v>
      </c>
      <c r="F982">
        <v>2026</v>
      </c>
      <c r="G982" t="s">
        <v>2074</v>
      </c>
      <c r="H982" t="s">
        <v>4727</v>
      </c>
      <c r="J982" t="s">
        <v>91</v>
      </c>
      <c r="K982" t="s">
        <v>91</v>
      </c>
      <c r="L982" t="s">
        <v>91</v>
      </c>
      <c r="M982" t="s">
        <v>1570</v>
      </c>
      <c r="N982" t="s">
        <v>1588</v>
      </c>
    </row>
    <row r="983" spans="1:14" ht="14.25" customHeight="1">
      <c r="A983">
        <v>982</v>
      </c>
      <c r="B983" t="s">
        <v>9</v>
      </c>
      <c r="C983" t="s">
        <v>1549</v>
      </c>
      <c r="D983" t="s">
        <v>4728</v>
      </c>
      <c r="E983" t="s">
        <v>4729</v>
      </c>
      <c r="F983">
        <v>2026</v>
      </c>
      <c r="G983" t="s">
        <v>4730</v>
      </c>
      <c r="H983" t="s">
        <v>4731</v>
      </c>
      <c r="J983" t="s">
        <v>91</v>
      </c>
      <c r="K983" t="s">
        <v>91</v>
      </c>
      <c r="L983" t="s">
        <v>91</v>
      </c>
      <c r="M983" t="s">
        <v>1570</v>
      </c>
      <c r="N983" t="s">
        <v>1588</v>
      </c>
    </row>
    <row r="984" spans="1:14" ht="14.25" customHeight="1">
      <c r="A984">
        <v>983</v>
      </c>
      <c r="B984" t="s">
        <v>9</v>
      </c>
      <c r="C984" t="s">
        <v>1549</v>
      </c>
      <c r="D984" t="s">
        <v>4732</v>
      </c>
      <c r="F984">
        <v>2026</v>
      </c>
      <c r="G984" t="s">
        <v>2943</v>
      </c>
      <c r="H984" t="s">
        <v>4733</v>
      </c>
      <c r="J984" t="s">
        <v>91</v>
      </c>
      <c r="K984" t="s">
        <v>91</v>
      </c>
      <c r="L984" t="s">
        <v>91</v>
      </c>
      <c r="M984" t="s">
        <v>1570</v>
      </c>
      <c r="N984" t="s">
        <v>1555</v>
      </c>
    </row>
    <row r="985" spans="1:14" ht="14.25" customHeight="1">
      <c r="A985">
        <v>984</v>
      </c>
      <c r="B985" t="s">
        <v>9</v>
      </c>
      <c r="C985" t="s">
        <v>1549</v>
      </c>
      <c r="D985" t="s">
        <v>4734</v>
      </c>
      <c r="E985" t="s">
        <v>4735</v>
      </c>
      <c r="F985">
        <v>2026</v>
      </c>
      <c r="G985" t="s">
        <v>1755</v>
      </c>
      <c r="H985" t="s">
        <v>4736</v>
      </c>
      <c r="J985" t="s">
        <v>91</v>
      </c>
      <c r="K985" t="s">
        <v>91</v>
      </c>
      <c r="L985" t="s">
        <v>91</v>
      </c>
      <c r="M985" t="s">
        <v>1570</v>
      </c>
      <c r="N985" t="s">
        <v>1555</v>
      </c>
    </row>
    <row r="986" spans="1:14" ht="14.25" customHeight="1">
      <c r="A986">
        <v>985</v>
      </c>
      <c r="B986" t="s">
        <v>9</v>
      </c>
      <c r="C986" t="s">
        <v>1549</v>
      </c>
      <c r="D986" t="s">
        <v>4737</v>
      </c>
      <c r="E986" t="s">
        <v>4738</v>
      </c>
      <c r="F986">
        <v>2026</v>
      </c>
      <c r="G986" t="s">
        <v>4739</v>
      </c>
      <c r="H986" t="s">
        <v>4740</v>
      </c>
      <c r="J986" t="s">
        <v>91</v>
      </c>
      <c r="K986" t="s">
        <v>91</v>
      </c>
      <c r="L986" t="s">
        <v>91</v>
      </c>
      <c r="M986" t="s">
        <v>1570</v>
      </c>
      <c r="N986" t="s">
        <v>1588</v>
      </c>
    </row>
    <row r="987" spans="1:14" ht="14.25" customHeight="1">
      <c r="A987">
        <v>986</v>
      </c>
      <c r="B987" t="s">
        <v>9</v>
      </c>
      <c r="C987" t="s">
        <v>1549</v>
      </c>
      <c r="D987" t="s">
        <v>4741</v>
      </c>
      <c r="E987" t="s">
        <v>4742</v>
      </c>
      <c r="F987">
        <v>2026</v>
      </c>
      <c r="G987" t="s">
        <v>4743</v>
      </c>
      <c r="H987" t="s">
        <v>4744</v>
      </c>
      <c r="J987" t="s">
        <v>91</v>
      </c>
      <c r="K987" t="s">
        <v>91</v>
      </c>
      <c r="L987" t="s">
        <v>91</v>
      </c>
      <c r="M987" t="s">
        <v>1570</v>
      </c>
      <c r="N987" t="s">
        <v>1588</v>
      </c>
    </row>
    <row r="988" spans="1:14" ht="14.25" customHeight="1">
      <c r="A988">
        <v>987</v>
      </c>
      <c r="B988" t="s">
        <v>9</v>
      </c>
      <c r="C988" t="s">
        <v>1549</v>
      </c>
      <c r="D988" t="s">
        <v>4745</v>
      </c>
      <c r="E988" t="s">
        <v>4746</v>
      </c>
      <c r="F988">
        <v>2026</v>
      </c>
      <c r="G988" t="s">
        <v>4747</v>
      </c>
      <c r="H988" t="s">
        <v>4748</v>
      </c>
      <c r="J988" t="s">
        <v>91</v>
      </c>
      <c r="K988" t="s">
        <v>91</v>
      </c>
      <c r="L988" t="s">
        <v>91</v>
      </c>
      <c r="M988" t="s">
        <v>1570</v>
      </c>
      <c r="N988" t="s">
        <v>1555</v>
      </c>
    </row>
    <row r="989" spans="1:14" ht="14.25" customHeight="1">
      <c r="A989">
        <v>988</v>
      </c>
      <c r="B989" t="s">
        <v>9</v>
      </c>
      <c r="C989" t="s">
        <v>1549</v>
      </c>
      <c r="D989" t="s">
        <v>4749</v>
      </c>
      <c r="E989" t="s">
        <v>4750</v>
      </c>
      <c r="F989">
        <v>2026</v>
      </c>
      <c r="G989" t="s">
        <v>3912</v>
      </c>
      <c r="H989" t="s">
        <v>4751</v>
      </c>
      <c r="J989" t="s">
        <v>91</v>
      </c>
      <c r="K989" t="s">
        <v>91</v>
      </c>
      <c r="L989" t="s">
        <v>91</v>
      </c>
      <c r="M989" t="s">
        <v>1593</v>
      </c>
      <c r="N989" t="s">
        <v>1555</v>
      </c>
    </row>
    <row r="990" spans="1:14" ht="14.25" customHeight="1">
      <c r="A990">
        <v>989</v>
      </c>
      <c r="B990" t="s">
        <v>9</v>
      </c>
      <c r="C990" t="s">
        <v>1549</v>
      </c>
      <c r="D990" t="s">
        <v>4752</v>
      </c>
      <c r="E990" t="s">
        <v>4753</v>
      </c>
      <c r="F990">
        <v>2026</v>
      </c>
      <c r="G990" t="s">
        <v>2100</v>
      </c>
      <c r="H990" t="s">
        <v>4754</v>
      </c>
      <c r="J990" t="s">
        <v>91</v>
      </c>
      <c r="K990" t="s">
        <v>91</v>
      </c>
      <c r="L990" t="s">
        <v>91</v>
      </c>
      <c r="M990" t="s">
        <v>1570</v>
      </c>
      <c r="N990" t="s">
        <v>1555</v>
      </c>
    </row>
    <row r="991" spans="1:14" ht="14.25" customHeight="1">
      <c r="A991">
        <v>990</v>
      </c>
      <c r="B991" t="s">
        <v>9</v>
      </c>
      <c r="C991" t="s">
        <v>1549</v>
      </c>
      <c r="D991" t="s">
        <v>4755</v>
      </c>
      <c r="E991" t="s">
        <v>4756</v>
      </c>
      <c r="F991">
        <v>2026</v>
      </c>
      <c r="G991" t="s">
        <v>4757</v>
      </c>
      <c r="H991" t="s">
        <v>4758</v>
      </c>
      <c r="J991" t="s">
        <v>91</v>
      </c>
      <c r="K991" t="s">
        <v>91</v>
      </c>
      <c r="L991" t="s">
        <v>91</v>
      </c>
      <c r="M991" t="s">
        <v>1570</v>
      </c>
      <c r="N991" t="s">
        <v>1555</v>
      </c>
    </row>
    <row r="992" spans="1:14" ht="14.25" customHeight="1">
      <c r="A992">
        <v>991</v>
      </c>
      <c r="B992" t="s">
        <v>9</v>
      </c>
      <c r="C992" t="s">
        <v>1549</v>
      </c>
      <c r="D992" t="s">
        <v>4759</v>
      </c>
      <c r="E992" t="s">
        <v>4760</v>
      </c>
      <c r="F992">
        <v>2026</v>
      </c>
      <c r="G992" t="s">
        <v>4761</v>
      </c>
      <c r="H992" t="s">
        <v>4762</v>
      </c>
      <c r="J992" t="s">
        <v>91</v>
      </c>
      <c r="K992" t="s">
        <v>91</v>
      </c>
      <c r="L992" t="s">
        <v>91</v>
      </c>
      <c r="M992" t="s">
        <v>1587</v>
      </c>
      <c r="N992" t="s">
        <v>1588</v>
      </c>
    </row>
    <row r="993" spans="1:14" ht="14.25" customHeight="1">
      <c r="A993">
        <v>992</v>
      </c>
      <c r="B993" t="s">
        <v>9</v>
      </c>
      <c r="C993" t="s">
        <v>1549</v>
      </c>
      <c r="D993" t="s">
        <v>4763</v>
      </c>
      <c r="E993" t="s">
        <v>4764</v>
      </c>
      <c r="F993">
        <v>2026</v>
      </c>
      <c r="G993" t="s">
        <v>4765</v>
      </c>
      <c r="H993" t="s">
        <v>4766</v>
      </c>
      <c r="J993" t="s">
        <v>91</v>
      </c>
      <c r="K993" t="s">
        <v>91</v>
      </c>
      <c r="L993" t="s">
        <v>91</v>
      </c>
      <c r="M993" t="s">
        <v>1570</v>
      </c>
      <c r="N993" t="s">
        <v>1588</v>
      </c>
    </row>
    <row r="994" spans="1:14" ht="14.25" customHeight="1">
      <c r="A994">
        <v>993</v>
      </c>
      <c r="B994" t="s">
        <v>9</v>
      </c>
      <c r="C994" t="s">
        <v>1549</v>
      </c>
      <c r="D994" t="s">
        <v>4767</v>
      </c>
      <c r="E994" t="s">
        <v>4768</v>
      </c>
      <c r="F994">
        <v>2026</v>
      </c>
      <c r="G994" t="s">
        <v>2269</v>
      </c>
      <c r="H994" t="s">
        <v>4769</v>
      </c>
      <c r="J994" t="s">
        <v>91</v>
      </c>
      <c r="K994" t="s">
        <v>91</v>
      </c>
      <c r="L994" t="s">
        <v>91</v>
      </c>
      <c r="M994" t="s">
        <v>1570</v>
      </c>
      <c r="N994" t="s">
        <v>1555</v>
      </c>
    </row>
    <row r="995" spans="1:14" ht="14.25" customHeight="1">
      <c r="A995">
        <v>994</v>
      </c>
      <c r="B995" t="s">
        <v>9</v>
      </c>
      <c r="C995" t="s">
        <v>1549</v>
      </c>
      <c r="D995" t="s">
        <v>4770</v>
      </c>
      <c r="E995" t="s">
        <v>4771</v>
      </c>
      <c r="F995">
        <v>2026</v>
      </c>
      <c r="G995" t="s">
        <v>4057</v>
      </c>
      <c r="H995" t="s">
        <v>4772</v>
      </c>
      <c r="J995" t="s">
        <v>91</v>
      </c>
      <c r="K995" t="s">
        <v>91</v>
      </c>
      <c r="L995" t="s">
        <v>91</v>
      </c>
      <c r="M995" t="s">
        <v>1570</v>
      </c>
      <c r="N995" t="s">
        <v>1588</v>
      </c>
    </row>
    <row r="996" spans="1:14" ht="14.25" customHeight="1">
      <c r="A996">
        <v>995</v>
      </c>
      <c r="B996" t="s">
        <v>9</v>
      </c>
      <c r="C996" t="s">
        <v>1549</v>
      </c>
      <c r="D996" t="s">
        <v>4773</v>
      </c>
      <c r="E996" t="s">
        <v>4774</v>
      </c>
      <c r="F996">
        <v>2026</v>
      </c>
      <c r="G996" t="s">
        <v>923</v>
      </c>
      <c r="H996" t="s">
        <v>4775</v>
      </c>
      <c r="J996" t="s">
        <v>91</v>
      </c>
      <c r="K996" t="s">
        <v>91</v>
      </c>
      <c r="L996" t="s">
        <v>91</v>
      </c>
      <c r="M996" t="s">
        <v>1570</v>
      </c>
      <c r="N996" t="s">
        <v>1555</v>
      </c>
    </row>
    <row r="997" spans="1:14" ht="14.25" customHeight="1">
      <c r="A997">
        <v>996</v>
      </c>
      <c r="B997" t="s">
        <v>9</v>
      </c>
      <c r="C997" t="s">
        <v>1549</v>
      </c>
      <c r="D997" t="s">
        <v>4776</v>
      </c>
      <c r="E997" t="s">
        <v>4777</v>
      </c>
      <c r="F997">
        <v>2026</v>
      </c>
      <c r="G997" t="s">
        <v>2664</v>
      </c>
      <c r="H997" t="s">
        <v>4778</v>
      </c>
      <c r="J997" t="s">
        <v>91</v>
      </c>
      <c r="K997" t="s">
        <v>91</v>
      </c>
      <c r="L997" t="s">
        <v>91</v>
      </c>
      <c r="M997" t="s">
        <v>1587</v>
      </c>
      <c r="N997" t="s">
        <v>1588</v>
      </c>
    </row>
    <row r="998" spans="1:14" ht="14.25" customHeight="1">
      <c r="A998">
        <v>997</v>
      </c>
      <c r="B998" t="s">
        <v>9</v>
      </c>
      <c r="C998" t="s">
        <v>1549</v>
      </c>
      <c r="D998" t="s">
        <v>4779</v>
      </c>
      <c r="E998" t="s">
        <v>4780</v>
      </c>
      <c r="F998">
        <v>2026</v>
      </c>
      <c r="G998" t="s">
        <v>4781</v>
      </c>
      <c r="H998" t="s">
        <v>4782</v>
      </c>
      <c r="J998" t="s">
        <v>91</v>
      </c>
      <c r="K998" t="s">
        <v>91</v>
      </c>
      <c r="L998" t="s">
        <v>91</v>
      </c>
      <c r="M998" t="s">
        <v>1570</v>
      </c>
      <c r="N998" t="s">
        <v>1588</v>
      </c>
    </row>
    <row r="999" spans="1:14" ht="14.25" customHeight="1">
      <c r="A999">
        <v>998</v>
      </c>
      <c r="B999" t="s">
        <v>9</v>
      </c>
      <c r="C999" t="s">
        <v>1549</v>
      </c>
      <c r="D999" t="s">
        <v>4783</v>
      </c>
      <c r="E999" t="s">
        <v>4081</v>
      </c>
      <c r="F999">
        <v>2026</v>
      </c>
      <c r="G999" t="s">
        <v>4784</v>
      </c>
      <c r="H999" t="s">
        <v>4785</v>
      </c>
      <c r="J999" t="s">
        <v>91</v>
      </c>
      <c r="K999" t="s">
        <v>91</v>
      </c>
      <c r="L999" t="s">
        <v>91</v>
      </c>
      <c r="M999" t="s">
        <v>1593</v>
      </c>
      <c r="N999" t="s">
        <v>1555</v>
      </c>
    </row>
    <row r="1000" spans="1:14" ht="14.25" customHeight="1">
      <c r="A1000">
        <v>999</v>
      </c>
      <c r="B1000" t="s">
        <v>9</v>
      </c>
      <c r="C1000" t="s">
        <v>1549</v>
      </c>
      <c r="D1000" t="s">
        <v>4786</v>
      </c>
      <c r="E1000" t="s">
        <v>4787</v>
      </c>
      <c r="F1000">
        <v>2026</v>
      </c>
      <c r="G1000" t="s">
        <v>4299</v>
      </c>
      <c r="H1000" t="s">
        <v>4788</v>
      </c>
      <c r="J1000" t="s">
        <v>91</v>
      </c>
      <c r="K1000" t="s">
        <v>91</v>
      </c>
      <c r="L1000" t="s">
        <v>91</v>
      </c>
      <c r="M1000" t="s">
        <v>1570</v>
      </c>
      <c r="N1000" t="s">
        <v>1588</v>
      </c>
    </row>
    <row r="1001" spans="1:14" ht="14.25" customHeight="1">
      <c r="A1001">
        <v>1000</v>
      </c>
      <c r="B1001" t="s">
        <v>9</v>
      </c>
      <c r="C1001" t="s">
        <v>1549</v>
      </c>
      <c r="D1001" t="s">
        <v>4789</v>
      </c>
      <c r="E1001" t="s">
        <v>4790</v>
      </c>
      <c r="F1001">
        <v>2026</v>
      </c>
      <c r="G1001" t="s">
        <v>4791</v>
      </c>
      <c r="H1001" t="s">
        <v>4792</v>
      </c>
      <c r="J1001" t="s">
        <v>91</v>
      </c>
      <c r="K1001" t="s">
        <v>91</v>
      </c>
      <c r="L1001" t="s">
        <v>91</v>
      </c>
      <c r="M1001" t="s">
        <v>1570</v>
      </c>
      <c r="N1001" t="s">
        <v>1588</v>
      </c>
    </row>
    <row r="1002" spans="1:14" ht="14.25" customHeight="1">
      <c r="A1002">
        <v>1001</v>
      </c>
      <c r="B1002" t="s">
        <v>9</v>
      </c>
      <c r="C1002" t="s">
        <v>1549</v>
      </c>
      <c r="D1002" t="s">
        <v>4793</v>
      </c>
      <c r="E1002" t="s">
        <v>4794</v>
      </c>
      <c r="F1002">
        <v>2026</v>
      </c>
      <c r="G1002" t="s">
        <v>4795</v>
      </c>
      <c r="H1002" t="s">
        <v>4796</v>
      </c>
      <c r="J1002" t="s">
        <v>91</v>
      </c>
      <c r="K1002" t="s">
        <v>91</v>
      </c>
      <c r="L1002" t="s">
        <v>91</v>
      </c>
      <c r="M1002" t="s">
        <v>1570</v>
      </c>
      <c r="N1002" t="s">
        <v>1588</v>
      </c>
    </row>
    <row r="1003" spans="1:14" ht="14.25" customHeight="1">
      <c r="A1003">
        <v>1002</v>
      </c>
      <c r="B1003" t="s">
        <v>9</v>
      </c>
      <c r="C1003" t="s">
        <v>1549</v>
      </c>
      <c r="D1003" t="s">
        <v>4797</v>
      </c>
      <c r="E1003" t="s">
        <v>4798</v>
      </c>
      <c r="F1003">
        <v>2026</v>
      </c>
      <c r="G1003" t="s">
        <v>4799</v>
      </c>
      <c r="H1003" t="s">
        <v>4800</v>
      </c>
      <c r="J1003" t="s">
        <v>91</v>
      </c>
      <c r="K1003" t="s">
        <v>91</v>
      </c>
      <c r="L1003" t="s">
        <v>91</v>
      </c>
      <c r="M1003" t="s">
        <v>1570</v>
      </c>
      <c r="N1003" t="s">
        <v>1588</v>
      </c>
    </row>
    <row r="1004" spans="1:14" ht="14.25" customHeight="1">
      <c r="A1004">
        <v>1003</v>
      </c>
      <c r="B1004" t="s">
        <v>9</v>
      </c>
      <c r="C1004" t="s">
        <v>1549</v>
      </c>
      <c r="D1004" t="s">
        <v>4801</v>
      </c>
      <c r="E1004" t="s">
        <v>4802</v>
      </c>
      <c r="F1004">
        <v>2026</v>
      </c>
      <c r="G1004" t="s">
        <v>1121</v>
      </c>
      <c r="H1004" t="s">
        <v>4803</v>
      </c>
      <c r="J1004" t="s">
        <v>91</v>
      </c>
      <c r="K1004" t="s">
        <v>91</v>
      </c>
      <c r="L1004" t="s">
        <v>91</v>
      </c>
      <c r="M1004" t="s">
        <v>1587</v>
      </c>
      <c r="N1004" t="s">
        <v>1588</v>
      </c>
    </row>
    <row r="1005" spans="1:14" ht="14.25" customHeight="1">
      <c r="A1005">
        <v>1004</v>
      </c>
      <c r="B1005" t="s">
        <v>9</v>
      </c>
      <c r="C1005" t="s">
        <v>1549</v>
      </c>
      <c r="D1005" t="s">
        <v>4804</v>
      </c>
      <c r="E1005" t="s">
        <v>4805</v>
      </c>
      <c r="F1005">
        <v>2026</v>
      </c>
      <c r="G1005" t="s">
        <v>4806</v>
      </c>
      <c r="H1005" t="s">
        <v>4807</v>
      </c>
      <c r="J1005" t="s">
        <v>91</v>
      </c>
      <c r="K1005" t="s">
        <v>91</v>
      </c>
      <c r="L1005" t="s">
        <v>91</v>
      </c>
      <c r="M1005" t="s">
        <v>1570</v>
      </c>
      <c r="N1005" t="s">
        <v>1588</v>
      </c>
    </row>
    <row r="1006" spans="1:14" ht="14.25" customHeight="1">
      <c r="A1006">
        <v>1005</v>
      </c>
      <c r="B1006" t="s">
        <v>9</v>
      </c>
      <c r="C1006" t="s">
        <v>1549</v>
      </c>
      <c r="D1006" t="s">
        <v>4808</v>
      </c>
      <c r="E1006" t="s">
        <v>4809</v>
      </c>
      <c r="F1006">
        <v>2026</v>
      </c>
      <c r="G1006" t="s">
        <v>4810</v>
      </c>
      <c r="H1006" t="s">
        <v>4811</v>
      </c>
      <c r="J1006" t="s">
        <v>91</v>
      </c>
      <c r="K1006" t="s">
        <v>91</v>
      </c>
      <c r="L1006" t="s">
        <v>91</v>
      </c>
      <c r="M1006" t="s">
        <v>1593</v>
      </c>
      <c r="N1006" t="s">
        <v>1588</v>
      </c>
    </row>
    <row r="1007" spans="1:14" ht="14.25" customHeight="1">
      <c r="A1007">
        <v>1006</v>
      </c>
      <c r="B1007" t="s">
        <v>9</v>
      </c>
      <c r="C1007" t="s">
        <v>1549</v>
      </c>
      <c r="D1007" t="s">
        <v>4812</v>
      </c>
      <c r="E1007" t="s">
        <v>4813</v>
      </c>
      <c r="F1007">
        <v>2026</v>
      </c>
      <c r="G1007" t="s">
        <v>4814</v>
      </c>
      <c r="H1007" t="s">
        <v>4815</v>
      </c>
      <c r="J1007" t="s">
        <v>91</v>
      </c>
      <c r="K1007" t="s">
        <v>91</v>
      </c>
      <c r="L1007" t="s">
        <v>91</v>
      </c>
      <c r="M1007" t="s">
        <v>1593</v>
      </c>
      <c r="N1007" t="s">
        <v>1588</v>
      </c>
    </row>
    <row r="1008" spans="1:14" ht="14.25" customHeight="1">
      <c r="A1008">
        <v>1007</v>
      </c>
      <c r="B1008" t="s">
        <v>9</v>
      </c>
      <c r="C1008" t="s">
        <v>1549</v>
      </c>
      <c r="D1008" t="s">
        <v>4816</v>
      </c>
      <c r="E1008" t="s">
        <v>4817</v>
      </c>
      <c r="F1008">
        <v>2026</v>
      </c>
      <c r="G1008" t="s">
        <v>4818</v>
      </c>
      <c r="H1008" t="s">
        <v>4819</v>
      </c>
      <c r="J1008" t="s">
        <v>91</v>
      </c>
      <c r="K1008" t="s">
        <v>91</v>
      </c>
      <c r="L1008" t="s">
        <v>91</v>
      </c>
      <c r="M1008" t="s">
        <v>1570</v>
      </c>
      <c r="N1008" t="s">
        <v>1588</v>
      </c>
    </row>
    <row r="1009" spans="1:14" ht="14.25" customHeight="1">
      <c r="A1009">
        <v>1008</v>
      </c>
      <c r="B1009" t="s">
        <v>9</v>
      </c>
      <c r="C1009" t="s">
        <v>1549</v>
      </c>
      <c r="D1009" t="s">
        <v>4820</v>
      </c>
      <c r="E1009" t="s">
        <v>4821</v>
      </c>
      <c r="F1009">
        <v>2026</v>
      </c>
      <c r="G1009" t="s">
        <v>4822</v>
      </c>
      <c r="H1009" t="s">
        <v>4823</v>
      </c>
      <c r="J1009" t="s">
        <v>91</v>
      </c>
      <c r="K1009" t="s">
        <v>91</v>
      </c>
      <c r="L1009" t="s">
        <v>91</v>
      </c>
      <c r="M1009" t="s">
        <v>1570</v>
      </c>
      <c r="N1009" t="s">
        <v>1588</v>
      </c>
    </row>
    <row r="1010" spans="1:14" ht="14.25" customHeight="1">
      <c r="A1010">
        <v>1009</v>
      </c>
      <c r="B1010" t="s">
        <v>9</v>
      </c>
      <c r="C1010" t="s">
        <v>1549</v>
      </c>
      <c r="D1010" t="s">
        <v>4824</v>
      </c>
      <c r="E1010" t="s">
        <v>4825</v>
      </c>
      <c r="F1010">
        <v>2026</v>
      </c>
      <c r="G1010" t="s">
        <v>4826</v>
      </c>
      <c r="H1010" t="s">
        <v>4827</v>
      </c>
      <c r="J1010" t="s">
        <v>91</v>
      </c>
      <c r="K1010" t="s">
        <v>91</v>
      </c>
      <c r="L1010" t="s">
        <v>91</v>
      </c>
      <c r="M1010" t="s">
        <v>1587</v>
      </c>
      <c r="N1010" t="s">
        <v>1588</v>
      </c>
    </row>
    <row r="1011" spans="1:14" ht="14.25" customHeight="1">
      <c r="A1011">
        <v>1010</v>
      </c>
      <c r="B1011" t="s">
        <v>9</v>
      </c>
      <c r="C1011" t="s">
        <v>1549</v>
      </c>
      <c r="D1011" t="s">
        <v>4828</v>
      </c>
      <c r="E1011" t="s">
        <v>4829</v>
      </c>
      <c r="F1011">
        <v>2026</v>
      </c>
      <c r="G1011" t="s">
        <v>1568</v>
      </c>
      <c r="H1011" t="s">
        <v>4830</v>
      </c>
      <c r="J1011" t="s">
        <v>91</v>
      </c>
      <c r="K1011" t="s">
        <v>91</v>
      </c>
      <c r="L1011" t="s">
        <v>91</v>
      </c>
      <c r="M1011" t="s">
        <v>1570</v>
      </c>
      <c r="N1011" t="s">
        <v>1555</v>
      </c>
    </row>
    <row r="1012" spans="1:14" ht="14.25" customHeight="1">
      <c r="A1012">
        <v>1011</v>
      </c>
      <c r="B1012" t="s">
        <v>9</v>
      </c>
      <c r="C1012" t="s">
        <v>1549</v>
      </c>
      <c r="D1012" t="s">
        <v>4831</v>
      </c>
      <c r="E1012" t="s">
        <v>4832</v>
      </c>
      <c r="F1012">
        <v>2026</v>
      </c>
      <c r="G1012" t="s">
        <v>3842</v>
      </c>
      <c r="H1012" t="s">
        <v>4833</v>
      </c>
      <c r="J1012" t="s">
        <v>91</v>
      </c>
      <c r="K1012" t="s">
        <v>91</v>
      </c>
      <c r="L1012" t="s">
        <v>91</v>
      </c>
      <c r="M1012" t="s">
        <v>1570</v>
      </c>
      <c r="N1012" t="s">
        <v>1555</v>
      </c>
    </row>
    <row r="1013" spans="1:14" ht="14.25" customHeight="1">
      <c r="A1013">
        <v>1012</v>
      </c>
      <c r="B1013" t="s">
        <v>9</v>
      </c>
      <c r="C1013" t="s">
        <v>1549</v>
      </c>
      <c r="D1013" t="s">
        <v>4834</v>
      </c>
      <c r="E1013" t="s">
        <v>4835</v>
      </c>
      <c r="F1013">
        <v>2026</v>
      </c>
      <c r="G1013" t="s">
        <v>4836</v>
      </c>
      <c r="H1013" t="s">
        <v>4837</v>
      </c>
      <c r="J1013" t="s">
        <v>91</v>
      </c>
      <c r="K1013" t="s">
        <v>91</v>
      </c>
      <c r="L1013" t="s">
        <v>91</v>
      </c>
      <c r="M1013" t="s">
        <v>1570</v>
      </c>
      <c r="N1013" t="s">
        <v>1555</v>
      </c>
    </row>
    <row r="1014" spans="1:14" ht="14.25" customHeight="1">
      <c r="A1014">
        <v>1013</v>
      </c>
      <c r="B1014" t="s">
        <v>9</v>
      </c>
      <c r="C1014" t="s">
        <v>1549</v>
      </c>
      <c r="D1014" t="s">
        <v>4838</v>
      </c>
      <c r="E1014" t="s">
        <v>4839</v>
      </c>
      <c r="F1014">
        <v>2026</v>
      </c>
      <c r="G1014" t="s">
        <v>2194</v>
      </c>
      <c r="H1014" t="s">
        <v>4840</v>
      </c>
      <c r="J1014" t="s">
        <v>91</v>
      </c>
      <c r="K1014" t="s">
        <v>91</v>
      </c>
      <c r="L1014" t="s">
        <v>91</v>
      </c>
      <c r="M1014" t="s">
        <v>1570</v>
      </c>
      <c r="N1014" t="s">
        <v>1588</v>
      </c>
    </row>
    <row r="1015" spans="1:14" ht="14.25" customHeight="1">
      <c r="A1015">
        <v>1014</v>
      </c>
      <c r="B1015" t="s">
        <v>9</v>
      </c>
      <c r="C1015" t="s">
        <v>1549</v>
      </c>
      <c r="D1015" t="s">
        <v>4841</v>
      </c>
      <c r="E1015" t="s">
        <v>4842</v>
      </c>
      <c r="F1015">
        <v>2026</v>
      </c>
      <c r="G1015" t="s">
        <v>4843</v>
      </c>
      <c r="H1015" t="s">
        <v>4844</v>
      </c>
      <c r="J1015" t="s">
        <v>91</v>
      </c>
      <c r="K1015" t="s">
        <v>91</v>
      </c>
      <c r="L1015" t="s">
        <v>91</v>
      </c>
      <c r="M1015" t="s">
        <v>1587</v>
      </c>
      <c r="N1015" t="s">
        <v>1555</v>
      </c>
    </row>
    <row r="1016" spans="1:14" ht="14.25" customHeight="1">
      <c r="A1016">
        <v>1015</v>
      </c>
      <c r="B1016" t="s">
        <v>9</v>
      </c>
      <c r="C1016" t="s">
        <v>1549</v>
      </c>
      <c r="D1016" t="s">
        <v>4845</v>
      </c>
      <c r="E1016" t="s">
        <v>4846</v>
      </c>
      <c r="F1016">
        <v>2026</v>
      </c>
      <c r="G1016" t="s">
        <v>4847</v>
      </c>
      <c r="H1016" t="s">
        <v>4848</v>
      </c>
      <c r="J1016" t="s">
        <v>91</v>
      </c>
      <c r="K1016" t="s">
        <v>91</v>
      </c>
      <c r="L1016" t="s">
        <v>91</v>
      </c>
      <c r="M1016" t="s">
        <v>1570</v>
      </c>
      <c r="N1016" t="s">
        <v>1588</v>
      </c>
    </row>
    <row r="1017" spans="1:14" ht="14.25" customHeight="1">
      <c r="A1017">
        <v>1016</v>
      </c>
      <c r="B1017" t="s">
        <v>9</v>
      </c>
      <c r="C1017" t="s">
        <v>1549</v>
      </c>
      <c r="D1017" t="s">
        <v>4849</v>
      </c>
      <c r="E1017" t="s">
        <v>4850</v>
      </c>
      <c r="F1017">
        <v>2026</v>
      </c>
      <c r="G1017" t="s">
        <v>4140</v>
      </c>
      <c r="H1017" t="s">
        <v>4851</v>
      </c>
      <c r="J1017" t="s">
        <v>91</v>
      </c>
      <c r="K1017" t="s">
        <v>91</v>
      </c>
      <c r="L1017" t="s">
        <v>91</v>
      </c>
      <c r="M1017" t="s">
        <v>1570</v>
      </c>
      <c r="N1017" t="s">
        <v>1588</v>
      </c>
    </row>
    <row r="1018" spans="1:14" ht="14.25" customHeight="1">
      <c r="A1018">
        <v>1017</v>
      </c>
      <c r="B1018" t="s">
        <v>9</v>
      </c>
      <c r="C1018" t="s">
        <v>1549</v>
      </c>
      <c r="D1018" t="s">
        <v>4852</v>
      </c>
      <c r="E1018" t="s">
        <v>4853</v>
      </c>
      <c r="F1018">
        <v>2026</v>
      </c>
      <c r="G1018" t="s">
        <v>4854</v>
      </c>
      <c r="H1018" t="s">
        <v>4855</v>
      </c>
      <c r="J1018" t="s">
        <v>91</v>
      </c>
      <c r="K1018" t="s">
        <v>91</v>
      </c>
      <c r="L1018" t="s">
        <v>91</v>
      </c>
      <c r="M1018" t="s">
        <v>1587</v>
      </c>
      <c r="N1018" t="s">
        <v>1555</v>
      </c>
    </row>
    <row r="1019" spans="1:14" ht="14.25" customHeight="1">
      <c r="A1019">
        <v>1018</v>
      </c>
      <c r="B1019" t="s">
        <v>9</v>
      </c>
      <c r="C1019" t="s">
        <v>1549</v>
      </c>
      <c r="D1019" t="s">
        <v>4856</v>
      </c>
      <c r="E1019" t="s">
        <v>4857</v>
      </c>
      <c r="F1019">
        <v>2026</v>
      </c>
      <c r="G1019" t="s">
        <v>4858</v>
      </c>
      <c r="H1019" t="s">
        <v>4859</v>
      </c>
      <c r="J1019" t="s">
        <v>91</v>
      </c>
      <c r="K1019" t="s">
        <v>91</v>
      </c>
      <c r="L1019" t="s">
        <v>91</v>
      </c>
      <c r="M1019" t="s">
        <v>1570</v>
      </c>
      <c r="N1019" t="s">
        <v>1588</v>
      </c>
    </row>
    <row r="1020" spans="1:14" ht="14.25" customHeight="1">
      <c r="A1020">
        <v>1019</v>
      </c>
      <c r="B1020" t="s">
        <v>9</v>
      </c>
      <c r="C1020" t="s">
        <v>1549</v>
      </c>
      <c r="D1020" t="s">
        <v>4860</v>
      </c>
      <c r="E1020" t="s">
        <v>4861</v>
      </c>
      <c r="F1020">
        <v>2026</v>
      </c>
      <c r="G1020" t="s">
        <v>4451</v>
      </c>
      <c r="H1020" t="s">
        <v>4862</v>
      </c>
      <c r="J1020" t="s">
        <v>91</v>
      </c>
      <c r="K1020" t="s">
        <v>91</v>
      </c>
      <c r="L1020" t="s">
        <v>91</v>
      </c>
      <c r="M1020" t="s">
        <v>1570</v>
      </c>
      <c r="N1020" t="s">
        <v>1555</v>
      </c>
    </row>
    <row r="1021" spans="1:14" ht="14.25" customHeight="1">
      <c r="A1021">
        <v>1020</v>
      </c>
      <c r="B1021" t="s">
        <v>9</v>
      </c>
      <c r="C1021" t="s">
        <v>1549</v>
      </c>
      <c r="D1021" t="s">
        <v>4863</v>
      </c>
      <c r="E1021" t="s">
        <v>4864</v>
      </c>
      <c r="F1021">
        <v>2026</v>
      </c>
      <c r="G1021" t="s">
        <v>4865</v>
      </c>
      <c r="H1021" t="s">
        <v>4866</v>
      </c>
      <c r="J1021" t="s">
        <v>91</v>
      </c>
      <c r="K1021" t="s">
        <v>91</v>
      </c>
      <c r="L1021" t="s">
        <v>91</v>
      </c>
      <c r="M1021" t="s">
        <v>1587</v>
      </c>
      <c r="N1021" t="s">
        <v>1588</v>
      </c>
    </row>
    <row r="1022" spans="1:14" ht="14.25" customHeight="1">
      <c r="A1022">
        <v>1021</v>
      </c>
      <c r="B1022" t="s">
        <v>9</v>
      </c>
      <c r="C1022" t="s">
        <v>1549</v>
      </c>
      <c r="D1022" t="s">
        <v>4867</v>
      </c>
      <c r="E1022" t="s">
        <v>4868</v>
      </c>
      <c r="F1022">
        <v>2026</v>
      </c>
      <c r="G1022" t="s">
        <v>4869</v>
      </c>
      <c r="H1022" t="s">
        <v>4870</v>
      </c>
      <c r="J1022" t="s">
        <v>91</v>
      </c>
      <c r="K1022" t="s">
        <v>91</v>
      </c>
      <c r="L1022" t="s">
        <v>91</v>
      </c>
      <c r="M1022" t="s">
        <v>1570</v>
      </c>
      <c r="N1022" t="s">
        <v>1555</v>
      </c>
    </row>
    <row r="1023" spans="1:14" ht="14.25" customHeight="1">
      <c r="A1023">
        <v>1022</v>
      </c>
      <c r="B1023" t="s">
        <v>9</v>
      </c>
      <c r="C1023" t="s">
        <v>1549</v>
      </c>
      <c r="D1023" t="s">
        <v>4871</v>
      </c>
      <c r="E1023" t="s">
        <v>4872</v>
      </c>
      <c r="F1023">
        <v>2026</v>
      </c>
      <c r="G1023" t="s">
        <v>1094</v>
      </c>
      <c r="H1023" t="s">
        <v>4873</v>
      </c>
      <c r="J1023" t="s">
        <v>91</v>
      </c>
      <c r="K1023" t="s">
        <v>91</v>
      </c>
      <c r="L1023" t="s">
        <v>91</v>
      </c>
      <c r="M1023" t="s">
        <v>1593</v>
      </c>
      <c r="N1023" t="s">
        <v>1555</v>
      </c>
    </row>
    <row r="1024" spans="1:14" ht="14.25" customHeight="1">
      <c r="A1024">
        <v>1023</v>
      </c>
      <c r="B1024" t="s">
        <v>9</v>
      </c>
      <c r="C1024" t="s">
        <v>1549</v>
      </c>
      <c r="D1024" t="s">
        <v>4874</v>
      </c>
      <c r="E1024" t="s">
        <v>4875</v>
      </c>
      <c r="F1024">
        <v>2026</v>
      </c>
      <c r="G1024" t="s">
        <v>4876</v>
      </c>
      <c r="H1024" t="s">
        <v>4877</v>
      </c>
      <c r="J1024" t="s">
        <v>91</v>
      </c>
      <c r="K1024" t="s">
        <v>91</v>
      </c>
      <c r="L1024" t="s">
        <v>91</v>
      </c>
      <c r="M1024" t="s">
        <v>1570</v>
      </c>
      <c r="N1024" t="s">
        <v>1555</v>
      </c>
    </row>
    <row r="1025" spans="1:14" ht="14.25" customHeight="1">
      <c r="A1025">
        <v>1024</v>
      </c>
      <c r="B1025" t="s">
        <v>9</v>
      </c>
      <c r="C1025" t="s">
        <v>1549</v>
      </c>
      <c r="D1025" t="s">
        <v>4878</v>
      </c>
      <c r="E1025" t="s">
        <v>4879</v>
      </c>
      <c r="F1025">
        <v>2026</v>
      </c>
      <c r="G1025" t="s">
        <v>4880</v>
      </c>
      <c r="H1025" t="s">
        <v>4881</v>
      </c>
      <c r="J1025" t="s">
        <v>91</v>
      </c>
      <c r="K1025" t="s">
        <v>91</v>
      </c>
      <c r="L1025" t="s">
        <v>91</v>
      </c>
      <c r="M1025" t="s">
        <v>1570</v>
      </c>
      <c r="N1025" t="s">
        <v>1555</v>
      </c>
    </row>
    <row r="1026" spans="1:14" ht="14.25" customHeight="1">
      <c r="A1026">
        <v>1025</v>
      </c>
      <c r="B1026" t="s">
        <v>9</v>
      </c>
      <c r="C1026" t="s">
        <v>1549</v>
      </c>
      <c r="D1026" t="s">
        <v>4882</v>
      </c>
      <c r="E1026" t="s">
        <v>4883</v>
      </c>
      <c r="F1026">
        <v>2026</v>
      </c>
      <c r="G1026" t="s">
        <v>4884</v>
      </c>
      <c r="H1026" t="s">
        <v>4885</v>
      </c>
      <c r="J1026" t="s">
        <v>91</v>
      </c>
      <c r="K1026" t="s">
        <v>91</v>
      </c>
      <c r="L1026" t="s">
        <v>91</v>
      </c>
      <c r="M1026" t="s">
        <v>1587</v>
      </c>
      <c r="N1026" t="s">
        <v>1555</v>
      </c>
    </row>
    <row r="1027" spans="1:14" ht="14.25" customHeight="1">
      <c r="A1027">
        <v>1026</v>
      </c>
      <c r="B1027" t="s">
        <v>9</v>
      </c>
      <c r="C1027" t="s">
        <v>1549</v>
      </c>
      <c r="D1027" t="s">
        <v>4886</v>
      </c>
      <c r="E1027" t="s">
        <v>4887</v>
      </c>
      <c r="F1027">
        <v>2026</v>
      </c>
      <c r="G1027" t="s">
        <v>4888</v>
      </c>
      <c r="H1027" t="s">
        <v>4889</v>
      </c>
      <c r="J1027" t="s">
        <v>91</v>
      </c>
      <c r="K1027" t="s">
        <v>91</v>
      </c>
      <c r="L1027" t="s">
        <v>91</v>
      </c>
      <c r="M1027" t="s">
        <v>1570</v>
      </c>
      <c r="N1027" t="s">
        <v>1588</v>
      </c>
    </row>
    <row r="1028" spans="1:14" ht="14.25" customHeight="1">
      <c r="A1028">
        <v>1027</v>
      </c>
      <c r="B1028" t="s">
        <v>9</v>
      </c>
      <c r="C1028" t="s">
        <v>1549</v>
      </c>
      <c r="D1028" t="s">
        <v>4890</v>
      </c>
      <c r="E1028" t="s">
        <v>4891</v>
      </c>
      <c r="F1028">
        <v>2026</v>
      </c>
      <c r="G1028" t="s">
        <v>4892</v>
      </c>
      <c r="H1028" t="s">
        <v>4893</v>
      </c>
      <c r="J1028" t="s">
        <v>91</v>
      </c>
      <c r="K1028" t="s">
        <v>91</v>
      </c>
      <c r="L1028" t="s">
        <v>91</v>
      </c>
      <c r="M1028" t="s">
        <v>1570</v>
      </c>
      <c r="N1028" t="s">
        <v>1588</v>
      </c>
    </row>
    <row r="1029" spans="1:14" ht="14.25" customHeight="1">
      <c r="A1029">
        <v>1028</v>
      </c>
      <c r="B1029" t="s">
        <v>9</v>
      </c>
      <c r="C1029" t="s">
        <v>1549</v>
      </c>
      <c r="D1029" t="s">
        <v>4894</v>
      </c>
      <c r="E1029" t="s">
        <v>4895</v>
      </c>
      <c r="F1029">
        <v>2026</v>
      </c>
      <c r="G1029" t="s">
        <v>1019</v>
      </c>
      <c r="H1029" t="s">
        <v>4896</v>
      </c>
      <c r="J1029" t="s">
        <v>91</v>
      </c>
      <c r="K1029" t="s">
        <v>91</v>
      </c>
      <c r="L1029" t="s">
        <v>91</v>
      </c>
      <c r="M1029" t="s">
        <v>1570</v>
      </c>
      <c r="N1029" t="s">
        <v>1555</v>
      </c>
    </row>
    <row r="1030" spans="1:14" ht="14.25" customHeight="1">
      <c r="A1030">
        <v>1029</v>
      </c>
      <c r="B1030" t="s">
        <v>9</v>
      </c>
      <c r="C1030" t="s">
        <v>1549</v>
      </c>
      <c r="D1030" t="s">
        <v>4897</v>
      </c>
      <c r="E1030" t="s">
        <v>4898</v>
      </c>
      <c r="F1030">
        <v>2026</v>
      </c>
      <c r="G1030" t="s">
        <v>1573</v>
      </c>
      <c r="H1030" t="s">
        <v>4899</v>
      </c>
      <c r="J1030" t="s">
        <v>91</v>
      </c>
      <c r="K1030" t="s">
        <v>91</v>
      </c>
      <c r="L1030" t="s">
        <v>91</v>
      </c>
      <c r="M1030" t="s">
        <v>1570</v>
      </c>
      <c r="N1030" t="s">
        <v>1555</v>
      </c>
    </row>
    <row r="1031" spans="1:14" ht="14.25" customHeight="1">
      <c r="A1031">
        <v>1030</v>
      </c>
      <c r="B1031" t="s">
        <v>9</v>
      </c>
      <c r="C1031" t="s">
        <v>1549</v>
      </c>
      <c r="D1031" t="s">
        <v>4900</v>
      </c>
      <c r="E1031" t="s">
        <v>4901</v>
      </c>
      <c r="F1031">
        <v>2026</v>
      </c>
      <c r="G1031" t="s">
        <v>4902</v>
      </c>
      <c r="H1031" t="s">
        <v>4903</v>
      </c>
      <c r="J1031" t="s">
        <v>91</v>
      </c>
      <c r="K1031" t="s">
        <v>91</v>
      </c>
      <c r="L1031" t="s">
        <v>91</v>
      </c>
      <c r="M1031" t="s">
        <v>1587</v>
      </c>
      <c r="N1031" t="s">
        <v>1555</v>
      </c>
    </row>
    <row r="1032" spans="1:14" ht="14.25" customHeight="1">
      <c r="A1032">
        <v>1031</v>
      </c>
      <c r="B1032" t="s">
        <v>9</v>
      </c>
      <c r="C1032" t="s">
        <v>1549</v>
      </c>
      <c r="D1032" t="s">
        <v>4904</v>
      </c>
      <c r="E1032" t="s">
        <v>4905</v>
      </c>
      <c r="F1032">
        <v>2026</v>
      </c>
      <c r="G1032" t="s">
        <v>4906</v>
      </c>
      <c r="H1032" t="s">
        <v>4907</v>
      </c>
      <c r="J1032" t="s">
        <v>91</v>
      </c>
      <c r="K1032" t="s">
        <v>91</v>
      </c>
      <c r="L1032" t="s">
        <v>91</v>
      </c>
      <c r="M1032" t="s">
        <v>1570</v>
      </c>
      <c r="N1032" t="s">
        <v>1555</v>
      </c>
    </row>
    <row r="1033" spans="1:14" ht="14.25" customHeight="1">
      <c r="A1033">
        <v>1032</v>
      </c>
      <c r="B1033" t="s">
        <v>9</v>
      </c>
      <c r="C1033" t="s">
        <v>1549</v>
      </c>
      <c r="D1033" t="s">
        <v>4908</v>
      </c>
      <c r="E1033" t="s">
        <v>4909</v>
      </c>
      <c r="F1033">
        <v>2026</v>
      </c>
      <c r="G1033" t="s">
        <v>4404</v>
      </c>
      <c r="H1033" t="s">
        <v>4910</v>
      </c>
      <c r="J1033" t="s">
        <v>91</v>
      </c>
      <c r="K1033" t="s">
        <v>91</v>
      </c>
      <c r="L1033" t="s">
        <v>91</v>
      </c>
      <c r="M1033" t="s">
        <v>1570</v>
      </c>
      <c r="N1033" t="s">
        <v>1588</v>
      </c>
    </row>
    <row r="1034" spans="1:14" ht="14.25" customHeight="1">
      <c r="A1034">
        <v>1033</v>
      </c>
      <c r="B1034" t="s">
        <v>9</v>
      </c>
      <c r="C1034" t="s">
        <v>1549</v>
      </c>
      <c r="D1034" t="s">
        <v>4911</v>
      </c>
      <c r="E1034" t="s">
        <v>4912</v>
      </c>
      <c r="F1034">
        <v>2026</v>
      </c>
      <c r="G1034" t="s">
        <v>4913</v>
      </c>
      <c r="H1034" t="s">
        <v>4914</v>
      </c>
      <c r="J1034" t="s">
        <v>91</v>
      </c>
      <c r="K1034" t="s">
        <v>91</v>
      </c>
      <c r="L1034" t="s">
        <v>91</v>
      </c>
      <c r="M1034" t="s">
        <v>1570</v>
      </c>
      <c r="N1034" t="s">
        <v>1555</v>
      </c>
    </row>
    <row r="1035" spans="1:14" ht="14.25" customHeight="1">
      <c r="A1035">
        <v>1034</v>
      </c>
      <c r="B1035" t="s">
        <v>9</v>
      </c>
      <c r="C1035" t="s">
        <v>1549</v>
      </c>
      <c r="D1035" t="s">
        <v>4915</v>
      </c>
      <c r="E1035" t="s">
        <v>4916</v>
      </c>
      <c r="F1035">
        <v>2026</v>
      </c>
      <c r="G1035" t="s">
        <v>1881</v>
      </c>
      <c r="H1035" t="s">
        <v>4917</v>
      </c>
      <c r="J1035" t="s">
        <v>91</v>
      </c>
      <c r="K1035" t="s">
        <v>91</v>
      </c>
      <c r="L1035" t="s">
        <v>91</v>
      </c>
      <c r="M1035" t="s">
        <v>1570</v>
      </c>
      <c r="N1035" t="s">
        <v>1555</v>
      </c>
    </row>
    <row r="1036" spans="1:14" ht="14.25" customHeight="1">
      <c r="A1036">
        <v>1035</v>
      </c>
      <c r="B1036" t="s">
        <v>9</v>
      </c>
      <c r="C1036" t="s">
        <v>1549</v>
      </c>
      <c r="D1036" t="s">
        <v>4918</v>
      </c>
      <c r="E1036" t="s">
        <v>4919</v>
      </c>
      <c r="F1036">
        <v>2026</v>
      </c>
      <c r="G1036" t="s">
        <v>4920</v>
      </c>
      <c r="H1036" t="s">
        <v>4921</v>
      </c>
      <c r="J1036" t="s">
        <v>91</v>
      </c>
      <c r="K1036" t="s">
        <v>91</v>
      </c>
      <c r="L1036" t="s">
        <v>91</v>
      </c>
      <c r="M1036" t="s">
        <v>1570</v>
      </c>
      <c r="N1036" t="s">
        <v>1555</v>
      </c>
    </row>
    <row r="1037" spans="1:14" ht="14.25" customHeight="1">
      <c r="A1037">
        <v>1036</v>
      </c>
      <c r="B1037" t="s">
        <v>9</v>
      </c>
      <c r="C1037" t="s">
        <v>1549</v>
      </c>
      <c r="D1037" t="s">
        <v>4922</v>
      </c>
      <c r="E1037" t="s">
        <v>4923</v>
      </c>
      <c r="F1037">
        <v>2026</v>
      </c>
      <c r="G1037" t="s">
        <v>1121</v>
      </c>
      <c r="H1037" t="s">
        <v>4924</v>
      </c>
      <c r="J1037" t="s">
        <v>91</v>
      </c>
      <c r="K1037" t="s">
        <v>91</v>
      </c>
      <c r="L1037" t="s">
        <v>91</v>
      </c>
      <c r="M1037" t="s">
        <v>1587</v>
      </c>
      <c r="N1037" t="s">
        <v>1588</v>
      </c>
    </row>
    <row r="1038" spans="1:14" ht="14.25" customHeight="1">
      <c r="A1038">
        <v>1037</v>
      </c>
      <c r="B1038" t="s">
        <v>9</v>
      </c>
      <c r="C1038" t="s">
        <v>1549</v>
      </c>
      <c r="D1038" t="s">
        <v>4925</v>
      </c>
      <c r="E1038" t="s">
        <v>4926</v>
      </c>
      <c r="F1038">
        <v>2026</v>
      </c>
      <c r="G1038" t="s">
        <v>4927</v>
      </c>
      <c r="H1038" t="s">
        <v>4928</v>
      </c>
      <c r="J1038" t="s">
        <v>91</v>
      </c>
      <c r="K1038" t="s">
        <v>91</v>
      </c>
      <c r="L1038" t="s">
        <v>91</v>
      </c>
      <c r="M1038" t="s">
        <v>1587</v>
      </c>
      <c r="N1038" t="s">
        <v>1555</v>
      </c>
    </row>
    <row r="1039" spans="1:14" ht="14.25" customHeight="1">
      <c r="A1039">
        <v>1038</v>
      </c>
      <c r="B1039" t="s">
        <v>9</v>
      </c>
      <c r="C1039" t="s">
        <v>1549</v>
      </c>
      <c r="D1039" t="s">
        <v>4929</v>
      </c>
      <c r="E1039" t="s">
        <v>4930</v>
      </c>
      <c r="F1039">
        <v>2026</v>
      </c>
      <c r="G1039" t="s">
        <v>2190</v>
      </c>
      <c r="H1039" t="s">
        <v>4931</v>
      </c>
      <c r="J1039" t="s">
        <v>91</v>
      </c>
      <c r="K1039" t="s">
        <v>91</v>
      </c>
      <c r="L1039" t="s">
        <v>91</v>
      </c>
      <c r="M1039" t="s">
        <v>1570</v>
      </c>
      <c r="N1039" t="s">
        <v>1555</v>
      </c>
    </row>
    <row r="1040" spans="1:14" ht="14.25" customHeight="1">
      <c r="A1040">
        <v>1039</v>
      </c>
      <c r="B1040" t="s">
        <v>9</v>
      </c>
      <c r="C1040" t="s">
        <v>1549</v>
      </c>
      <c r="D1040" t="s">
        <v>4932</v>
      </c>
      <c r="E1040" t="s">
        <v>4933</v>
      </c>
      <c r="F1040">
        <v>2026</v>
      </c>
      <c r="G1040" t="s">
        <v>4934</v>
      </c>
      <c r="H1040" t="s">
        <v>4935</v>
      </c>
      <c r="J1040" t="s">
        <v>91</v>
      </c>
      <c r="K1040" t="s">
        <v>91</v>
      </c>
      <c r="L1040" t="s">
        <v>91</v>
      </c>
      <c r="M1040" t="s">
        <v>1570</v>
      </c>
      <c r="N1040" t="s">
        <v>1555</v>
      </c>
    </row>
    <row r="1041" spans="1:14" ht="14.25" customHeight="1">
      <c r="A1041">
        <v>1040</v>
      </c>
      <c r="B1041" t="s">
        <v>9</v>
      </c>
      <c r="C1041" t="s">
        <v>1549</v>
      </c>
      <c r="D1041" t="s">
        <v>4936</v>
      </c>
      <c r="E1041" t="s">
        <v>4937</v>
      </c>
      <c r="F1041">
        <v>2026</v>
      </c>
      <c r="G1041" t="s">
        <v>3256</v>
      </c>
      <c r="H1041" t="s">
        <v>4938</v>
      </c>
      <c r="J1041" t="s">
        <v>91</v>
      </c>
      <c r="K1041" t="s">
        <v>91</v>
      </c>
      <c r="L1041" t="s">
        <v>91</v>
      </c>
      <c r="M1041" t="s">
        <v>1570</v>
      </c>
      <c r="N1041" t="s">
        <v>1555</v>
      </c>
    </row>
    <row r="1042" spans="1:14" ht="14.25" customHeight="1">
      <c r="A1042">
        <v>1041</v>
      </c>
      <c r="B1042" t="s">
        <v>9</v>
      </c>
      <c r="C1042" t="s">
        <v>1549</v>
      </c>
      <c r="D1042" t="s">
        <v>4939</v>
      </c>
      <c r="E1042" t="s">
        <v>4940</v>
      </c>
      <c r="F1042">
        <v>2026</v>
      </c>
      <c r="G1042" t="s">
        <v>2190</v>
      </c>
      <c r="H1042" t="s">
        <v>4941</v>
      </c>
      <c r="J1042" t="s">
        <v>91</v>
      </c>
      <c r="K1042" t="s">
        <v>91</v>
      </c>
      <c r="L1042" t="s">
        <v>91</v>
      </c>
      <c r="M1042" t="s">
        <v>1570</v>
      </c>
      <c r="N1042" t="s">
        <v>1555</v>
      </c>
    </row>
    <row r="1043" spans="1:14" ht="14.25" customHeight="1">
      <c r="A1043">
        <v>1042</v>
      </c>
      <c r="B1043" t="s">
        <v>9</v>
      </c>
      <c r="C1043" t="s">
        <v>1549</v>
      </c>
      <c r="D1043" t="s">
        <v>4942</v>
      </c>
      <c r="E1043" t="s">
        <v>4943</v>
      </c>
      <c r="F1043">
        <v>2026</v>
      </c>
      <c r="G1043" t="s">
        <v>4006</v>
      </c>
      <c r="H1043" t="s">
        <v>4944</v>
      </c>
      <c r="J1043" t="s">
        <v>91</v>
      </c>
      <c r="K1043" t="s">
        <v>91</v>
      </c>
      <c r="L1043" t="s">
        <v>91</v>
      </c>
      <c r="M1043" t="s">
        <v>1570</v>
      </c>
      <c r="N1043" t="s">
        <v>1588</v>
      </c>
    </row>
    <row r="1044" spans="1:14" ht="14.25" customHeight="1">
      <c r="A1044">
        <v>1043</v>
      </c>
      <c r="B1044" t="s">
        <v>9</v>
      </c>
      <c r="C1044" t="s">
        <v>1549</v>
      </c>
      <c r="D1044" t="s">
        <v>4945</v>
      </c>
      <c r="E1044" t="s">
        <v>4946</v>
      </c>
      <c r="F1044">
        <v>2026</v>
      </c>
      <c r="G1044" t="s">
        <v>4947</v>
      </c>
      <c r="H1044" t="s">
        <v>4948</v>
      </c>
      <c r="J1044" t="s">
        <v>91</v>
      </c>
      <c r="K1044" t="s">
        <v>91</v>
      </c>
      <c r="L1044" t="s">
        <v>91</v>
      </c>
      <c r="M1044" t="s">
        <v>1554</v>
      </c>
      <c r="N1044" t="s">
        <v>1555</v>
      </c>
    </row>
    <row r="1045" spans="1:14" ht="14.25" customHeight="1">
      <c r="A1045">
        <v>1044</v>
      </c>
      <c r="B1045" t="s">
        <v>9</v>
      </c>
      <c r="C1045" t="s">
        <v>1549</v>
      </c>
      <c r="D1045" t="s">
        <v>4949</v>
      </c>
      <c r="E1045" t="s">
        <v>4950</v>
      </c>
      <c r="F1045">
        <v>2026</v>
      </c>
      <c r="G1045" t="s">
        <v>4951</v>
      </c>
      <c r="H1045" t="s">
        <v>4952</v>
      </c>
      <c r="J1045" t="s">
        <v>91</v>
      </c>
      <c r="K1045" t="s">
        <v>91</v>
      </c>
      <c r="L1045" t="s">
        <v>91</v>
      </c>
      <c r="M1045" t="s">
        <v>1570</v>
      </c>
      <c r="N1045" t="s">
        <v>1588</v>
      </c>
    </row>
    <row r="1046" spans="1:14" ht="14.25" customHeight="1">
      <c r="A1046">
        <v>1045</v>
      </c>
      <c r="B1046" t="s">
        <v>9</v>
      </c>
      <c r="C1046" t="s">
        <v>1549</v>
      </c>
      <c r="D1046" t="s">
        <v>4953</v>
      </c>
      <c r="E1046" t="s">
        <v>4954</v>
      </c>
      <c r="F1046">
        <v>2026</v>
      </c>
      <c r="G1046" t="s">
        <v>923</v>
      </c>
      <c r="H1046" t="s">
        <v>4955</v>
      </c>
      <c r="J1046" t="s">
        <v>91</v>
      </c>
      <c r="K1046" t="s">
        <v>91</v>
      </c>
      <c r="L1046" t="s">
        <v>91</v>
      </c>
      <c r="M1046" t="s">
        <v>1570</v>
      </c>
      <c r="N1046" t="s">
        <v>1555</v>
      </c>
    </row>
    <row r="1047" spans="1:14" ht="14.25" customHeight="1">
      <c r="A1047">
        <v>1046</v>
      </c>
      <c r="B1047" t="s">
        <v>9</v>
      </c>
      <c r="C1047" t="s">
        <v>1549</v>
      </c>
      <c r="D1047" t="s">
        <v>4956</v>
      </c>
      <c r="E1047" t="s">
        <v>4957</v>
      </c>
      <c r="F1047">
        <v>2026</v>
      </c>
      <c r="G1047" t="s">
        <v>1573</v>
      </c>
      <c r="H1047" t="s">
        <v>4958</v>
      </c>
      <c r="J1047" t="s">
        <v>91</v>
      </c>
      <c r="K1047" t="s">
        <v>91</v>
      </c>
      <c r="L1047" t="s">
        <v>91</v>
      </c>
      <c r="M1047" t="s">
        <v>1570</v>
      </c>
      <c r="N1047" t="s">
        <v>1555</v>
      </c>
    </row>
    <row r="1048" spans="1:14" ht="14.25" customHeight="1">
      <c r="A1048">
        <v>1047</v>
      </c>
      <c r="B1048" t="s">
        <v>9</v>
      </c>
      <c r="C1048" t="s">
        <v>1549</v>
      </c>
      <c r="D1048" t="s">
        <v>4959</v>
      </c>
      <c r="E1048" t="s">
        <v>4960</v>
      </c>
      <c r="F1048">
        <v>2026</v>
      </c>
      <c r="G1048" t="s">
        <v>1050</v>
      </c>
      <c r="H1048" t="s">
        <v>4961</v>
      </c>
      <c r="J1048" t="s">
        <v>91</v>
      </c>
      <c r="K1048" t="s">
        <v>91</v>
      </c>
      <c r="L1048" t="s">
        <v>91</v>
      </c>
      <c r="M1048" t="s">
        <v>1570</v>
      </c>
      <c r="N1048" t="s">
        <v>1555</v>
      </c>
    </row>
    <row r="1049" spans="1:14" ht="14.25" customHeight="1">
      <c r="A1049">
        <v>1048</v>
      </c>
      <c r="B1049" t="s">
        <v>9</v>
      </c>
      <c r="C1049" t="s">
        <v>1549</v>
      </c>
      <c r="D1049" t="s">
        <v>4962</v>
      </c>
      <c r="E1049" t="s">
        <v>4963</v>
      </c>
      <c r="F1049">
        <v>2026</v>
      </c>
      <c r="G1049" t="s">
        <v>2213</v>
      </c>
      <c r="H1049" t="s">
        <v>4964</v>
      </c>
      <c r="J1049" t="s">
        <v>91</v>
      </c>
      <c r="K1049" t="s">
        <v>91</v>
      </c>
      <c r="L1049" t="s">
        <v>91</v>
      </c>
      <c r="M1049" t="s">
        <v>1554</v>
      </c>
      <c r="N1049" t="s">
        <v>1555</v>
      </c>
    </row>
    <row r="1050" spans="1:14" ht="14.25" customHeight="1">
      <c r="A1050">
        <v>1049</v>
      </c>
      <c r="B1050" t="s">
        <v>9</v>
      </c>
      <c r="C1050" t="s">
        <v>1549</v>
      </c>
      <c r="D1050" t="s">
        <v>4965</v>
      </c>
      <c r="E1050" t="s">
        <v>4966</v>
      </c>
      <c r="F1050">
        <v>2026</v>
      </c>
      <c r="G1050" t="s">
        <v>1755</v>
      </c>
      <c r="H1050" t="s">
        <v>4967</v>
      </c>
      <c r="J1050" t="s">
        <v>91</v>
      </c>
      <c r="K1050" t="s">
        <v>91</v>
      </c>
      <c r="L1050" t="s">
        <v>91</v>
      </c>
      <c r="M1050" t="s">
        <v>1593</v>
      </c>
      <c r="N1050" t="s">
        <v>1555</v>
      </c>
    </row>
    <row r="1051" spans="1:14" ht="14.25" customHeight="1">
      <c r="A1051">
        <v>1050</v>
      </c>
      <c r="B1051" t="s">
        <v>9</v>
      </c>
      <c r="C1051" t="s">
        <v>1549</v>
      </c>
      <c r="D1051" t="s">
        <v>4968</v>
      </c>
      <c r="E1051" t="s">
        <v>4969</v>
      </c>
      <c r="F1051">
        <v>2026</v>
      </c>
      <c r="G1051" t="s">
        <v>2190</v>
      </c>
      <c r="H1051" t="s">
        <v>4970</v>
      </c>
      <c r="J1051" t="s">
        <v>91</v>
      </c>
      <c r="K1051" t="s">
        <v>91</v>
      </c>
      <c r="L1051" t="s">
        <v>91</v>
      </c>
      <c r="M1051" t="s">
        <v>1587</v>
      </c>
      <c r="N1051" t="s">
        <v>1555</v>
      </c>
    </row>
    <row r="1052" spans="1:14" ht="14.25" customHeight="1"/>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3"/>
  <sheetViews>
    <sheetView zoomScaleNormal="100" workbookViewId="0">
      <pane ySplit="1" topLeftCell="A2" activePane="bottomLeft" state="frozen"/>
      <selection pane="bottomLeft"/>
    </sheetView>
  </sheetViews>
  <sheetFormatPr defaultColWidth="8.5703125" defaultRowHeight="14.45"/>
  <cols>
    <col min="1" max="1" width="5" customWidth="1"/>
    <col min="2" max="2" width="45" customWidth="1"/>
    <col min="3" max="3" width="8" customWidth="1"/>
    <col min="4" max="4" width="26" customWidth="1"/>
    <col min="5" max="5" width="24" customWidth="1"/>
    <col min="6" max="6" width="55" customWidth="1"/>
    <col min="7" max="8" width="14" customWidth="1"/>
    <col min="9" max="9" width="45" customWidth="1"/>
  </cols>
  <sheetData>
    <row r="1" spans="1:9" ht="31.5" customHeight="1">
      <c r="A1" s="23" t="s">
        <v>446</v>
      </c>
      <c r="B1" s="23" t="s">
        <v>57</v>
      </c>
      <c r="C1" s="23" t="s">
        <v>59</v>
      </c>
      <c r="D1" s="23" t="s">
        <v>60</v>
      </c>
      <c r="E1" s="23" t="s">
        <v>1253</v>
      </c>
      <c r="F1" s="23" t="s">
        <v>1322</v>
      </c>
      <c r="G1" s="23" t="s">
        <v>4971</v>
      </c>
      <c r="H1" s="23" t="s">
        <v>67</v>
      </c>
      <c r="I1" s="23" t="s">
        <v>4972</v>
      </c>
    </row>
    <row r="2" spans="1:9" ht="15" customHeight="1">
      <c r="A2" s="24">
        <v>1</v>
      </c>
      <c r="B2" s="24" t="s">
        <v>877</v>
      </c>
      <c r="C2" s="24" t="s">
        <v>709</v>
      </c>
      <c r="D2" s="24" t="s">
        <v>1171</v>
      </c>
      <c r="E2" s="24" t="s">
        <v>879</v>
      </c>
      <c r="F2" s="24" t="s">
        <v>4973</v>
      </c>
      <c r="G2" s="24" t="s">
        <v>1555</v>
      </c>
      <c r="H2" s="24" t="s">
        <v>76</v>
      </c>
      <c r="I2" s="24" t="s">
        <v>4974</v>
      </c>
    </row>
    <row r="3" spans="1:9" ht="15" customHeight="1">
      <c r="A3" s="24">
        <v>2</v>
      </c>
      <c r="B3" s="24" t="s">
        <v>715</v>
      </c>
      <c r="C3" s="24" t="s">
        <v>709</v>
      </c>
      <c r="D3" s="24" t="s">
        <v>1172</v>
      </c>
      <c r="E3" s="24" t="s">
        <v>717</v>
      </c>
      <c r="F3" s="24" t="s">
        <v>4975</v>
      </c>
      <c r="G3" s="24" t="s">
        <v>1555</v>
      </c>
      <c r="H3" s="24" t="s">
        <v>76</v>
      </c>
      <c r="I3" s="24" t="s">
        <v>4974</v>
      </c>
    </row>
    <row r="4" spans="1:9" ht="15" customHeight="1">
      <c r="A4" s="24">
        <v>3</v>
      </c>
      <c r="B4" s="24" t="s">
        <v>116</v>
      </c>
      <c r="C4" s="24" t="s">
        <v>709</v>
      </c>
      <c r="D4" s="24" t="s">
        <v>1173</v>
      </c>
      <c r="E4" s="24" t="s">
        <v>1174</v>
      </c>
      <c r="F4" s="24" t="s">
        <v>4976</v>
      </c>
      <c r="G4" s="24" t="s">
        <v>1555</v>
      </c>
      <c r="H4" s="24" t="s">
        <v>76</v>
      </c>
      <c r="I4" s="24" t="s">
        <v>4974</v>
      </c>
    </row>
    <row r="5" spans="1:9" ht="15" customHeight="1">
      <c r="A5" s="24">
        <v>4</v>
      </c>
      <c r="B5" s="24" t="s">
        <v>1175</v>
      </c>
      <c r="C5" s="24" t="s">
        <v>684</v>
      </c>
      <c r="D5" s="24" t="s">
        <v>1176</v>
      </c>
      <c r="E5" s="24" t="s">
        <v>750</v>
      </c>
      <c r="F5" s="24" t="s">
        <v>4977</v>
      </c>
      <c r="G5" s="24" t="s">
        <v>1555</v>
      </c>
      <c r="H5" s="24" t="s">
        <v>76</v>
      </c>
      <c r="I5" s="24" t="s">
        <v>4974</v>
      </c>
    </row>
    <row r="6" spans="1:9" ht="15" customHeight="1">
      <c r="A6" s="24">
        <v>5</v>
      </c>
      <c r="B6" s="24" t="s">
        <v>806</v>
      </c>
      <c r="C6" s="24" t="s">
        <v>684</v>
      </c>
      <c r="D6" s="24" t="s">
        <v>1177</v>
      </c>
      <c r="E6" s="24" t="s">
        <v>808</v>
      </c>
      <c r="F6" s="24" t="s">
        <v>4978</v>
      </c>
      <c r="G6" s="24" t="s">
        <v>1555</v>
      </c>
      <c r="H6" s="24" t="s">
        <v>76</v>
      </c>
      <c r="I6" s="24" t="s">
        <v>4974</v>
      </c>
    </row>
    <row r="7" spans="1:9" ht="15" customHeight="1">
      <c r="A7" s="24">
        <v>6</v>
      </c>
      <c r="B7" s="24" t="s">
        <v>816</v>
      </c>
      <c r="C7" s="24" t="s">
        <v>684</v>
      </c>
      <c r="D7" s="24" t="s">
        <v>1178</v>
      </c>
      <c r="E7" s="24" t="s">
        <v>817</v>
      </c>
      <c r="F7" s="24" t="s">
        <v>4979</v>
      </c>
      <c r="G7" s="24" t="s">
        <v>1555</v>
      </c>
      <c r="H7" s="24" t="s">
        <v>76</v>
      </c>
      <c r="I7" s="24" t="s">
        <v>4974</v>
      </c>
    </row>
    <row r="8" spans="1:9" ht="15" customHeight="1">
      <c r="A8" s="24">
        <v>7</v>
      </c>
      <c r="B8" s="24" t="s">
        <v>1179</v>
      </c>
      <c r="C8" s="24" t="s">
        <v>684</v>
      </c>
      <c r="D8" s="24" t="s">
        <v>1180</v>
      </c>
      <c r="E8" s="24" t="s">
        <v>1181</v>
      </c>
      <c r="F8" s="24" t="s">
        <v>4980</v>
      </c>
      <c r="G8" s="24" t="s">
        <v>1555</v>
      </c>
      <c r="H8" s="24" t="s">
        <v>76</v>
      </c>
      <c r="I8" s="24" t="s">
        <v>4974</v>
      </c>
    </row>
    <row r="9" spans="1:9" ht="15" customHeight="1">
      <c r="A9" s="24">
        <v>8</v>
      </c>
      <c r="B9" s="24" t="s">
        <v>456</v>
      </c>
      <c r="C9" s="24" t="s">
        <v>684</v>
      </c>
      <c r="D9" s="24" t="s">
        <v>1183</v>
      </c>
      <c r="E9" s="24" t="s">
        <v>741</v>
      </c>
      <c r="F9" s="24" t="s">
        <v>4981</v>
      </c>
      <c r="G9" s="24" t="s">
        <v>1555</v>
      </c>
      <c r="H9" s="24" t="s">
        <v>76</v>
      </c>
      <c r="I9" s="24" t="s">
        <v>4974</v>
      </c>
    </row>
    <row r="10" spans="1:9" ht="15" customHeight="1">
      <c r="A10" s="24">
        <v>9</v>
      </c>
      <c r="B10" s="24" t="s">
        <v>1184</v>
      </c>
      <c r="C10" s="24" t="s">
        <v>684</v>
      </c>
      <c r="D10" s="24" t="s">
        <v>1185</v>
      </c>
      <c r="E10" s="24" t="s">
        <v>1186</v>
      </c>
      <c r="F10" s="24" t="s">
        <v>4982</v>
      </c>
      <c r="G10" s="24" t="s">
        <v>1555</v>
      </c>
      <c r="H10" s="24" t="s">
        <v>76</v>
      </c>
      <c r="I10" s="24" t="s">
        <v>4974</v>
      </c>
    </row>
    <row r="11" spans="1:9" ht="15" customHeight="1">
      <c r="A11" s="24">
        <v>10</v>
      </c>
      <c r="B11" s="24" t="s">
        <v>772</v>
      </c>
      <c r="C11" s="24" t="s">
        <v>684</v>
      </c>
      <c r="D11" s="24" t="s">
        <v>1187</v>
      </c>
      <c r="E11" s="24" t="s">
        <v>774</v>
      </c>
      <c r="F11" s="24" t="s">
        <v>4983</v>
      </c>
      <c r="G11" s="24" t="s">
        <v>1555</v>
      </c>
      <c r="H11" s="24" t="s">
        <v>76</v>
      </c>
      <c r="I11" s="24" t="s">
        <v>4974</v>
      </c>
    </row>
    <row r="12" spans="1:9" ht="15" customHeight="1">
      <c r="A12" s="24">
        <v>11</v>
      </c>
      <c r="B12" s="24" t="s">
        <v>724</v>
      </c>
      <c r="C12" s="24" t="s">
        <v>684</v>
      </c>
      <c r="D12" s="24" t="s">
        <v>1188</v>
      </c>
      <c r="E12" s="24" t="s">
        <v>726</v>
      </c>
      <c r="F12" s="24" t="s">
        <v>4984</v>
      </c>
      <c r="G12" s="24" t="s">
        <v>1555</v>
      </c>
      <c r="H12" s="24" t="s">
        <v>76</v>
      </c>
      <c r="I12" s="24" t="s">
        <v>4974</v>
      </c>
    </row>
    <row r="13" spans="1:9" ht="15" customHeight="1">
      <c r="A13" s="24">
        <v>12</v>
      </c>
      <c r="B13" s="24" t="s">
        <v>1189</v>
      </c>
      <c r="C13" s="24" t="s">
        <v>684</v>
      </c>
      <c r="D13" s="24" t="s">
        <v>1190</v>
      </c>
      <c r="E13" s="24" t="s">
        <v>1191</v>
      </c>
      <c r="F13" s="24" t="s">
        <v>4985</v>
      </c>
      <c r="G13" s="24" t="s">
        <v>1555</v>
      </c>
      <c r="H13" s="24" t="s">
        <v>76</v>
      </c>
      <c r="I13" s="24" t="s">
        <v>4974</v>
      </c>
    </row>
    <row r="14" spans="1:9" ht="15" customHeight="1">
      <c r="A14" s="24">
        <v>13</v>
      </c>
      <c r="B14" s="24" t="s">
        <v>849</v>
      </c>
      <c r="C14" s="24" t="s">
        <v>684</v>
      </c>
      <c r="D14" s="24" t="s">
        <v>1192</v>
      </c>
      <c r="E14" s="24" t="s">
        <v>850</v>
      </c>
      <c r="F14" s="24" t="s">
        <v>4986</v>
      </c>
      <c r="G14" s="24" t="s">
        <v>1555</v>
      </c>
      <c r="H14" s="24" t="s">
        <v>76</v>
      </c>
      <c r="I14" s="24" t="s">
        <v>4974</v>
      </c>
    </row>
    <row r="15" spans="1:9" ht="15" customHeight="1">
      <c r="A15" s="24">
        <v>14</v>
      </c>
      <c r="B15" s="24" t="s">
        <v>783</v>
      </c>
      <c r="C15" s="24" t="s">
        <v>684</v>
      </c>
      <c r="D15" s="24" t="s">
        <v>1193</v>
      </c>
      <c r="E15" s="24" t="s">
        <v>785</v>
      </c>
      <c r="F15" s="24" t="s">
        <v>4987</v>
      </c>
      <c r="G15" s="24" t="s">
        <v>1555</v>
      </c>
      <c r="H15" s="24" t="s">
        <v>76</v>
      </c>
      <c r="I15" s="24" t="s">
        <v>4974</v>
      </c>
    </row>
    <row r="16" spans="1:9" ht="15" customHeight="1">
      <c r="A16" s="24">
        <v>15</v>
      </c>
      <c r="B16" s="24" t="s">
        <v>760</v>
      </c>
      <c r="C16" s="24" t="s">
        <v>684</v>
      </c>
      <c r="D16" s="24" t="s">
        <v>1194</v>
      </c>
      <c r="E16" s="24" t="s">
        <v>762</v>
      </c>
      <c r="F16" s="24" t="s">
        <v>4988</v>
      </c>
      <c r="G16" s="24" t="s">
        <v>1555</v>
      </c>
      <c r="H16" s="24" t="s">
        <v>76</v>
      </c>
      <c r="I16" s="24" t="s">
        <v>4974</v>
      </c>
    </row>
    <row r="17" spans="1:9" ht="15" customHeight="1">
      <c r="A17" s="24">
        <v>16</v>
      </c>
      <c r="B17" s="24" t="s">
        <v>1195</v>
      </c>
      <c r="C17" s="24" t="s">
        <v>684</v>
      </c>
      <c r="D17" s="24" t="s">
        <v>1196</v>
      </c>
      <c r="E17" s="24" t="s">
        <v>1197</v>
      </c>
      <c r="F17" s="24" t="s">
        <v>4989</v>
      </c>
      <c r="G17" s="24" t="s">
        <v>1555</v>
      </c>
      <c r="H17" s="24" t="s">
        <v>76</v>
      </c>
      <c r="I17" s="24" t="s">
        <v>4974</v>
      </c>
    </row>
    <row r="18" spans="1:9" ht="15" customHeight="1">
      <c r="A18" s="24">
        <v>17</v>
      </c>
      <c r="B18" s="24" t="s">
        <v>1198</v>
      </c>
      <c r="C18" s="24" t="s">
        <v>684</v>
      </c>
      <c r="D18" s="24" t="s">
        <v>1199</v>
      </c>
      <c r="E18" s="24" t="s">
        <v>1200</v>
      </c>
      <c r="F18" s="24" t="s">
        <v>4990</v>
      </c>
      <c r="G18" s="24" t="s">
        <v>1555</v>
      </c>
      <c r="H18" s="24" t="s">
        <v>76</v>
      </c>
      <c r="I18" s="24" t="s">
        <v>4974</v>
      </c>
    </row>
    <row r="19" spans="1:9" ht="15" customHeight="1">
      <c r="A19" s="24">
        <v>18</v>
      </c>
      <c r="B19" s="24" t="s">
        <v>778</v>
      </c>
      <c r="C19" s="24" t="s">
        <v>684</v>
      </c>
      <c r="D19" s="24" t="s">
        <v>1201</v>
      </c>
      <c r="E19" s="24" t="s">
        <v>779</v>
      </c>
      <c r="F19" s="24" t="s">
        <v>4991</v>
      </c>
      <c r="G19" s="24" t="s">
        <v>1555</v>
      </c>
      <c r="H19" s="24" t="s">
        <v>76</v>
      </c>
      <c r="I19" s="24" t="s">
        <v>4974</v>
      </c>
    </row>
    <row r="20" spans="1:9" ht="15" customHeight="1">
      <c r="A20" s="24">
        <v>19</v>
      </c>
      <c r="B20" s="24" t="s">
        <v>1202</v>
      </c>
      <c r="C20" s="24" t="s">
        <v>684</v>
      </c>
      <c r="D20" s="24" t="s">
        <v>1203</v>
      </c>
      <c r="E20" s="24" t="s">
        <v>1204</v>
      </c>
      <c r="F20" s="24" t="s">
        <v>4992</v>
      </c>
      <c r="G20" s="24" t="s">
        <v>1555</v>
      </c>
      <c r="H20" s="24" t="s">
        <v>76</v>
      </c>
      <c r="I20" s="24" t="s">
        <v>4974</v>
      </c>
    </row>
    <row r="21" spans="1:9" ht="15" customHeight="1">
      <c r="A21" s="24">
        <v>20</v>
      </c>
      <c r="B21" s="24" t="s">
        <v>1205</v>
      </c>
      <c r="C21" s="24" t="s">
        <v>684</v>
      </c>
      <c r="D21" s="24" t="s">
        <v>1206</v>
      </c>
      <c r="E21" s="24" t="s">
        <v>1207</v>
      </c>
      <c r="F21" s="24" t="s">
        <v>4993</v>
      </c>
      <c r="G21" s="24" t="s">
        <v>1555</v>
      </c>
      <c r="H21" s="24" t="s">
        <v>76</v>
      </c>
      <c r="I21" s="24" t="s">
        <v>4974</v>
      </c>
    </row>
    <row r="22" spans="1:9" ht="15" customHeight="1">
      <c r="A22" s="24">
        <v>21</v>
      </c>
      <c r="B22" s="24" t="s">
        <v>1208</v>
      </c>
      <c r="C22" s="24" t="s">
        <v>684</v>
      </c>
      <c r="D22" s="24" t="s">
        <v>1209</v>
      </c>
      <c r="E22" s="24" t="s">
        <v>1210</v>
      </c>
      <c r="F22" s="24" t="s">
        <v>4994</v>
      </c>
      <c r="G22" s="24" t="s">
        <v>1555</v>
      </c>
      <c r="H22" s="24" t="s">
        <v>76</v>
      </c>
      <c r="I22" s="24" t="s">
        <v>4974</v>
      </c>
    </row>
    <row r="23" spans="1:9" ht="15" customHeight="1">
      <c r="A23" s="24">
        <v>22</v>
      </c>
      <c r="B23" s="24" t="s">
        <v>788</v>
      </c>
      <c r="C23" s="24" t="s">
        <v>693</v>
      </c>
      <c r="D23" s="24" t="s">
        <v>1211</v>
      </c>
      <c r="E23" s="24" t="s">
        <v>790</v>
      </c>
      <c r="F23" s="24" t="s">
        <v>4995</v>
      </c>
      <c r="G23" s="24" t="s">
        <v>1555</v>
      </c>
      <c r="H23" s="24" t="s">
        <v>76</v>
      </c>
      <c r="I23" s="24" t="s">
        <v>4974</v>
      </c>
    </row>
    <row r="24" spans="1:9" ht="15" customHeight="1">
      <c r="A24" s="24">
        <v>23</v>
      </c>
      <c r="B24" s="24" t="s">
        <v>754</v>
      </c>
      <c r="C24" s="24" t="s">
        <v>693</v>
      </c>
      <c r="D24" s="24" t="s">
        <v>1212</v>
      </c>
      <c r="E24" s="24" t="s">
        <v>756</v>
      </c>
      <c r="F24" s="24" t="s">
        <v>4996</v>
      </c>
      <c r="G24" s="24" t="s">
        <v>1555</v>
      </c>
      <c r="H24" s="24" t="s">
        <v>76</v>
      </c>
      <c r="I24" s="24" t="s">
        <v>4974</v>
      </c>
    </row>
    <row r="25" spans="1:9" ht="15" customHeight="1">
      <c r="A25" s="24">
        <v>24</v>
      </c>
      <c r="B25" s="24" t="s">
        <v>730</v>
      </c>
      <c r="C25" s="24" t="s">
        <v>693</v>
      </c>
      <c r="D25" s="24" t="s">
        <v>1213</v>
      </c>
      <c r="E25" s="24" t="s">
        <v>732</v>
      </c>
      <c r="F25" s="24" t="s">
        <v>4997</v>
      </c>
      <c r="G25" s="24" t="s">
        <v>1555</v>
      </c>
      <c r="H25" s="24" t="s">
        <v>76</v>
      </c>
      <c r="I25" s="24" t="s">
        <v>4974</v>
      </c>
    </row>
    <row r="26" spans="1:9" ht="15" customHeight="1">
      <c r="A26" s="24">
        <v>25</v>
      </c>
      <c r="B26" s="24" t="s">
        <v>1214</v>
      </c>
      <c r="C26" s="24" t="s">
        <v>684</v>
      </c>
      <c r="D26" s="24" t="s">
        <v>1215</v>
      </c>
      <c r="E26" s="24" t="s">
        <v>815</v>
      </c>
      <c r="F26" s="24" t="s">
        <v>4998</v>
      </c>
      <c r="G26" s="24" t="s">
        <v>1555</v>
      </c>
      <c r="H26" s="24" t="s">
        <v>76</v>
      </c>
      <c r="I26" s="24" t="s">
        <v>4974</v>
      </c>
    </row>
    <row r="27" spans="1:9" ht="15" customHeight="1">
      <c r="A27" s="24">
        <v>26</v>
      </c>
      <c r="B27" s="24" t="s">
        <v>800</v>
      </c>
      <c r="C27" s="24" t="s">
        <v>693</v>
      </c>
      <c r="D27" s="24" t="s">
        <v>1216</v>
      </c>
      <c r="E27" s="24" t="s">
        <v>801</v>
      </c>
      <c r="F27" s="24" t="s">
        <v>4999</v>
      </c>
      <c r="G27" s="24" t="s">
        <v>1555</v>
      </c>
      <c r="H27" s="24" t="s">
        <v>76</v>
      </c>
      <c r="I27" s="24" t="s">
        <v>4974</v>
      </c>
    </row>
    <row r="28" spans="1:9" ht="15" customHeight="1">
      <c r="A28" s="24">
        <v>27</v>
      </c>
      <c r="B28" s="24" t="s">
        <v>802</v>
      </c>
      <c r="C28" s="24" t="s">
        <v>693</v>
      </c>
      <c r="D28" s="24" t="s">
        <v>1217</v>
      </c>
      <c r="E28" s="24" t="s">
        <v>803</v>
      </c>
      <c r="F28" s="24" t="s">
        <v>5000</v>
      </c>
      <c r="G28" s="24" t="s">
        <v>1555</v>
      </c>
      <c r="H28" s="24" t="s">
        <v>76</v>
      </c>
      <c r="I28" s="24" t="s">
        <v>4974</v>
      </c>
    </row>
    <row r="29" spans="1:9" ht="15" customHeight="1">
      <c r="A29" s="24">
        <v>28</v>
      </c>
      <c r="B29" s="24" t="s">
        <v>246</v>
      </c>
      <c r="C29" s="24" t="s">
        <v>693</v>
      </c>
      <c r="D29" s="24" t="s">
        <v>1218</v>
      </c>
      <c r="E29" s="24" t="s">
        <v>793</v>
      </c>
      <c r="F29" s="24" t="s">
        <v>5001</v>
      </c>
      <c r="G29" s="24" t="s">
        <v>1555</v>
      </c>
      <c r="H29" s="24" t="s">
        <v>76</v>
      </c>
      <c r="I29" s="24" t="s">
        <v>4974</v>
      </c>
    </row>
    <row r="30" spans="1:9" ht="15" customHeight="1">
      <c r="A30" s="24">
        <v>29</v>
      </c>
      <c r="B30" s="24" t="s">
        <v>742</v>
      </c>
      <c r="C30" s="24" t="s">
        <v>693</v>
      </c>
      <c r="D30" s="24" t="s">
        <v>1219</v>
      </c>
      <c r="E30" s="24" t="s">
        <v>744</v>
      </c>
      <c r="F30" s="24" t="s">
        <v>5002</v>
      </c>
      <c r="G30" s="24" t="s">
        <v>1555</v>
      </c>
      <c r="H30" s="24" t="s">
        <v>76</v>
      </c>
      <c r="I30" s="24" t="s">
        <v>4974</v>
      </c>
    </row>
    <row r="31" spans="1:9" ht="15" customHeight="1">
      <c r="A31" s="24">
        <v>30</v>
      </c>
      <c r="B31" s="24" t="s">
        <v>1220</v>
      </c>
      <c r="C31" s="24" t="s">
        <v>693</v>
      </c>
      <c r="D31" s="24" t="s">
        <v>1221</v>
      </c>
      <c r="E31" s="24" t="s">
        <v>1222</v>
      </c>
      <c r="F31" s="24" t="s">
        <v>5003</v>
      </c>
      <c r="G31" s="24" t="s">
        <v>1555</v>
      </c>
      <c r="H31" s="24" t="s">
        <v>76</v>
      </c>
      <c r="I31" s="24" t="s">
        <v>4974</v>
      </c>
    </row>
    <row r="32" spans="1:9" ht="15" customHeight="1">
      <c r="A32" s="24">
        <v>31</v>
      </c>
      <c r="B32" s="24" t="s">
        <v>1223</v>
      </c>
      <c r="C32" s="24" t="s">
        <v>693</v>
      </c>
      <c r="D32" s="24" t="s">
        <v>1224</v>
      </c>
      <c r="E32" s="24" t="s">
        <v>1225</v>
      </c>
      <c r="F32" s="24" t="s">
        <v>5004</v>
      </c>
      <c r="G32" s="24" t="s">
        <v>1555</v>
      </c>
      <c r="H32" s="24" t="s">
        <v>76</v>
      </c>
      <c r="I32" s="24" t="s">
        <v>4974</v>
      </c>
    </row>
    <row r="33" spans="1:9" ht="15" customHeight="1">
      <c r="A33" s="24">
        <v>32</v>
      </c>
      <c r="B33" s="24" t="s">
        <v>1226</v>
      </c>
      <c r="C33" s="24" t="s">
        <v>693</v>
      </c>
      <c r="D33" s="24" t="s">
        <v>1227</v>
      </c>
      <c r="E33" s="24" t="s">
        <v>1228</v>
      </c>
      <c r="F33" s="24" t="s">
        <v>5005</v>
      </c>
      <c r="G33" s="24" t="s">
        <v>1555</v>
      </c>
      <c r="H33" s="24" t="s">
        <v>76</v>
      </c>
      <c r="I33" s="24" t="s">
        <v>4974</v>
      </c>
    </row>
    <row r="34" spans="1:9" ht="15" customHeight="1">
      <c r="A34" s="24">
        <v>33</v>
      </c>
      <c r="B34" s="24" t="s">
        <v>1229</v>
      </c>
      <c r="C34" s="24" t="s">
        <v>709</v>
      </c>
      <c r="D34" s="24" t="s">
        <v>1230</v>
      </c>
      <c r="E34" s="24" t="s">
        <v>1231</v>
      </c>
      <c r="F34" s="24" t="s">
        <v>5006</v>
      </c>
      <c r="G34" s="24" t="s">
        <v>1555</v>
      </c>
      <c r="H34" s="24" t="s">
        <v>76</v>
      </c>
      <c r="I34" s="24" t="s">
        <v>4974</v>
      </c>
    </row>
    <row r="35" spans="1:9" ht="15" customHeight="1">
      <c r="A35" s="24">
        <v>34</v>
      </c>
      <c r="B35" s="24" t="s">
        <v>1232</v>
      </c>
      <c r="C35" s="24" t="s">
        <v>684</v>
      </c>
      <c r="D35" s="24" t="s">
        <v>1233</v>
      </c>
      <c r="E35" s="24" t="s">
        <v>1234</v>
      </c>
      <c r="F35" s="24" t="s">
        <v>5007</v>
      </c>
      <c r="G35" s="24" t="s">
        <v>1555</v>
      </c>
      <c r="H35" s="24" t="s">
        <v>76</v>
      </c>
      <c r="I35" s="24" t="s">
        <v>4974</v>
      </c>
    </row>
    <row r="36" spans="1:9" ht="15" customHeight="1">
      <c r="A36" s="24">
        <v>35</v>
      </c>
      <c r="B36" s="24" t="s">
        <v>1235</v>
      </c>
      <c r="C36" s="24" t="s">
        <v>684</v>
      </c>
      <c r="D36" s="24" t="s">
        <v>1236</v>
      </c>
      <c r="E36" s="24" t="s">
        <v>1237</v>
      </c>
      <c r="F36" s="24" t="s">
        <v>5008</v>
      </c>
      <c r="G36" s="24" t="s">
        <v>1555</v>
      </c>
      <c r="H36" s="24" t="s">
        <v>76</v>
      </c>
      <c r="I36" s="24" t="s">
        <v>4974</v>
      </c>
    </row>
    <row r="37" spans="1:9" ht="15" customHeight="1">
      <c r="A37" s="24">
        <v>36</v>
      </c>
      <c r="B37" s="24" t="s">
        <v>1238</v>
      </c>
      <c r="C37" s="24" t="s">
        <v>684</v>
      </c>
      <c r="D37" s="24" t="s">
        <v>1239</v>
      </c>
      <c r="E37" s="24" t="s">
        <v>1240</v>
      </c>
      <c r="F37" s="24" t="s">
        <v>5009</v>
      </c>
      <c r="G37" s="24" t="s">
        <v>1555</v>
      </c>
      <c r="H37" s="24" t="s">
        <v>76</v>
      </c>
      <c r="I37" s="24" t="s">
        <v>4974</v>
      </c>
    </row>
    <row r="38" spans="1:9" ht="15" customHeight="1">
      <c r="A38" s="24">
        <v>37</v>
      </c>
      <c r="B38" s="24" t="s">
        <v>1241</v>
      </c>
      <c r="C38" s="24" t="s">
        <v>684</v>
      </c>
      <c r="D38" s="24" t="s">
        <v>1242</v>
      </c>
      <c r="E38" s="24" t="s">
        <v>1243</v>
      </c>
      <c r="F38" s="24" t="s">
        <v>5010</v>
      </c>
      <c r="G38" s="24" t="s">
        <v>1555</v>
      </c>
      <c r="H38" s="24" t="s">
        <v>76</v>
      </c>
      <c r="I38" s="24" t="s">
        <v>4974</v>
      </c>
    </row>
    <row r="39" spans="1:9" ht="15" customHeight="1">
      <c r="A39" s="24">
        <v>38</v>
      </c>
      <c r="B39" s="24" t="s">
        <v>1244</v>
      </c>
      <c r="C39" s="24" t="s">
        <v>684</v>
      </c>
      <c r="D39" s="24" t="s">
        <v>1245</v>
      </c>
      <c r="E39" s="24" t="s">
        <v>1246</v>
      </c>
      <c r="F39" s="24" t="s">
        <v>5011</v>
      </c>
      <c r="G39" s="24" t="s">
        <v>1555</v>
      </c>
      <c r="H39" s="24" t="s">
        <v>76</v>
      </c>
      <c r="I39" s="24" t="s">
        <v>4974</v>
      </c>
    </row>
    <row r="40" spans="1:9" ht="15" customHeight="1">
      <c r="A40" s="24">
        <v>39</v>
      </c>
      <c r="B40" s="24" t="s">
        <v>491</v>
      </c>
      <c r="C40" s="24" t="s">
        <v>693</v>
      </c>
      <c r="D40" s="24" t="s">
        <v>1247</v>
      </c>
      <c r="E40" s="24" t="s">
        <v>907</v>
      </c>
      <c r="F40" s="24" t="s">
        <v>5012</v>
      </c>
      <c r="G40" s="24" t="s">
        <v>1555</v>
      </c>
      <c r="H40" s="24" t="s">
        <v>76</v>
      </c>
      <c r="I40" s="24" t="s">
        <v>4974</v>
      </c>
    </row>
    <row r="41" spans="1:9" ht="15" customHeight="1">
      <c r="A41" s="24">
        <v>40</v>
      </c>
      <c r="B41" s="24" t="s">
        <v>1248</v>
      </c>
      <c r="C41" s="24" t="s">
        <v>693</v>
      </c>
      <c r="D41" s="24" t="s">
        <v>1249</v>
      </c>
      <c r="E41" s="24" t="s">
        <v>1250</v>
      </c>
      <c r="F41" s="24" t="s">
        <v>5013</v>
      </c>
      <c r="G41" s="24" t="s">
        <v>1555</v>
      </c>
      <c r="H41" s="24" t="s">
        <v>76</v>
      </c>
      <c r="I41" s="24" t="s">
        <v>4974</v>
      </c>
    </row>
    <row r="43" spans="1:9" ht="15" customHeight="1">
      <c r="A43" s="25" t="s">
        <v>5014</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63"/>
  <sheetViews>
    <sheetView zoomScaleNormal="100" workbookViewId="0">
      <pane xSplit="3" ySplit="1" topLeftCell="D2" activePane="bottomRight" state="frozen"/>
      <selection pane="bottomRight" activeCell="C17" sqref="C17"/>
      <selection pane="bottomLeft" activeCell="A2" sqref="A2"/>
      <selection pane="topRight" activeCell="D1" sqref="D1"/>
    </sheetView>
  </sheetViews>
  <sheetFormatPr defaultColWidth="8.5703125" defaultRowHeight="14.45"/>
  <cols>
    <col min="1" max="1" width="5" customWidth="1"/>
    <col min="2" max="2" width="16" customWidth="1"/>
    <col min="3" max="3" width="38" customWidth="1"/>
    <col min="4" max="30" width="18" customWidth="1"/>
    <col min="31" max="31" width="10" customWidth="1"/>
    <col min="32" max="32" width="45" customWidth="1"/>
    <col min="33" max="33" width="40" customWidth="1"/>
    <col min="34" max="34" width="22" customWidth="1"/>
    <col min="35" max="35" width="40" customWidth="1"/>
  </cols>
  <sheetData>
    <row r="1" spans="1:35" ht="45" customHeight="1">
      <c r="A1" s="23" t="s">
        <v>446</v>
      </c>
      <c r="B1" s="23" t="s">
        <v>55</v>
      </c>
      <c r="C1" s="23" t="s">
        <v>57</v>
      </c>
      <c r="D1" s="23" t="s">
        <v>5015</v>
      </c>
      <c r="E1" s="23" t="s">
        <v>59</v>
      </c>
      <c r="F1" s="23" t="s">
        <v>60</v>
      </c>
      <c r="G1" s="23" t="s">
        <v>5016</v>
      </c>
      <c r="H1" s="23" t="s">
        <v>5017</v>
      </c>
      <c r="I1" s="23" t="s">
        <v>5018</v>
      </c>
      <c r="J1" s="23" t="s">
        <v>5019</v>
      </c>
      <c r="K1" s="23" t="s">
        <v>5020</v>
      </c>
      <c r="L1" s="23" t="s">
        <v>5021</v>
      </c>
      <c r="M1" s="23" t="s">
        <v>5022</v>
      </c>
      <c r="N1" s="23" t="s">
        <v>5023</v>
      </c>
      <c r="O1" s="23" t="s">
        <v>5024</v>
      </c>
      <c r="P1" s="23" t="s">
        <v>5025</v>
      </c>
      <c r="Q1" s="23" t="s">
        <v>5026</v>
      </c>
      <c r="R1" s="23" t="s">
        <v>5027</v>
      </c>
      <c r="S1" s="23" t="s">
        <v>5028</v>
      </c>
      <c r="T1" s="23" t="s">
        <v>5029</v>
      </c>
      <c r="U1" s="23" t="s">
        <v>5030</v>
      </c>
      <c r="V1" s="23" t="s">
        <v>5031</v>
      </c>
      <c r="W1" s="23" t="s">
        <v>5032</v>
      </c>
      <c r="X1" s="23" t="s">
        <v>5033</v>
      </c>
      <c r="Y1" s="23" t="s">
        <v>5034</v>
      </c>
      <c r="Z1" s="23" t="s">
        <v>5035</v>
      </c>
      <c r="AA1" s="23" t="s">
        <v>5036</v>
      </c>
      <c r="AB1" s="23" t="s">
        <v>5037</v>
      </c>
      <c r="AC1" s="23" t="s">
        <v>5038</v>
      </c>
      <c r="AD1" s="23" t="s">
        <v>5039</v>
      </c>
      <c r="AE1" s="26" t="s">
        <v>5040</v>
      </c>
      <c r="AF1" s="26" t="s">
        <v>5041</v>
      </c>
      <c r="AG1" s="26" t="s">
        <v>5042</v>
      </c>
      <c r="AH1" s="26" t="s">
        <v>5043</v>
      </c>
      <c r="AI1" s="26" t="s">
        <v>5044</v>
      </c>
    </row>
    <row r="2" spans="1:35" ht="15" customHeight="1">
      <c r="A2" s="27" t="s">
        <v>5045</v>
      </c>
      <c r="B2" s="27" t="s">
        <v>8</v>
      </c>
      <c r="C2" s="27" t="s">
        <v>339</v>
      </c>
      <c r="D2" s="27" t="s">
        <v>5046</v>
      </c>
      <c r="E2" s="27">
        <v>2025</v>
      </c>
      <c r="F2" s="27" t="s">
        <v>341</v>
      </c>
      <c r="G2" s="27" t="s">
        <v>5047</v>
      </c>
      <c r="H2" s="27" t="s">
        <v>5048</v>
      </c>
      <c r="I2" s="27" t="s">
        <v>5049</v>
      </c>
      <c r="J2" s="27" t="s">
        <v>5050</v>
      </c>
      <c r="K2" s="27" t="s">
        <v>5051</v>
      </c>
      <c r="L2" s="27" t="s">
        <v>5052</v>
      </c>
      <c r="M2" s="27" t="s">
        <v>5053</v>
      </c>
      <c r="N2" s="27" t="s">
        <v>5054</v>
      </c>
      <c r="O2" s="27" t="s">
        <v>5055</v>
      </c>
      <c r="P2" s="27" t="s">
        <v>5056</v>
      </c>
      <c r="Q2" s="27" t="s">
        <v>5057</v>
      </c>
      <c r="R2" s="27" t="s">
        <v>5058</v>
      </c>
      <c r="S2" s="27" t="s">
        <v>5059</v>
      </c>
      <c r="T2" s="27" t="s">
        <v>5060</v>
      </c>
      <c r="U2" s="27" t="s">
        <v>5061</v>
      </c>
      <c r="V2" s="27" t="s">
        <v>5062</v>
      </c>
      <c r="W2" s="27" t="s">
        <v>5063</v>
      </c>
      <c r="X2" s="27" t="s">
        <v>5064</v>
      </c>
      <c r="Y2" s="27" t="s">
        <v>5065</v>
      </c>
      <c r="Z2" s="27" t="s">
        <v>5066</v>
      </c>
      <c r="AA2" s="27" t="s">
        <v>5067</v>
      </c>
      <c r="AB2" s="27" t="s">
        <v>5068</v>
      </c>
      <c r="AC2" s="27" t="s">
        <v>5069</v>
      </c>
      <c r="AD2" s="27" t="s">
        <v>5070</v>
      </c>
      <c r="AE2" s="7">
        <f t="shared" ref="AE2:AE28" si="0">VALUE(MID(AD2,FIND("Level",AD2)+6,1))</f>
        <v>4</v>
      </c>
      <c r="AF2" s="7"/>
      <c r="AG2" s="7" t="s">
        <v>5071</v>
      </c>
      <c r="AH2" s="7"/>
      <c r="AI2" s="7" t="s">
        <v>5072</v>
      </c>
    </row>
    <row r="3" spans="1:35" ht="15" customHeight="1">
      <c r="A3" s="27" t="s">
        <v>5073</v>
      </c>
      <c r="B3" s="27" t="s">
        <v>10</v>
      </c>
      <c r="C3" s="27" t="s">
        <v>456</v>
      </c>
      <c r="D3" s="27" t="s">
        <v>5046</v>
      </c>
      <c r="E3" s="27">
        <v>2026</v>
      </c>
      <c r="F3" s="27" t="s">
        <v>653</v>
      </c>
      <c r="G3" s="27" t="s">
        <v>5047</v>
      </c>
      <c r="H3" s="27" t="s">
        <v>5074</v>
      </c>
      <c r="I3" s="27" t="s">
        <v>5075</v>
      </c>
      <c r="J3" s="27" t="s">
        <v>5076</v>
      </c>
      <c r="K3" s="27" t="s">
        <v>5077</v>
      </c>
      <c r="L3" s="27" t="s">
        <v>5078</v>
      </c>
      <c r="M3" s="27" t="s">
        <v>5079</v>
      </c>
      <c r="N3" s="27" t="s">
        <v>5080</v>
      </c>
      <c r="O3" s="27" t="s">
        <v>5081</v>
      </c>
      <c r="P3" s="27" t="s">
        <v>5082</v>
      </c>
      <c r="Q3" s="27" t="s">
        <v>5083</v>
      </c>
      <c r="R3" s="27" t="s">
        <v>5084</v>
      </c>
      <c r="S3" s="27" t="s">
        <v>5085</v>
      </c>
      <c r="T3" s="27" t="s">
        <v>5086</v>
      </c>
      <c r="U3" s="27" t="s">
        <v>5087</v>
      </c>
      <c r="V3" s="27" t="s">
        <v>5088</v>
      </c>
      <c r="W3" s="27" t="s">
        <v>5089</v>
      </c>
      <c r="X3" s="27" t="s">
        <v>5090</v>
      </c>
      <c r="Y3" s="27" t="s">
        <v>5091</v>
      </c>
      <c r="Z3" s="27" t="s">
        <v>5092</v>
      </c>
      <c r="AA3" s="27" t="s">
        <v>5093</v>
      </c>
      <c r="AB3" s="27" t="s">
        <v>5094</v>
      </c>
      <c r="AC3" s="27" t="s">
        <v>5069</v>
      </c>
      <c r="AD3" s="27" t="s">
        <v>5095</v>
      </c>
      <c r="AE3" s="7">
        <f t="shared" si="0"/>
        <v>3</v>
      </c>
      <c r="AF3" s="7"/>
      <c r="AG3" s="7" t="s">
        <v>5071</v>
      </c>
      <c r="AH3" s="7"/>
      <c r="AI3" s="7" t="s">
        <v>5072</v>
      </c>
    </row>
    <row r="4" spans="1:35" ht="15" customHeight="1">
      <c r="A4" s="27" t="s">
        <v>5096</v>
      </c>
      <c r="B4" s="27" t="s">
        <v>11</v>
      </c>
      <c r="C4" s="27" t="s">
        <v>189</v>
      </c>
      <c r="D4" s="27" t="s">
        <v>5046</v>
      </c>
      <c r="E4" s="27">
        <v>2024</v>
      </c>
      <c r="F4" s="27" t="s">
        <v>5097</v>
      </c>
      <c r="G4" s="27" t="s">
        <v>5047</v>
      </c>
      <c r="H4" s="27" t="s">
        <v>5098</v>
      </c>
      <c r="I4" s="27" t="s">
        <v>5099</v>
      </c>
      <c r="J4" s="27" t="s">
        <v>5100</v>
      </c>
      <c r="K4" s="27" t="s">
        <v>5101</v>
      </c>
      <c r="L4" s="27" t="s">
        <v>5102</v>
      </c>
      <c r="M4" s="27" t="s">
        <v>5103</v>
      </c>
      <c r="N4" s="27" t="s">
        <v>5104</v>
      </c>
      <c r="O4" s="27" t="s">
        <v>5105</v>
      </c>
      <c r="P4" s="27" t="s">
        <v>5106</v>
      </c>
      <c r="Q4" s="27" t="s">
        <v>5107</v>
      </c>
      <c r="R4" s="27" t="s">
        <v>5108</v>
      </c>
      <c r="S4" s="27" t="s">
        <v>5109</v>
      </c>
      <c r="T4" s="27" t="s">
        <v>5110</v>
      </c>
      <c r="U4" s="27" t="s">
        <v>5111</v>
      </c>
      <c r="V4" s="27" t="s">
        <v>5112</v>
      </c>
      <c r="W4" s="27" t="s">
        <v>5113</v>
      </c>
      <c r="X4" s="27" t="s">
        <v>5114</v>
      </c>
      <c r="Y4" s="27" t="s">
        <v>5115</v>
      </c>
      <c r="Z4" s="27" t="s">
        <v>5116</v>
      </c>
      <c r="AA4" s="27" t="s">
        <v>5117</v>
      </c>
      <c r="AB4" s="27" t="s">
        <v>5118</v>
      </c>
      <c r="AC4" s="27" t="s">
        <v>5119</v>
      </c>
      <c r="AD4" s="27" t="s">
        <v>5120</v>
      </c>
      <c r="AE4" s="7">
        <f t="shared" si="0"/>
        <v>2</v>
      </c>
      <c r="AF4" s="7"/>
      <c r="AG4" s="7" t="s">
        <v>5071</v>
      </c>
      <c r="AH4" s="7"/>
      <c r="AI4" s="7" t="s">
        <v>5072</v>
      </c>
    </row>
    <row r="5" spans="1:35" ht="15" customHeight="1">
      <c r="A5" s="27" t="s">
        <v>5121</v>
      </c>
      <c r="B5" s="27" t="s">
        <v>11</v>
      </c>
      <c r="C5" s="27" t="s">
        <v>5122</v>
      </c>
      <c r="D5" s="27" t="s">
        <v>5046</v>
      </c>
      <c r="E5" s="27">
        <v>2025</v>
      </c>
      <c r="F5" s="27" t="s">
        <v>5123</v>
      </c>
      <c r="G5" s="27" t="s">
        <v>5047</v>
      </c>
      <c r="H5" s="27" t="s">
        <v>5124</v>
      </c>
      <c r="I5" s="27" t="s">
        <v>5125</v>
      </c>
      <c r="J5" s="27" t="s">
        <v>5126</v>
      </c>
      <c r="K5" s="27" t="s">
        <v>5127</v>
      </c>
      <c r="L5" s="27" t="s">
        <v>5128</v>
      </c>
      <c r="M5" s="27" t="s">
        <v>5129</v>
      </c>
      <c r="N5" s="27" t="s">
        <v>5130</v>
      </c>
      <c r="O5" s="27" t="s">
        <v>5131</v>
      </c>
      <c r="P5" s="27" t="s">
        <v>5132</v>
      </c>
      <c r="Q5" s="27" t="s">
        <v>5133</v>
      </c>
      <c r="R5" s="27" t="s">
        <v>5134</v>
      </c>
      <c r="S5" s="27" t="s">
        <v>5135</v>
      </c>
      <c r="T5" s="27" t="s">
        <v>5136</v>
      </c>
      <c r="U5" s="27" t="s">
        <v>5137</v>
      </c>
      <c r="V5" s="27" t="s">
        <v>5138</v>
      </c>
      <c r="W5" s="27" t="s">
        <v>5139</v>
      </c>
      <c r="X5" s="27" t="s">
        <v>5140</v>
      </c>
      <c r="Y5" s="27" t="s">
        <v>5141</v>
      </c>
      <c r="Z5" s="27" t="s">
        <v>5142</v>
      </c>
      <c r="AA5" s="27" t="s">
        <v>5143</v>
      </c>
      <c r="AB5" s="27" t="s">
        <v>5144</v>
      </c>
      <c r="AC5" s="27" t="s">
        <v>5069</v>
      </c>
      <c r="AD5" s="27" t="s">
        <v>5070</v>
      </c>
      <c r="AE5" s="7">
        <f t="shared" si="0"/>
        <v>4</v>
      </c>
      <c r="AF5" s="7"/>
      <c r="AG5" s="7" t="s">
        <v>5071</v>
      </c>
      <c r="AH5" s="7"/>
      <c r="AI5" s="7" t="s">
        <v>5072</v>
      </c>
    </row>
    <row r="6" spans="1:35" ht="15" customHeight="1">
      <c r="A6" s="27" t="s">
        <v>5145</v>
      </c>
      <c r="B6" s="27" t="s">
        <v>11</v>
      </c>
      <c r="C6" s="27" t="s">
        <v>5146</v>
      </c>
      <c r="D6" s="27" t="s">
        <v>5046</v>
      </c>
      <c r="E6" s="27">
        <v>2023</v>
      </c>
      <c r="F6" s="27" t="s">
        <v>5147</v>
      </c>
      <c r="G6" s="27" t="s">
        <v>5047</v>
      </c>
      <c r="H6" s="27" t="s">
        <v>5148</v>
      </c>
      <c r="I6" s="27" t="s">
        <v>5149</v>
      </c>
      <c r="J6" s="27" t="s">
        <v>5150</v>
      </c>
      <c r="K6" s="27" t="s">
        <v>5151</v>
      </c>
      <c r="L6" s="27" t="s">
        <v>5152</v>
      </c>
      <c r="M6" s="27" t="s">
        <v>5153</v>
      </c>
      <c r="N6" s="27" t="s">
        <v>5130</v>
      </c>
      <c r="O6" s="27" t="s">
        <v>5154</v>
      </c>
      <c r="P6" s="27" t="s">
        <v>5155</v>
      </c>
      <c r="Q6" s="27" t="s">
        <v>5156</v>
      </c>
      <c r="R6" s="27" t="s">
        <v>5157</v>
      </c>
      <c r="S6" s="27" t="s">
        <v>5158</v>
      </c>
      <c r="T6" s="27" t="s">
        <v>5159</v>
      </c>
      <c r="U6" s="27" t="s">
        <v>5160</v>
      </c>
      <c r="V6" s="27" t="s">
        <v>5161</v>
      </c>
      <c r="W6" s="27" t="s">
        <v>5162</v>
      </c>
      <c r="X6" s="27" t="s">
        <v>5163</v>
      </c>
      <c r="Y6" s="27" t="s">
        <v>5164</v>
      </c>
      <c r="Z6" s="27" t="s">
        <v>5165</v>
      </c>
      <c r="AA6" s="27" t="s">
        <v>5166</v>
      </c>
      <c r="AB6" s="27" t="s">
        <v>5167</v>
      </c>
      <c r="AC6" s="27" t="s">
        <v>5168</v>
      </c>
      <c r="AD6" s="27" t="s">
        <v>5120</v>
      </c>
      <c r="AE6" s="7">
        <f t="shared" si="0"/>
        <v>2</v>
      </c>
      <c r="AF6" s="7"/>
      <c r="AG6" s="7" t="s">
        <v>5071</v>
      </c>
      <c r="AH6" s="7"/>
      <c r="AI6" s="7" t="s">
        <v>5072</v>
      </c>
    </row>
    <row r="7" spans="1:35" ht="15" customHeight="1">
      <c r="A7" s="27" t="s">
        <v>5169</v>
      </c>
      <c r="B7" s="27" t="s">
        <v>11</v>
      </c>
      <c r="C7" s="27" t="s">
        <v>5170</v>
      </c>
      <c r="D7" s="27" t="s">
        <v>5046</v>
      </c>
      <c r="E7" s="27">
        <v>2026</v>
      </c>
      <c r="F7" s="27" t="s">
        <v>685</v>
      </c>
      <c r="G7" s="27" t="s">
        <v>5047</v>
      </c>
      <c r="H7" s="27" t="s">
        <v>5171</v>
      </c>
      <c r="I7" s="27" t="s">
        <v>5172</v>
      </c>
      <c r="J7" s="27" t="s">
        <v>5173</v>
      </c>
      <c r="K7" s="27" t="s">
        <v>5174</v>
      </c>
      <c r="L7" s="27" t="s">
        <v>5175</v>
      </c>
      <c r="M7" s="27" t="s">
        <v>5176</v>
      </c>
      <c r="N7" s="27" t="s">
        <v>5177</v>
      </c>
      <c r="O7" s="27" t="s">
        <v>5178</v>
      </c>
      <c r="P7" s="27" t="s">
        <v>5179</v>
      </c>
      <c r="Q7" s="27" t="s">
        <v>5180</v>
      </c>
      <c r="R7" s="27" t="s">
        <v>5181</v>
      </c>
      <c r="S7" s="27" t="s">
        <v>5182</v>
      </c>
      <c r="T7" s="27" t="s">
        <v>5183</v>
      </c>
      <c r="U7" s="27" t="s">
        <v>5184</v>
      </c>
      <c r="V7" s="27" t="s">
        <v>5185</v>
      </c>
      <c r="W7" s="27" t="s">
        <v>5186</v>
      </c>
      <c r="X7" s="27" t="s">
        <v>5187</v>
      </c>
      <c r="Y7" s="27" t="s">
        <v>5188</v>
      </c>
      <c r="Z7" s="27" t="s">
        <v>5189</v>
      </c>
      <c r="AA7" s="27" t="s">
        <v>5190</v>
      </c>
      <c r="AB7" s="27" t="s">
        <v>5191</v>
      </c>
      <c r="AC7" s="27" t="s">
        <v>5192</v>
      </c>
      <c r="AD7" s="27" t="s">
        <v>5095</v>
      </c>
      <c r="AE7" s="7">
        <f t="shared" si="0"/>
        <v>3</v>
      </c>
      <c r="AF7" s="7"/>
      <c r="AG7" s="7" t="s">
        <v>5071</v>
      </c>
      <c r="AH7" s="7"/>
      <c r="AI7" s="7" t="s">
        <v>5072</v>
      </c>
    </row>
    <row r="8" spans="1:35" ht="15" customHeight="1">
      <c r="A8" s="27" t="s">
        <v>5193</v>
      </c>
      <c r="B8" s="27" t="s">
        <v>11</v>
      </c>
      <c r="C8" s="27" t="s">
        <v>5194</v>
      </c>
      <c r="D8" s="27" t="s">
        <v>5046</v>
      </c>
      <c r="E8" s="27">
        <v>2024</v>
      </c>
      <c r="F8" s="27" t="s">
        <v>5195</v>
      </c>
      <c r="G8" s="27" t="s">
        <v>5047</v>
      </c>
      <c r="H8" s="27" t="s">
        <v>5196</v>
      </c>
      <c r="I8" s="27" t="s">
        <v>5197</v>
      </c>
      <c r="J8" s="27" t="s">
        <v>5198</v>
      </c>
      <c r="K8" s="27" t="s">
        <v>5199</v>
      </c>
      <c r="L8" s="27" t="s">
        <v>5200</v>
      </c>
      <c r="M8" s="27" t="s">
        <v>5201</v>
      </c>
      <c r="N8" s="27" t="s">
        <v>5202</v>
      </c>
      <c r="O8" s="27" t="s">
        <v>5203</v>
      </c>
      <c r="P8" s="27" t="s">
        <v>5204</v>
      </c>
      <c r="Q8" s="27" t="s">
        <v>5205</v>
      </c>
      <c r="R8" s="27" t="s">
        <v>5206</v>
      </c>
      <c r="S8" s="27" t="s">
        <v>5207</v>
      </c>
      <c r="T8" s="27" t="s">
        <v>5208</v>
      </c>
      <c r="U8" s="27" t="s">
        <v>5209</v>
      </c>
      <c r="V8" s="27" t="s">
        <v>5210</v>
      </c>
      <c r="W8" s="27" t="s">
        <v>5211</v>
      </c>
      <c r="X8" s="27" t="s">
        <v>5212</v>
      </c>
      <c r="Y8" s="27" t="s">
        <v>5213</v>
      </c>
      <c r="Z8" s="27" t="s">
        <v>5214</v>
      </c>
      <c r="AA8" s="27" t="s">
        <v>5215</v>
      </c>
      <c r="AB8" s="27" t="s">
        <v>5216</v>
      </c>
      <c r="AC8" s="27" t="s">
        <v>5069</v>
      </c>
      <c r="AD8" s="27" t="s">
        <v>5070</v>
      </c>
      <c r="AE8" s="7">
        <f t="shared" si="0"/>
        <v>4</v>
      </c>
      <c r="AF8" s="7"/>
      <c r="AG8" s="7" t="s">
        <v>5071</v>
      </c>
      <c r="AH8" s="7"/>
      <c r="AI8" s="7" t="s">
        <v>5072</v>
      </c>
    </row>
    <row r="9" spans="1:35" ht="15" customHeight="1">
      <c r="A9" s="27" t="s">
        <v>5217</v>
      </c>
      <c r="B9" s="27" t="s">
        <v>8</v>
      </c>
      <c r="C9" s="27" t="s">
        <v>436</v>
      </c>
      <c r="D9" s="27" t="s">
        <v>5046</v>
      </c>
      <c r="E9" s="27">
        <v>2025</v>
      </c>
      <c r="F9" s="28" t="s">
        <v>5218</v>
      </c>
      <c r="G9" s="27" t="s">
        <v>5047</v>
      </c>
      <c r="H9" s="27" t="s">
        <v>5219</v>
      </c>
      <c r="I9" s="27" t="s">
        <v>5099</v>
      </c>
      <c r="J9" s="27" t="s">
        <v>5220</v>
      </c>
      <c r="K9" s="28" t="s">
        <v>5221</v>
      </c>
      <c r="L9" s="27" t="s">
        <v>5222</v>
      </c>
      <c r="M9" s="27" t="s">
        <v>5223</v>
      </c>
      <c r="N9" s="27" t="s">
        <v>5224</v>
      </c>
      <c r="O9" s="27" t="s">
        <v>5225</v>
      </c>
      <c r="P9" s="27" t="s">
        <v>5226</v>
      </c>
      <c r="Q9" s="27" t="s">
        <v>5227</v>
      </c>
      <c r="R9" s="27" t="s">
        <v>5228</v>
      </c>
      <c r="S9" s="27" t="s">
        <v>5229</v>
      </c>
      <c r="T9" s="27" t="s">
        <v>5230</v>
      </c>
      <c r="U9" s="27" t="s">
        <v>5209</v>
      </c>
      <c r="V9" s="28" t="s">
        <v>5231</v>
      </c>
      <c r="W9" s="27" t="s">
        <v>5232</v>
      </c>
      <c r="X9" s="27" t="s">
        <v>5233</v>
      </c>
      <c r="Y9" s="27" t="s">
        <v>5234</v>
      </c>
      <c r="Z9" s="27" t="s">
        <v>5235</v>
      </c>
      <c r="AA9" s="27" t="s">
        <v>5236</v>
      </c>
      <c r="AB9" s="27" t="s">
        <v>5237</v>
      </c>
      <c r="AC9" s="27" t="s">
        <v>5238</v>
      </c>
      <c r="AD9" s="27" t="s">
        <v>5070</v>
      </c>
      <c r="AE9" s="7">
        <f t="shared" si="0"/>
        <v>4</v>
      </c>
      <c r="AF9" s="7"/>
      <c r="AG9" s="7" t="s">
        <v>5071</v>
      </c>
      <c r="AH9" s="7"/>
      <c r="AI9" s="7" t="s">
        <v>5072</v>
      </c>
    </row>
    <row r="10" spans="1:35" ht="15" customHeight="1">
      <c r="A10" s="27" t="s">
        <v>5239</v>
      </c>
      <c r="B10" s="27" t="s">
        <v>13</v>
      </c>
      <c r="C10" s="27" t="s">
        <v>760</v>
      </c>
      <c r="D10" s="27" t="s">
        <v>5046</v>
      </c>
      <c r="E10" s="27">
        <v>2026</v>
      </c>
      <c r="F10" s="27" t="s">
        <v>761</v>
      </c>
      <c r="G10" s="27" t="s">
        <v>5047</v>
      </c>
      <c r="H10" s="27" t="s">
        <v>5240</v>
      </c>
      <c r="I10" s="27" t="s">
        <v>5241</v>
      </c>
      <c r="J10" s="27" t="s">
        <v>5242</v>
      </c>
      <c r="K10" s="27" t="s">
        <v>5243</v>
      </c>
      <c r="L10" s="27" t="s">
        <v>5244</v>
      </c>
      <c r="M10" s="27" t="s">
        <v>5245</v>
      </c>
      <c r="N10" s="27" t="s">
        <v>5246</v>
      </c>
      <c r="O10" s="27" t="s">
        <v>5247</v>
      </c>
      <c r="P10" s="27" t="s">
        <v>5248</v>
      </c>
      <c r="Q10" s="27" t="s">
        <v>5249</v>
      </c>
      <c r="R10" s="27" t="s">
        <v>5250</v>
      </c>
      <c r="S10" s="27" t="s">
        <v>5251</v>
      </c>
      <c r="T10" s="27" t="s">
        <v>5252</v>
      </c>
      <c r="U10" s="27" t="s">
        <v>5253</v>
      </c>
      <c r="V10" s="27" t="s">
        <v>5254</v>
      </c>
      <c r="W10" s="27" t="s">
        <v>5255</v>
      </c>
      <c r="X10" s="27" t="s">
        <v>5256</v>
      </c>
      <c r="Y10" s="27" t="s">
        <v>5257</v>
      </c>
      <c r="Z10" s="27" t="s">
        <v>5258</v>
      </c>
      <c r="AA10" s="27" t="s">
        <v>5259</v>
      </c>
      <c r="AB10" s="27" t="s">
        <v>5260</v>
      </c>
      <c r="AC10" s="27" t="s">
        <v>5261</v>
      </c>
      <c r="AD10" s="27" t="s">
        <v>5262</v>
      </c>
      <c r="AE10" s="7">
        <f t="shared" si="0"/>
        <v>5</v>
      </c>
      <c r="AF10" s="7"/>
      <c r="AG10" s="7" t="s">
        <v>5071</v>
      </c>
      <c r="AH10" s="7"/>
      <c r="AI10" s="7" t="s">
        <v>5072</v>
      </c>
    </row>
    <row r="11" spans="1:35" ht="15" customHeight="1">
      <c r="A11" s="27" t="s">
        <v>5263</v>
      </c>
      <c r="B11" s="27" t="s">
        <v>13</v>
      </c>
      <c r="C11" s="27" t="s">
        <v>780</v>
      </c>
      <c r="D11" s="27" t="s">
        <v>5046</v>
      </c>
      <c r="E11" s="27">
        <v>2025</v>
      </c>
      <c r="F11" s="27" t="s">
        <v>781</v>
      </c>
      <c r="G11" s="27" t="s">
        <v>5047</v>
      </c>
      <c r="H11" s="27" t="s">
        <v>5264</v>
      </c>
      <c r="I11" s="27" t="s">
        <v>5265</v>
      </c>
      <c r="J11" s="27" t="s">
        <v>5266</v>
      </c>
      <c r="K11" s="27" t="s">
        <v>5267</v>
      </c>
      <c r="L11" s="27" t="s">
        <v>5268</v>
      </c>
      <c r="M11" s="27" t="s">
        <v>5269</v>
      </c>
      <c r="N11" s="27" t="s">
        <v>5202</v>
      </c>
      <c r="O11" s="27" t="s">
        <v>5270</v>
      </c>
      <c r="P11" s="27" t="s">
        <v>5271</v>
      </c>
      <c r="Q11" s="27" t="s">
        <v>5272</v>
      </c>
      <c r="R11" s="27" t="s">
        <v>5273</v>
      </c>
      <c r="S11" s="27" t="s">
        <v>5274</v>
      </c>
      <c r="T11" s="27" t="s">
        <v>5275</v>
      </c>
      <c r="U11" s="27" t="s">
        <v>5209</v>
      </c>
      <c r="V11" s="27" t="s">
        <v>5276</v>
      </c>
      <c r="W11" s="27" t="s">
        <v>5277</v>
      </c>
      <c r="X11" s="27" t="s">
        <v>5278</v>
      </c>
      <c r="Y11" s="27" t="s">
        <v>5279</v>
      </c>
      <c r="Z11" s="27" t="s">
        <v>5280</v>
      </c>
      <c r="AA11" s="27" t="s">
        <v>5281</v>
      </c>
      <c r="AB11" s="27" t="s">
        <v>5282</v>
      </c>
      <c r="AC11" s="27" t="s">
        <v>5283</v>
      </c>
      <c r="AD11" s="27" t="s">
        <v>5262</v>
      </c>
      <c r="AE11" s="7">
        <f t="shared" si="0"/>
        <v>5</v>
      </c>
      <c r="AF11" s="7"/>
      <c r="AG11" s="7" t="s">
        <v>5071</v>
      </c>
      <c r="AH11" s="7"/>
      <c r="AI11" s="7" t="s">
        <v>5072</v>
      </c>
    </row>
    <row r="12" spans="1:35" ht="15" customHeight="1">
      <c r="A12" s="27" t="s">
        <v>5284</v>
      </c>
      <c r="B12" s="27" t="s">
        <v>13</v>
      </c>
      <c r="C12" s="27" t="s">
        <v>813</v>
      </c>
      <c r="D12" s="27" t="s">
        <v>5046</v>
      </c>
      <c r="E12" s="27">
        <v>2026</v>
      </c>
      <c r="F12" s="27" t="s">
        <v>814</v>
      </c>
      <c r="G12" s="27" t="s">
        <v>5047</v>
      </c>
      <c r="H12" s="27" t="s">
        <v>5285</v>
      </c>
      <c r="I12" s="27" t="s">
        <v>5286</v>
      </c>
      <c r="J12" s="27" t="s">
        <v>5287</v>
      </c>
      <c r="K12" s="27" t="s">
        <v>5288</v>
      </c>
      <c r="L12" s="27" t="s">
        <v>5289</v>
      </c>
      <c r="M12" s="27" t="s">
        <v>5290</v>
      </c>
      <c r="N12" s="27" t="s">
        <v>5291</v>
      </c>
      <c r="O12" s="27" t="s">
        <v>5292</v>
      </c>
      <c r="P12" s="27" t="s">
        <v>5293</v>
      </c>
      <c r="Q12" s="27" t="s">
        <v>5294</v>
      </c>
      <c r="R12" s="27" t="s">
        <v>5295</v>
      </c>
      <c r="S12" s="27" t="s">
        <v>5296</v>
      </c>
      <c r="T12" s="27" t="s">
        <v>5297</v>
      </c>
      <c r="U12" s="27" t="s">
        <v>5298</v>
      </c>
      <c r="V12" s="27" t="s">
        <v>5299</v>
      </c>
      <c r="W12" s="27" t="s">
        <v>5300</v>
      </c>
      <c r="X12" s="27" t="s">
        <v>5301</v>
      </c>
      <c r="Y12" s="27" t="s">
        <v>5302</v>
      </c>
      <c r="Z12" s="27" t="s">
        <v>5303</v>
      </c>
      <c r="AA12" s="27" t="s">
        <v>5304</v>
      </c>
      <c r="AB12" s="27" t="s">
        <v>5305</v>
      </c>
      <c r="AC12" s="27" t="s">
        <v>5306</v>
      </c>
      <c r="AD12" s="27" t="s">
        <v>5095</v>
      </c>
      <c r="AE12" s="7">
        <f t="shared" si="0"/>
        <v>3</v>
      </c>
      <c r="AF12" s="7"/>
      <c r="AG12" s="7" t="s">
        <v>5071</v>
      </c>
      <c r="AH12" s="7"/>
      <c r="AI12" s="7" t="s">
        <v>5072</v>
      </c>
    </row>
    <row r="13" spans="1:35" ht="15" customHeight="1">
      <c r="A13" s="27" t="s">
        <v>5307</v>
      </c>
      <c r="B13" s="27" t="s">
        <v>13</v>
      </c>
      <c r="C13" s="27" t="s">
        <v>816</v>
      </c>
      <c r="D13" s="27" t="s">
        <v>5308</v>
      </c>
      <c r="E13" s="27">
        <v>2026</v>
      </c>
      <c r="F13" s="27" t="s">
        <v>5309</v>
      </c>
      <c r="G13" s="27" t="s">
        <v>5310</v>
      </c>
      <c r="H13" s="27" t="s">
        <v>5311</v>
      </c>
      <c r="I13" s="27" t="s">
        <v>5312</v>
      </c>
      <c r="J13" s="27" t="s">
        <v>5313</v>
      </c>
      <c r="K13" s="27" t="s">
        <v>5314</v>
      </c>
      <c r="L13" s="27" t="s">
        <v>5315</v>
      </c>
      <c r="M13" s="27" t="s">
        <v>5316</v>
      </c>
      <c r="N13" s="27" t="s">
        <v>5317</v>
      </c>
      <c r="O13" s="27" t="s">
        <v>5318</v>
      </c>
      <c r="P13" s="27" t="s">
        <v>5319</v>
      </c>
      <c r="Q13" s="27" t="s">
        <v>5320</v>
      </c>
      <c r="R13" s="27" t="s">
        <v>5321</v>
      </c>
      <c r="S13" s="27" t="s">
        <v>5322</v>
      </c>
      <c r="T13" s="27" t="s">
        <v>5323</v>
      </c>
      <c r="U13" s="27" t="s">
        <v>5324</v>
      </c>
      <c r="V13" s="27" t="s">
        <v>5325</v>
      </c>
      <c r="W13" s="27" t="s">
        <v>5326</v>
      </c>
      <c r="X13" s="27" t="s">
        <v>5327</v>
      </c>
      <c r="Y13" s="27" t="s">
        <v>5328</v>
      </c>
      <c r="Z13" s="27" t="s">
        <v>5329</v>
      </c>
      <c r="AA13" s="27" t="s">
        <v>5330</v>
      </c>
      <c r="AB13" s="27" t="s">
        <v>5331</v>
      </c>
      <c r="AC13" s="27" t="s">
        <v>5332</v>
      </c>
      <c r="AD13" s="27" t="s">
        <v>5070</v>
      </c>
      <c r="AE13" s="7">
        <f t="shared" si="0"/>
        <v>4</v>
      </c>
      <c r="AF13" s="7" t="s">
        <v>5333</v>
      </c>
      <c r="AG13" s="7" t="s">
        <v>5334</v>
      </c>
      <c r="AH13" s="7" t="s">
        <v>5335</v>
      </c>
      <c r="AI13" s="7" t="s">
        <v>5072</v>
      </c>
    </row>
    <row r="14" spans="1:35" ht="15" customHeight="1">
      <c r="A14" s="27" t="s">
        <v>5336</v>
      </c>
      <c r="B14" s="27" t="s">
        <v>10</v>
      </c>
      <c r="C14" s="27" t="s">
        <v>462</v>
      </c>
      <c r="D14" s="27" t="s">
        <v>5046</v>
      </c>
      <c r="E14" s="27">
        <v>2026</v>
      </c>
      <c r="F14" s="27" t="s">
        <v>653</v>
      </c>
      <c r="G14" s="27" t="s">
        <v>5047</v>
      </c>
      <c r="H14" s="27" t="s">
        <v>5196</v>
      </c>
      <c r="I14" s="27" t="s">
        <v>5337</v>
      </c>
      <c r="J14" s="27" t="s">
        <v>5338</v>
      </c>
      <c r="K14" s="27" t="s">
        <v>5339</v>
      </c>
      <c r="L14" s="27" t="s">
        <v>5340</v>
      </c>
      <c r="M14" s="27" t="s">
        <v>5153</v>
      </c>
      <c r="N14" s="27" t="s">
        <v>5341</v>
      </c>
      <c r="O14" s="27" t="s">
        <v>5342</v>
      </c>
      <c r="P14" s="27" t="s">
        <v>5343</v>
      </c>
      <c r="Q14" s="27" t="s">
        <v>5344</v>
      </c>
      <c r="R14" s="27" t="s">
        <v>5345</v>
      </c>
      <c r="S14" s="27" t="s">
        <v>5346</v>
      </c>
      <c r="T14" s="27" t="s">
        <v>5347</v>
      </c>
      <c r="U14" s="27" t="s">
        <v>5348</v>
      </c>
      <c r="V14" s="27" t="s">
        <v>5349</v>
      </c>
      <c r="W14" s="27" t="s">
        <v>5350</v>
      </c>
      <c r="X14" s="27" t="s">
        <v>5351</v>
      </c>
      <c r="Y14" s="27" t="s">
        <v>5352</v>
      </c>
      <c r="Z14" s="27" t="s">
        <v>5353</v>
      </c>
      <c r="AA14" s="27" t="s">
        <v>5354</v>
      </c>
      <c r="AB14" s="27" t="s">
        <v>5355</v>
      </c>
      <c r="AC14" s="27" t="s">
        <v>5356</v>
      </c>
      <c r="AD14" s="27" t="s">
        <v>5120</v>
      </c>
      <c r="AE14" s="7">
        <f t="shared" si="0"/>
        <v>2</v>
      </c>
      <c r="AF14" s="7"/>
      <c r="AG14" s="7" t="s">
        <v>5071</v>
      </c>
      <c r="AH14" s="7"/>
      <c r="AI14" s="7" t="s">
        <v>5072</v>
      </c>
    </row>
    <row r="15" spans="1:35" ht="15" customHeight="1">
      <c r="A15" s="27" t="s">
        <v>5357</v>
      </c>
      <c r="B15" s="27" t="s">
        <v>10</v>
      </c>
      <c r="C15" s="27" t="s">
        <v>470</v>
      </c>
      <c r="D15" s="28" t="s">
        <v>5358</v>
      </c>
      <c r="E15" s="27">
        <v>2021</v>
      </c>
      <c r="F15" s="27" t="s">
        <v>653</v>
      </c>
      <c r="G15" s="28" t="s">
        <v>5359</v>
      </c>
      <c r="H15" s="28" t="s">
        <v>5360</v>
      </c>
      <c r="I15" s="28" t="s">
        <v>5361</v>
      </c>
      <c r="J15" s="28" t="s">
        <v>5362</v>
      </c>
      <c r="K15" s="28" t="s">
        <v>5363</v>
      </c>
      <c r="L15" s="28" t="s">
        <v>5364</v>
      </c>
      <c r="M15" s="28" t="s">
        <v>5365</v>
      </c>
      <c r="N15" s="28" t="s">
        <v>5366</v>
      </c>
      <c r="O15" s="28" t="s">
        <v>5367</v>
      </c>
      <c r="P15" s="28" t="s">
        <v>5368</v>
      </c>
      <c r="Q15" s="28" t="s">
        <v>5369</v>
      </c>
      <c r="R15" s="28" t="s">
        <v>5370</v>
      </c>
      <c r="S15" s="28" t="s">
        <v>5371</v>
      </c>
      <c r="T15" s="28" t="s">
        <v>5372</v>
      </c>
      <c r="U15" s="28" t="s">
        <v>5373</v>
      </c>
      <c r="V15" s="28" t="s">
        <v>5374</v>
      </c>
      <c r="W15" s="28" t="s">
        <v>5375</v>
      </c>
      <c r="X15" s="28" t="s">
        <v>5376</v>
      </c>
      <c r="Y15" s="28" t="s">
        <v>5377</v>
      </c>
      <c r="Z15" s="28" t="s">
        <v>5378</v>
      </c>
      <c r="AA15" s="28" t="s">
        <v>5379</v>
      </c>
      <c r="AB15" s="28" t="s">
        <v>5380</v>
      </c>
      <c r="AC15" s="28" t="s">
        <v>5381</v>
      </c>
      <c r="AD15" s="28" t="s">
        <v>5070</v>
      </c>
      <c r="AE15" s="7">
        <f t="shared" si="0"/>
        <v>4</v>
      </c>
      <c r="AF15" s="7"/>
      <c r="AG15" s="7" t="s">
        <v>5382</v>
      </c>
      <c r="AH15" s="7" t="s">
        <v>5383</v>
      </c>
      <c r="AI15" s="7" t="s">
        <v>5072</v>
      </c>
    </row>
    <row r="16" spans="1:35" ht="15" customHeight="1">
      <c r="A16" s="27" t="s">
        <v>5384</v>
      </c>
      <c r="B16" s="27" t="s">
        <v>9</v>
      </c>
      <c r="C16" s="27" t="s">
        <v>1037</v>
      </c>
      <c r="D16" s="28" t="s">
        <v>5358</v>
      </c>
      <c r="E16" s="27">
        <v>2025</v>
      </c>
      <c r="F16" s="27" t="s">
        <v>923</v>
      </c>
      <c r="G16" s="28" t="s">
        <v>5385</v>
      </c>
      <c r="H16" s="28" t="s">
        <v>5386</v>
      </c>
      <c r="I16" s="28" t="s">
        <v>5387</v>
      </c>
      <c r="J16" s="28" t="s">
        <v>5388</v>
      </c>
      <c r="K16" s="28" t="s">
        <v>5389</v>
      </c>
      <c r="L16" s="28" t="s">
        <v>5390</v>
      </c>
      <c r="M16" s="28" t="s">
        <v>5391</v>
      </c>
      <c r="N16" s="28" t="s">
        <v>5392</v>
      </c>
      <c r="O16" s="28" t="s">
        <v>5393</v>
      </c>
      <c r="P16" s="28" t="s">
        <v>5394</v>
      </c>
      <c r="Q16" s="28" t="s">
        <v>5395</v>
      </c>
      <c r="R16" s="28" t="s">
        <v>5396</v>
      </c>
      <c r="S16" s="28" t="s">
        <v>5397</v>
      </c>
      <c r="T16" s="28" t="s">
        <v>5398</v>
      </c>
      <c r="U16" s="28" t="s">
        <v>5399</v>
      </c>
      <c r="V16" s="28" t="s">
        <v>5400</v>
      </c>
      <c r="W16" s="28" t="s">
        <v>5401</v>
      </c>
      <c r="X16" s="28" t="s">
        <v>5402</v>
      </c>
      <c r="Y16" s="28" t="s">
        <v>5403</v>
      </c>
      <c r="Z16" s="28" t="s">
        <v>5404</v>
      </c>
      <c r="AA16" s="28" t="s">
        <v>5405</v>
      </c>
      <c r="AB16" s="28" t="s">
        <v>5406</v>
      </c>
      <c r="AC16" s="28" t="s">
        <v>5407</v>
      </c>
      <c r="AD16" s="28" t="s">
        <v>5095</v>
      </c>
      <c r="AE16" s="7">
        <f t="shared" si="0"/>
        <v>3</v>
      </c>
      <c r="AF16" s="7"/>
      <c r="AG16" s="7" t="s">
        <v>5382</v>
      </c>
      <c r="AH16" s="7" t="s">
        <v>5383</v>
      </c>
      <c r="AI16" s="7" t="s">
        <v>5072</v>
      </c>
    </row>
    <row r="17" spans="1:35" ht="15" customHeight="1">
      <c r="A17" s="27" t="s">
        <v>5408</v>
      </c>
      <c r="B17" s="27" t="s">
        <v>9</v>
      </c>
      <c r="C17" s="27" t="s">
        <v>1119</v>
      </c>
      <c r="D17" s="27" t="s">
        <v>5046</v>
      </c>
      <c r="E17" s="27">
        <v>2026</v>
      </c>
      <c r="F17" s="27" t="s">
        <v>1121</v>
      </c>
      <c r="G17" s="27" t="s">
        <v>5047</v>
      </c>
      <c r="H17" s="27" t="s">
        <v>5409</v>
      </c>
      <c r="I17" s="27" t="s">
        <v>5410</v>
      </c>
      <c r="J17" s="27" t="s">
        <v>5411</v>
      </c>
      <c r="K17" s="27" t="s">
        <v>5412</v>
      </c>
      <c r="L17" s="27" t="s">
        <v>5413</v>
      </c>
      <c r="M17" s="27" t="s">
        <v>5414</v>
      </c>
      <c r="N17" s="27" t="s">
        <v>5415</v>
      </c>
      <c r="O17" s="27" t="s">
        <v>5416</v>
      </c>
      <c r="P17" s="27" t="s">
        <v>5417</v>
      </c>
      <c r="Q17" s="27" t="s">
        <v>5418</v>
      </c>
      <c r="R17" s="27" t="s">
        <v>5419</v>
      </c>
      <c r="S17" s="27" t="s">
        <v>5420</v>
      </c>
      <c r="T17" s="27" t="s">
        <v>5421</v>
      </c>
      <c r="U17" s="27" t="s">
        <v>5422</v>
      </c>
      <c r="V17" s="27" t="s">
        <v>5423</v>
      </c>
      <c r="W17" s="27" t="s">
        <v>5424</v>
      </c>
      <c r="X17" s="27" t="s">
        <v>5425</v>
      </c>
      <c r="Y17" s="27" t="s">
        <v>5426</v>
      </c>
      <c r="Z17" s="27" t="s">
        <v>5427</v>
      </c>
      <c r="AA17" s="27" t="s">
        <v>5428</v>
      </c>
      <c r="AB17" s="27" t="s">
        <v>5429</v>
      </c>
      <c r="AC17" s="27" t="s">
        <v>5430</v>
      </c>
      <c r="AD17" s="27" t="s">
        <v>5262</v>
      </c>
      <c r="AE17" s="7">
        <f t="shared" si="0"/>
        <v>5</v>
      </c>
      <c r="AF17" s="7"/>
      <c r="AG17" s="7" t="s">
        <v>5071</v>
      </c>
      <c r="AH17" s="7"/>
      <c r="AI17" s="7" t="s">
        <v>5072</v>
      </c>
    </row>
    <row r="18" spans="1:35" ht="15" customHeight="1">
      <c r="A18" s="27" t="s">
        <v>5431</v>
      </c>
      <c r="B18" s="27" t="s">
        <v>11</v>
      </c>
      <c r="C18" s="27" t="s">
        <v>5432</v>
      </c>
      <c r="D18" s="28" t="s">
        <v>5358</v>
      </c>
      <c r="E18" s="27">
        <v>2024</v>
      </c>
      <c r="F18" s="27" t="s">
        <v>5433</v>
      </c>
      <c r="G18" s="28" t="s">
        <v>5434</v>
      </c>
      <c r="H18" s="28" t="s">
        <v>5435</v>
      </c>
      <c r="I18" s="28" t="s">
        <v>5436</v>
      </c>
      <c r="J18" s="28" t="s">
        <v>5437</v>
      </c>
      <c r="K18" s="28" t="s">
        <v>5438</v>
      </c>
      <c r="L18" s="28" t="s">
        <v>5439</v>
      </c>
      <c r="M18" s="28" t="s">
        <v>5440</v>
      </c>
      <c r="N18" s="28" t="s">
        <v>5441</v>
      </c>
      <c r="O18" s="28" t="s">
        <v>5442</v>
      </c>
      <c r="P18" s="28" t="s">
        <v>5443</v>
      </c>
      <c r="Q18" s="28" t="s">
        <v>5444</v>
      </c>
      <c r="R18" s="28" t="s">
        <v>5445</v>
      </c>
      <c r="S18" s="28" t="s">
        <v>5446</v>
      </c>
      <c r="T18" s="28" t="s">
        <v>5447</v>
      </c>
      <c r="U18" s="28" t="s">
        <v>5448</v>
      </c>
      <c r="V18" s="28" t="s">
        <v>5449</v>
      </c>
      <c r="W18" s="28" t="s">
        <v>5450</v>
      </c>
      <c r="X18" s="28" t="s">
        <v>5451</v>
      </c>
      <c r="Y18" s="28" t="s">
        <v>5452</v>
      </c>
      <c r="Z18" s="28" t="s">
        <v>5453</v>
      </c>
      <c r="AA18" s="28" t="s">
        <v>5454</v>
      </c>
      <c r="AB18" s="28" t="s">
        <v>5455</v>
      </c>
      <c r="AC18" s="28" t="s">
        <v>5456</v>
      </c>
      <c r="AD18" s="28" t="s">
        <v>5120</v>
      </c>
      <c r="AE18" s="7">
        <f t="shared" si="0"/>
        <v>2</v>
      </c>
      <c r="AF18" s="7"/>
      <c r="AG18" s="7" t="s">
        <v>5382</v>
      </c>
      <c r="AH18" s="7" t="s">
        <v>5383</v>
      </c>
      <c r="AI18" s="7" t="s">
        <v>5072</v>
      </c>
    </row>
    <row r="19" spans="1:35" ht="15" customHeight="1">
      <c r="A19" s="27" t="s">
        <v>5457</v>
      </c>
      <c r="B19" s="27" t="s">
        <v>12</v>
      </c>
      <c r="C19" s="27" t="s">
        <v>5458</v>
      </c>
      <c r="D19" s="27" t="s">
        <v>5046</v>
      </c>
      <c r="E19" s="28">
        <v>2026</v>
      </c>
      <c r="F19" s="27" t="s">
        <v>1176</v>
      </c>
      <c r="G19" s="27" t="s">
        <v>5047</v>
      </c>
      <c r="H19" s="27" t="s">
        <v>5459</v>
      </c>
      <c r="I19" s="27" t="s">
        <v>5460</v>
      </c>
      <c r="J19" s="27" t="s">
        <v>5461</v>
      </c>
      <c r="K19" s="27" t="s">
        <v>5462</v>
      </c>
      <c r="L19" s="27" t="s">
        <v>5463</v>
      </c>
      <c r="M19" s="27" t="s">
        <v>5464</v>
      </c>
      <c r="N19" s="27" t="s">
        <v>5465</v>
      </c>
      <c r="O19" s="27" t="s">
        <v>5466</v>
      </c>
      <c r="P19" s="27" t="s">
        <v>5467</v>
      </c>
      <c r="Q19" s="27" t="s">
        <v>5468</v>
      </c>
      <c r="R19" s="27" t="s">
        <v>5469</v>
      </c>
      <c r="S19" s="27" t="s">
        <v>5470</v>
      </c>
      <c r="T19" s="27" t="s">
        <v>5471</v>
      </c>
      <c r="U19" s="27" t="s">
        <v>5472</v>
      </c>
      <c r="V19" s="27" t="s">
        <v>5473</v>
      </c>
      <c r="W19" s="27" t="s">
        <v>5474</v>
      </c>
      <c r="X19" s="27" t="s">
        <v>5475</v>
      </c>
      <c r="Y19" s="27" t="s">
        <v>5476</v>
      </c>
      <c r="Z19" s="28" t="s">
        <v>5477</v>
      </c>
      <c r="AA19" s="27" t="s">
        <v>5478</v>
      </c>
      <c r="AB19" s="27" t="s">
        <v>5479</v>
      </c>
      <c r="AC19" s="27" t="s">
        <v>5480</v>
      </c>
      <c r="AD19" s="27" t="s">
        <v>5070</v>
      </c>
      <c r="AE19" s="7">
        <f t="shared" si="0"/>
        <v>4</v>
      </c>
      <c r="AF19" s="7"/>
      <c r="AG19" s="7" t="s">
        <v>5071</v>
      </c>
      <c r="AH19" s="7"/>
      <c r="AI19" s="7" t="s">
        <v>5072</v>
      </c>
    </row>
    <row r="20" spans="1:35" ht="15" customHeight="1">
      <c r="A20" s="27" t="s">
        <v>5481</v>
      </c>
      <c r="B20" s="27" t="s">
        <v>12</v>
      </c>
      <c r="C20" s="27" t="s">
        <v>1184</v>
      </c>
      <c r="D20" s="28" t="s">
        <v>5358</v>
      </c>
      <c r="E20" s="28">
        <v>2026</v>
      </c>
      <c r="F20" s="27" t="s">
        <v>1185</v>
      </c>
      <c r="G20" s="28" t="s">
        <v>5482</v>
      </c>
      <c r="H20" s="28" t="s">
        <v>5483</v>
      </c>
      <c r="I20" s="28" t="s">
        <v>5484</v>
      </c>
      <c r="J20" s="28" t="s">
        <v>5485</v>
      </c>
      <c r="K20" s="28" t="s">
        <v>5486</v>
      </c>
      <c r="L20" s="28" t="s">
        <v>5487</v>
      </c>
      <c r="M20" s="28" t="s">
        <v>5488</v>
      </c>
      <c r="N20" s="28" t="s">
        <v>5489</v>
      </c>
      <c r="O20" s="28" t="s">
        <v>5490</v>
      </c>
      <c r="P20" s="28" t="s">
        <v>5491</v>
      </c>
      <c r="Q20" s="28" t="s">
        <v>5492</v>
      </c>
      <c r="R20" s="28" t="s">
        <v>5493</v>
      </c>
      <c r="S20" s="28" t="s">
        <v>5494</v>
      </c>
      <c r="T20" s="28" t="s">
        <v>5495</v>
      </c>
      <c r="U20" s="28" t="s">
        <v>5496</v>
      </c>
      <c r="V20" s="28" t="s">
        <v>5497</v>
      </c>
      <c r="W20" s="28" t="s">
        <v>5498</v>
      </c>
      <c r="X20" s="28" t="s">
        <v>5499</v>
      </c>
      <c r="Y20" s="28" t="s">
        <v>5500</v>
      </c>
      <c r="Z20" s="28" t="s">
        <v>5501</v>
      </c>
      <c r="AA20" s="28" t="s">
        <v>5502</v>
      </c>
      <c r="AB20" s="28" t="s">
        <v>5503</v>
      </c>
      <c r="AC20" s="28" t="s">
        <v>5451</v>
      </c>
      <c r="AD20" s="28" t="s">
        <v>5262</v>
      </c>
      <c r="AE20" s="7">
        <f t="shared" si="0"/>
        <v>5</v>
      </c>
      <c r="AF20" s="7"/>
      <c r="AG20" s="7" t="s">
        <v>5382</v>
      </c>
      <c r="AH20" s="7" t="s">
        <v>5383</v>
      </c>
      <c r="AI20" s="7" t="s">
        <v>5072</v>
      </c>
    </row>
    <row r="21" spans="1:35" ht="15" customHeight="1">
      <c r="A21" s="27" t="s">
        <v>5504</v>
      </c>
      <c r="B21" s="27" t="s">
        <v>12</v>
      </c>
      <c r="C21" s="27" t="s">
        <v>724</v>
      </c>
      <c r="D21" s="28" t="s">
        <v>5358</v>
      </c>
      <c r="E21" s="28">
        <v>2026</v>
      </c>
      <c r="F21" s="27" t="s">
        <v>1188</v>
      </c>
      <c r="G21" s="28" t="s">
        <v>5505</v>
      </c>
      <c r="H21" s="28" t="s">
        <v>5506</v>
      </c>
      <c r="I21" s="28" t="s">
        <v>5507</v>
      </c>
      <c r="J21" s="28" t="s">
        <v>5508</v>
      </c>
      <c r="K21" s="28" t="s">
        <v>5509</v>
      </c>
      <c r="L21" s="28" t="s">
        <v>5510</v>
      </c>
      <c r="M21" s="28" t="s">
        <v>5440</v>
      </c>
      <c r="N21" s="28" t="s">
        <v>5511</v>
      </c>
      <c r="O21" s="28" t="s">
        <v>5512</v>
      </c>
      <c r="P21" s="28" t="s">
        <v>5513</v>
      </c>
      <c r="Q21" s="28" t="s">
        <v>5514</v>
      </c>
      <c r="R21" s="28" t="s">
        <v>5515</v>
      </c>
      <c r="S21" s="28" t="s">
        <v>5516</v>
      </c>
      <c r="T21" s="28" t="s">
        <v>5517</v>
      </c>
      <c r="U21" s="28" t="s">
        <v>5518</v>
      </c>
      <c r="V21" s="28" t="s">
        <v>5519</v>
      </c>
      <c r="W21" s="28" t="s">
        <v>5520</v>
      </c>
      <c r="X21" s="28" t="s">
        <v>5521</v>
      </c>
      <c r="Y21" s="28" t="s">
        <v>5522</v>
      </c>
      <c r="Z21" s="28" t="s">
        <v>5523</v>
      </c>
      <c r="AA21" s="28" t="s">
        <v>5524</v>
      </c>
      <c r="AB21" s="28" t="s">
        <v>5525</v>
      </c>
      <c r="AC21" s="28" t="s">
        <v>5526</v>
      </c>
      <c r="AD21" s="28" t="s">
        <v>5070</v>
      </c>
      <c r="AE21" s="7">
        <f t="shared" si="0"/>
        <v>4</v>
      </c>
      <c r="AF21" s="7"/>
      <c r="AG21" s="7" t="s">
        <v>5382</v>
      </c>
      <c r="AH21" s="7" t="s">
        <v>5383</v>
      </c>
      <c r="AI21" s="7" t="s">
        <v>5072</v>
      </c>
    </row>
    <row r="22" spans="1:35" ht="15" customHeight="1">
      <c r="A22" s="27" t="s">
        <v>5527</v>
      </c>
      <c r="B22" s="27" t="s">
        <v>12</v>
      </c>
      <c r="C22" s="27" t="s">
        <v>778</v>
      </c>
      <c r="D22" s="28" t="s">
        <v>5358</v>
      </c>
      <c r="E22" s="28">
        <v>2026</v>
      </c>
      <c r="F22" s="27" t="s">
        <v>1201</v>
      </c>
      <c r="G22" s="28" t="s">
        <v>5528</v>
      </c>
      <c r="H22" s="28" t="s">
        <v>5529</v>
      </c>
      <c r="I22" s="28" t="s">
        <v>5530</v>
      </c>
      <c r="J22" s="28" t="s">
        <v>5531</v>
      </c>
      <c r="K22" s="28" t="s">
        <v>5532</v>
      </c>
      <c r="L22" s="28" t="s">
        <v>5533</v>
      </c>
      <c r="M22" s="28" t="s">
        <v>5440</v>
      </c>
      <c r="N22" s="28" t="s">
        <v>5534</v>
      </c>
      <c r="O22" s="28" t="s">
        <v>5535</v>
      </c>
      <c r="P22" s="28" t="s">
        <v>5536</v>
      </c>
      <c r="Q22" s="28" t="s">
        <v>5537</v>
      </c>
      <c r="R22" s="28" t="s">
        <v>5538</v>
      </c>
      <c r="S22" s="28" t="s">
        <v>5539</v>
      </c>
      <c r="T22" s="28" t="s">
        <v>5540</v>
      </c>
      <c r="U22" s="28" t="s">
        <v>5541</v>
      </c>
      <c r="V22" s="28" t="s">
        <v>5542</v>
      </c>
      <c r="W22" s="28" t="s">
        <v>5543</v>
      </c>
      <c r="X22" s="28" t="s">
        <v>5451</v>
      </c>
      <c r="Y22" s="28" t="s">
        <v>5544</v>
      </c>
      <c r="Z22" s="28" t="s">
        <v>5545</v>
      </c>
      <c r="AA22" s="28" t="s">
        <v>5546</v>
      </c>
      <c r="AB22" s="28" t="s">
        <v>5547</v>
      </c>
      <c r="AC22" s="28" t="s">
        <v>5548</v>
      </c>
      <c r="AD22" s="28" t="s">
        <v>5095</v>
      </c>
      <c r="AE22" s="7">
        <f t="shared" si="0"/>
        <v>3</v>
      </c>
      <c r="AF22" s="7"/>
      <c r="AG22" s="7" t="s">
        <v>5382</v>
      </c>
      <c r="AH22" s="7" t="s">
        <v>5383</v>
      </c>
      <c r="AI22" s="7" t="s">
        <v>5072</v>
      </c>
    </row>
    <row r="23" spans="1:35" ht="15" customHeight="1">
      <c r="A23" s="27" t="s">
        <v>5549</v>
      </c>
      <c r="B23" s="27" t="s">
        <v>10</v>
      </c>
      <c r="C23" s="27" t="s">
        <v>451</v>
      </c>
      <c r="D23" s="27" t="s">
        <v>5308</v>
      </c>
      <c r="E23" s="27">
        <v>2026</v>
      </c>
      <c r="F23" s="27" t="s">
        <v>653</v>
      </c>
      <c r="G23" s="27" t="s">
        <v>5550</v>
      </c>
      <c r="H23" s="27" t="s">
        <v>5074</v>
      </c>
      <c r="I23" s="27" t="s">
        <v>5551</v>
      </c>
      <c r="J23" s="27" t="s">
        <v>5552</v>
      </c>
      <c r="K23" s="27" t="s">
        <v>5553</v>
      </c>
      <c r="L23" s="27" t="s">
        <v>5554</v>
      </c>
      <c r="M23" s="27" t="s">
        <v>5555</v>
      </c>
      <c r="N23" s="27" t="s">
        <v>5556</v>
      </c>
      <c r="O23" s="27" t="s">
        <v>5557</v>
      </c>
      <c r="P23" s="27" t="s">
        <v>5558</v>
      </c>
      <c r="Q23" s="27" t="s">
        <v>5559</v>
      </c>
      <c r="R23" s="27" t="s">
        <v>5560</v>
      </c>
      <c r="S23" s="27" t="s">
        <v>5561</v>
      </c>
      <c r="T23" s="27" t="s">
        <v>5562</v>
      </c>
      <c r="U23" s="27" t="s">
        <v>5563</v>
      </c>
      <c r="V23" s="27" t="s">
        <v>5564</v>
      </c>
      <c r="W23" s="27" t="s">
        <v>5565</v>
      </c>
      <c r="X23" s="27" t="s">
        <v>5566</v>
      </c>
      <c r="Y23" s="27" t="s">
        <v>5567</v>
      </c>
      <c r="Z23" s="27" t="s">
        <v>5568</v>
      </c>
      <c r="AA23" s="27" t="s">
        <v>5569</v>
      </c>
      <c r="AB23" s="27" t="s">
        <v>5570</v>
      </c>
      <c r="AC23" s="27" t="s">
        <v>5571</v>
      </c>
      <c r="AD23" s="27" t="s">
        <v>5070</v>
      </c>
      <c r="AE23" s="7">
        <f t="shared" si="0"/>
        <v>4</v>
      </c>
      <c r="AF23" s="7" t="s">
        <v>5572</v>
      </c>
      <c r="AG23" s="7" t="s">
        <v>5334</v>
      </c>
      <c r="AH23" s="7" t="s">
        <v>5335</v>
      </c>
      <c r="AI23" s="7" t="s">
        <v>5072</v>
      </c>
    </row>
    <row r="24" spans="1:35" ht="15" customHeight="1">
      <c r="A24" s="27" t="s">
        <v>5573</v>
      </c>
      <c r="B24" s="27" t="s">
        <v>10</v>
      </c>
      <c r="C24" s="27" t="s">
        <v>458</v>
      </c>
      <c r="D24" s="27" t="s">
        <v>5308</v>
      </c>
      <c r="E24" s="27">
        <v>2026</v>
      </c>
      <c r="F24" s="27" t="s">
        <v>653</v>
      </c>
      <c r="G24" s="27" t="s">
        <v>5574</v>
      </c>
      <c r="H24" s="27" t="s">
        <v>5575</v>
      </c>
      <c r="I24" s="27" t="s">
        <v>5576</v>
      </c>
      <c r="J24" s="27" t="s">
        <v>5577</v>
      </c>
      <c r="K24" s="27" t="s">
        <v>5578</v>
      </c>
      <c r="L24" s="27" t="s">
        <v>5579</v>
      </c>
      <c r="M24" s="27" t="s">
        <v>5580</v>
      </c>
      <c r="N24" s="27" t="s">
        <v>5581</v>
      </c>
      <c r="O24" s="27" t="s">
        <v>5582</v>
      </c>
      <c r="P24" s="27" t="s">
        <v>5583</v>
      </c>
      <c r="Q24" s="27" t="s">
        <v>5584</v>
      </c>
      <c r="R24" s="27" t="s">
        <v>5585</v>
      </c>
      <c r="S24" s="27" t="s">
        <v>5586</v>
      </c>
      <c r="T24" s="27" t="s">
        <v>5587</v>
      </c>
      <c r="U24" s="27" t="s">
        <v>5588</v>
      </c>
      <c r="V24" s="27" t="s">
        <v>5589</v>
      </c>
      <c r="W24" s="27" t="s">
        <v>5590</v>
      </c>
      <c r="X24" s="27" t="s">
        <v>5591</v>
      </c>
      <c r="Y24" s="27" t="s">
        <v>5592</v>
      </c>
      <c r="Z24" s="27" t="s">
        <v>5593</v>
      </c>
      <c r="AA24" s="27" t="s">
        <v>5594</v>
      </c>
      <c r="AB24" s="27" t="s">
        <v>5595</v>
      </c>
      <c r="AC24" s="27" t="s">
        <v>5596</v>
      </c>
      <c r="AD24" s="27" t="s">
        <v>5095</v>
      </c>
      <c r="AE24" s="7">
        <f t="shared" si="0"/>
        <v>3</v>
      </c>
      <c r="AF24" s="7" t="s">
        <v>5597</v>
      </c>
      <c r="AG24" s="7" t="s">
        <v>5334</v>
      </c>
      <c r="AH24" s="7" t="s">
        <v>5335</v>
      </c>
      <c r="AI24" s="7" t="s">
        <v>5072</v>
      </c>
    </row>
    <row r="25" spans="1:35" ht="15" customHeight="1">
      <c r="A25" s="27" t="s">
        <v>5598</v>
      </c>
      <c r="B25" s="27" t="s">
        <v>10</v>
      </c>
      <c r="C25" s="27" t="s">
        <v>460</v>
      </c>
      <c r="D25" s="27" t="s">
        <v>5308</v>
      </c>
      <c r="E25" s="27">
        <v>2026</v>
      </c>
      <c r="F25" s="27" t="s">
        <v>5599</v>
      </c>
      <c r="G25" s="27" t="s">
        <v>5600</v>
      </c>
      <c r="H25" s="27" t="s">
        <v>5219</v>
      </c>
      <c r="I25" s="27" t="s">
        <v>5601</v>
      </c>
      <c r="J25" s="27" t="s">
        <v>5602</v>
      </c>
      <c r="K25" s="27" t="s">
        <v>5603</v>
      </c>
      <c r="L25" s="27" t="s">
        <v>5604</v>
      </c>
      <c r="M25" s="27" t="s">
        <v>5605</v>
      </c>
      <c r="N25" s="27" t="s">
        <v>5606</v>
      </c>
      <c r="O25" s="27" t="s">
        <v>5490</v>
      </c>
      <c r="P25" s="27" t="s">
        <v>5607</v>
      </c>
      <c r="Q25" s="27" t="s">
        <v>5608</v>
      </c>
      <c r="R25" s="27" t="s">
        <v>5609</v>
      </c>
      <c r="S25" s="27" t="s">
        <v>5610</v>
      </c>
      <c r="T25" s="27" t="s">
        <v>5611</v>
      </c>
      <c r="U25" s="27" t="s">
        <v>5612</v>
      </c>
      <c r="V25" s="27" t="s">
        <v>5613</v>
      </c>
      <c r="W25" s="27" t="s">
        <v>5614</v>
      </c>
      <c r="X25" s="27" t="s">
        <v>5615</v>
      </c>
      <c r="Y25" s="27" t="s">
        <v>5616</v>
      </c>
      <c r="Z25" s="27" t="s">
        <v>5617</v>
      </c>
      <c r="AA25" s="27" t="s">
        <v>5618</v>
      </c>
      <c r="AB25" s="27" t="s">
        <v>5619</v>
      </c>
      <c r="AC25" s="27" t="s">
        <v>5620</v>
      </c>
      <c r="AD25" s="27" t="s">
        <v>5120</v>
      </c>
      <c r="AE25" s="7">
        <f t="shared" si="0"/>
        <v>2</v>
      </c>
      <c r="AF25" s="7" t="s">
        <v>5621</v>
      </c>
      <c r="AG25" s="7" t="s">
        <v>5334</v>
      </c>
      <c r="AH25" s="7" t="s">
        <v>5335</v>
      </c>
      <c r="AI25" s="7" t="s">
        <v>5072</v>
      </c>
    </row>
    <row r="26" spans="1:35" ht="15" customHeight="1">
      <c r="A26" s="27" t="s">
        <v>5622</v>
      </c>
      <c r="B26" s="27" t="s">
        <v>10</v>
      </c>
      <c r="C26" s="27" t="s">
        <v>466</v>
      </c>
      <c r="D26" s="27" t="s">
        <v>5308</v>
      </c>
      <c r="E26" s="27">
        <v>2024</v>
      </c>
      <c r="F26" s="27" t="s">
        <v>653</v>
      </c>
      <c r="G26" s="27" t="s">
        <v>5623</v>
      </c>
      <c r="H26" s="27" t="s">
        <v>5624</v>
      </c>
      <c r="I26" s="27" t="s">
        <v>5625</v>
      </c>
      <c r="J26" s="27" t="s">
        <v>5626</v>
      </c>
      <c r="K26" s="27" t="s">
        <v>5627</v>
      </c>
      <c r="L26" s="27" t="s">
        <v>5628</v>
      </c>
      <c r="M26" s="27" t="s">
        <v>5629</v>
      </c>
      <c r="N26" s="27" t="s">
        <v>5630</v>
      </c>
      <c r="O26" s="27" t="s">
        <v>5631</v>
      </c>
      <c r="P26" s="27" t="s">
        <v>5632</v>
      </c>
      <c r="Q26" s="27" t="s">
        <v>5633</v>
      </c>
      <c r="R26" s="27" t="s">
        <v>5634</v>
      </c>
      <c r="S26" s="27" t="s">
        <v>5635</v>
      </c>
      <c r="T26" s="27" t="s">
        <v>5636</v>
      </c>
      <c r="U26" s="27" t="s">
        <v>5637</v>
      </c>
      <c r="V26" s="27" t="s">
        <v>5638</v>
      </c>
      <c r="W26" s="27" t="s">
        <v>5639</v>
      </c>
      <c r="X26" s="27" t="s">
        <v>5640</v>
      </c>
      <c r="Y26" s="27" t="s">
        <v>5641</v>
      </c>
      <c r="Z26" s="27" t="s">
        <v>5642</v>
      </c>
      <c r="AA26" s="27" t="s">
        <v>5643</v>
      </c>
      <c r="AB26" s="27" t="s">
        <v>5644</v>
      </c>
      <c r="AC26" s="27" t="s">
        <v>5645</v>
      </c>
      <c r="AD26" s="27" t="s">
        <v>5070</v>
      </c>
      <c r="AE26" s="7">
        <f t="shared" si="0"/>
        <v>4</v>
      </c>
      <c r="AF26" s="7" t="s">
        <v>5646</v>
      </c>
      <c r="AG26" s="7" t="s">
        <v>5334</v>
      </c>
      <c r="AH26" s="7" t="s">
        <v>5335</v>
      </c>
      <c r="AI26" s="7" t="s">
        <v>5072</v>
      </c>
    </row>
    <row r="27" spans="1:35" ht="15" customHeight="1">
      <c r="A27" s="27" t="s">
        <v>5647</v>
      </c>
      <c r="B27" s="27" t="s">
        <v>10</v>
      </c>
      <c r="C27" s="27" t="s">
        <v>472</v>
      </c>
      <c r="D27" s="27" t="s">
        <v>5308</v>
      </c>
      <c r="E27" s="27">
        <v>2021</v>
      </c>
      <c r="F27" s="27" t="s">
        <v>653</v>
      </c>
      <c r="G27" s="27" t="s">
        <v>5648</v>
      </c>
      <c r="H27" s="27" t="s">
        <v>5649</v>
      </c>
      <c r="I27" s="27" t="s">
        <v>5650</v>
      </c>
      <c r="J27" s="27" t="s">
        <v>5651</v>
      </c>
      <c r="K27" s="27" t="s">
        <v>5652</v>
      </c>
      <c r="L27" s="27" t="s">
        <v>5653</v>
      </c>
      <c r="M27" s="27" t="s">
        <v>5654</v>
      </c>
      <c r="N27" s="27" t="s">
        <v>5655</v>
      </c>
      <c r="O27" s="27" t="s">
        <v>5656</v>
      </c>
      <c r="P27" s="27" t="s">
        <v>5657</v>
      </c>
      <c r="Q27" s="27" t="s">
        <v>5658</v>
      </c>
      <c r="R27" s="27" t="s">
        <v>5659</v>
      </c>
      <c r="S27" s="27" t="s">
        <v>5660</v>
      </c>
      <c r="T27" s="27" t="s">
        <v>5661</v>
      </c>
      <c r="U27" s="27" t="s">
        <v>5662</v>
      </c>
      <c r="V27" s="27" t="s">
        <v>5663</v>
      </c>
      <c r="W27" s="27" t="s">
        <v>5664</v>
      </c>
      <c r="X27" s="27" t="s">
        <v>5665</v>
      </c>
      <c r="Y27" s="27" t="s">
        <v>5666</v>
      </c>
      <c r="Z27" s="27" t="s">
        <v>5667</v>
      </c>
      <c r="AA27" s="27" t="s">
        <v>5668</v>
      </c>
      <c r="AB27" s="27" t="s">
        <v>5669</v>
      </c>
      <c r="AC27" s="27" t="s">
        <v>5670</v>
      </c>
      <c r="AD27" s="27" t="s">
        <v>5120</v>
      </c>
      <c r="AE27" s="7">
        <f t="shared" si="0"/>
        <v>2</v>
      </c>
      <c r="AF27" s="7" t="s">
        <v>5671</v>
      </c>
      <c r="AG27" s="7" t="s">
        <v>5334</v>
      </c>
      <c r="AH27" s="7" t="s">
        <v>5335</v>
      </c>
      <c r="AI27" s="7" t="s">
        <v>5072</v>
      </c>
    </row>
    <row r="28" spans="1:35" ht="15" customHeight="1">
      <c r="A28" s="27" t="s">
        <v>5672</v>
      </c>
      <c r="B28" s="27" t="s">
        <v>10</v>
      </c>
      <c r="C28" s="27" t="s">
        <v>474</v>
      </c>
      <c r="D28" s="27" t="s">
        <v>5308</v>
      </c>
      <c r="E28" s="27">
        <v>2015</v>
      </c>
      <c r="F28" s="27" t="s">
        <v>5673</v>
      </c>
      <c r="G28" s="27" t="s">
        <v>5674</v>
      </c>
      <c r="H28" s="27" t="s">
        <v>5675</v>
      </c>
      <c r="I28" s="27" t="s">
        <v>5676</v>
      </c>
      <c r="J28" s="27" t="s">
        <v>5677</v>
      </c>
      <c r="K28" s="27" t="s">
        <v>5678</v>
      </c>
      <c r="L28" s="27" t="s">
        <v>5679</v>
      </c>
      <c r="M28" s="27" t="s">
        <v>5680</v>
      </c>
      <c r="N28" s="27" t="s">
        <v>5681</v>
      </c>
      <c r="O28" s="27" t="s">
        <v>5682</v>
      </c>
      <c r="P28" s="27" t="s">
        <v>5683</v>
      </c>
      <c r="Q28" s="27" t="s">
        <v>5684</v>
      </c>
      <c r="R28" s="27" t="s">
        <v>5685</v>
      </c>
      <c r="S28" s="27" t="s">
        <v>5686</v>
      </c>
      <c r="T28" s="27" t="s">
        <v>5687</v>
      </c>
      <c r="U28" s="27" t="s">
        <v>5688</v>
      </c>
      <c r="V28" s="27" t="s">
        <v>5689</v>
      </c>
      <c r="W28" s="27" t="s">
        <v>5690</v>
      </c>
      <c r="X28" s="27" t="s">
        <v>5691</v>
      </c>
      <c r="Y28" s="27" t="s">
        <v>5692</v>
      </c>
      <c r="Z28" s="27" t="s">
        <v>5693</v>
      </c>
      <c r="AA28" s="27" t="s">
        <v>5694</v>
      </c>
      <c r="AB28" s="27" t="s">
        <v>5695</v>
      </c>
      <c r="AC28" s="27" t="s">
        <v>5696</v>
      </c>
      <c r="AD28" s="27" t="s">
        <v>5070</v>
      </c>
      <c r="AE28" s="7">
        <f t="shared" si="0"/>
        <v>4</v>
      </c>
      <c r="AF28" s="7" t="s">
        <v>5697</v>
      </c>
      <c r="AG28" s="7" t="s">
        <v>5334</v>
      </c>
      <c r="AH28" s="7" t="s">
        <v>5335</v>
      </c>
      <c r="AI28" s="7" t="s">
        <v>5072</v>
      </c>
    </row>
    <row r="29" spans="1:35" ht="15" customHeight="1"/>
    <row r="30" spans="1:35" ht="15" customHeight="1"/>
    <row r="31" spans="1:35" ht="15" customHeight="1"/>
    <row r="32" spans="1:35"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3" ht="14.25" customHeight="1"/>
  </sheetData>
  <dataValidations count="1">
    <dataValidation type="list" sqref="AD2:AD72" xr:uid="{00000000-0002-0000-0900-000000000000}">
      <formula1>"1 - Manual,2 - Assistive,3 - Interactive co-modelling,4 - Semi-autonomous,5 - Verifier-guided autonomous,6 - Continuous adaptive"</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66"/>
  <sheetViews>
    <sheetView topLeftCell="A19" zoomScaleNormal="100" workbookViewId="0">
      <pane xSplit="1" ySplit="2" topLeftCell="B3" activePane="bottomRight" state="frozen"/>
      <selection pane="bottomRight" activeCell="B28" sqref="B28"/>
      <selection pane="bottomLeft" activeCell="A3" sqref="A3"/>
      <selection pane="topRight" activeCell="B19" sqref="B19"/>
    </sheetView>
  </sheetViews>
  <sheetFormatPr defaultColWidth="8.5703125" defaultRowHeight="14.45"/>
  <cols>
    <col min="1" max="1" width="10" customWidth="1"/>
    <col min="2" max="2" width="18" customWidth="1"/>
    <col min="3" max="3" width="110.7109375" customWidth="1"/>
    <col min="4" max="4" width="95.140625" customWidth="1"/>
    <col min="5" max="22" width="12" customWidth="1"/>
    <col min="23" max="24" width="16" customWidth="1"/>
    <col min="25" max="25" width="25" customWidth="1"/>
  </cols>
  <sheetData>
    <row r="1" spans="1:25" ht="15" customHeight="1">
      <c r="A1" s="48" t="s">
        <v>5698</v>
      </c>
      <c r="B1" s="48"/>
      <c r="C1" s="48"/>
      <c r="D1" s="48"/>
      <c r="E1" s="48"/>
      <c r="F1" s="48"/>
      <c r="G1" s="48"/>
      <c r="H1" s="48"/>
      <c r="I1" s="48"/>
      <c r="J1" s="48"/>
      <c r="K1" s="48"/>
      <c r="L1" s="48"/>
      <c r="M1" s="48"/>
      <c r="N1" s="48"/>
      <c r="O1" s="48"/>
      <c r="P1" s="48"/>
      <c r="Q1" s="48"/>
      <c r="R1" s="48"/>
      <c r="S1" s="48"/>
      <c r="T1" s="48"/>
      <c r="U1" s="48"/>
      <c r="V1" s="48"/>
      <c r="W1" s="48"/>
      <c r="X1" s="48"/>
      <c r="Y1" s="48"/>
    </row>
    <row r="2" spans="1:25" ht="45" customHeight="1">
      <c r="A2" s="26" t="s">
        <v>5699</v>
      </c>
      <c r="B2" s="26" t="s">
        <v>55</v>
      </c>
      <c r="C2" s="26" t="s">
        <v>57</v>
      </c>
      <c r="D2" s="26" t="s">
        <v>5700</v>
      </c>
      <c r="E2" s="26" t="s">
        <v>5701</v>
      </c>
      <c r="F2" s="26" t="s">
        <v>5702</v>
      </c>
      <c r="G2" s="26" t="s">
        <v>5703</v>
      </c>
      <c r="H2" s="26" t="s">
        <v>5704</v>
      </c>
      <c r="I2" s="26" t="s">
        <v>5705</v>
      </c>
      <c r="J2" s="26" t="s">
        <v>5706</v>
      </c>
      <c r="K2" s="26" t="s">
        <v>5707</v>
      </c>
      <c r="L2" s="26" t="s">
        <v>5708</v>
      </c>
      <c r="M2" s="26" t="s">
        <v>5709</v>
      </c>
      <c r="N2" s="26" t="s">
        <v>5710</v>
      </c>
      <c r="O2" s="26" t="s">
        <v>5711</v>
      </c>
      <c r="P2" s="26" t="s">
        <v>5712</v>
      </c>
      <c r="Q2" s="26" t="s">
        <v>5713</v>
      </c>
      <c r="R2" s="26" t="s">
        <v>5714</v>
      </c>
      <c r="S2" s="26" t="s">
        <v>5715</v>
      </c>
      <c r="T2" s="26" t="s">
        <v>5716</v>
      </c>
      <c r="U2" s="26" t="s">
        <v>5717</v>
      </c>
      <c r="V2" s="26" t="s">
        <v>5718</v>
      </c>
      <c r="W2" s="26" t="s">
        <v>5719</v>
      </c>
      <c r="X2" s="26" t="s">
        <v>5720</v>
      </c>
      <c r="Y2" s="26" t="s">
        <v>5721</v>
      </c>
    </row>
    <row r="3" spans="1:25" ht="15" customHeight="1">
      <c r="A3" s="29" t="s">
        <v>5045</v>
      </c>
      <c r="B3" s="27" t="s">
        <v>8</v>
      </c>
      <c r="C3" s="27" t="s">
        <v>339</v>
      </c>
      <c r="D3" s="27" t="s">
        <v>5722</v>
      </c>
      <c r="E3" s="30">
        <v>1</v>
      </c>
      <c r="F3" s="30">
        <v>0.5</v>
      </c>
      <c r="G3" s="30">
        <v>1</v>
      </c>
      <c r="H3" s="30">
        <v>0.5</v>
      </c>
      <c r="I3" s="30">
        <v>1</v>
      </c>
      <c r="J3" s="30">
        <v>0.5</v>
      </c>
      <c r="K3" s="30">
        <v>1</v>
      </c>
      <c r="L3" s="30">
        <v>0.5</v>
      </c>
      <c r="M3" s="30">
        <v>1</v>
      </c>
      <c r="N3" s="30">
        <v>0.5</v>
      </c>
      <c r="O3" s="30">
        <v>1</v>
      </c>
      <c r="P3" s="30">
        <v>0.5</v>
      </c>
      <c r="Q3" s="30">
        <v>1</v>
      </c>
      <c r="R3" s="30">
        <v>0.5</v>
      </c>
      <c r="S3" s="30">
        <v>1</v>
      </c>
      <c r="T3" s="30">
        <v>0.5</v>
      </c>
      <c r="U3" s="30">
        <v>1</v>
      </c>
      <c r="V3" s="30">
        <v>0.5</v>
      </c>
      <c r="W3" s="30">
        <f t="shared" ref="W3:W29" si="0">SUM(E3:V3)</f>
        <v>13.5</v>
      </c>
      <c r="X3" s="31">
        <f t="shared" ref="X3:X29" si="1">W3/18</f>
        <v>0.75</v>
      </c>
      <c r="Y3" s="27" t="str">
        <f t="shared" ref="Y3:Y29" si="2">IF(X3&gt;=0.75,"High Quality (Tier 1)",IF(X3&gt;=0.6,"Moderate Quality (Tier 2)","Developing Quality (Tier 3)"))</f>
        <v>High Quality (Tier 1)</v>
      </c>
    </row>
    <row r="4" spans="1:25" ht="14.25" customHeight="1">
      <c r="A4" s="29" t="s">
        <v>5073</v>
      </c>
      <c r="B4" s="27" t="s">
        <v>10</v>
      </c>
      <c r="C4" s="27" t="s">
        <v>456</v>
      </c>
      <c r="D4" s="27" t="s">
        <v>5723</v>
      </c>
      <c r="E4" s="30">
        <v>1</v>
      </c>
      <c r="F4" s="30">
        <v>0.5</v>
      </c>
      <c r="G4" s="30">
        <v>1</v>
      </c>
      <c r="H4" s="30">
        <v>0.5</v>
      </c>
      <c r="I4" s="30">
        <v>1</v>
      </c>
      <c r="J4" s="30">
        <v>0.5</v>
      </c>
      <c r="K4" s="30">
        <v>1</v>
      </c>
      <c r="L4" s="30">
        <v>0.5</v>
      </c>
      <c r="M4" s="30">
        <v>1</v>
      </c>
      <c r="N4" s="30">
        <v>0.5</v>
      </c>
      <c r="O4" s="30">
        <v>1</v>
      </c>
      <c r="P4" s="30">
        <v>0.5</v>
      </c>
      <c r="Q4" s="30">
        <v>1</v>
      </c>
      <c r="R4" s="30">
        <v>0.5</v>
      </c>
      <c r="S4" s="30">
        <v>1</v>
      </c>
      <c r="T4" s="30">
        <v>0.5</v>
      </c>
      <c r="U4" s="30">
        <v>1</v>
      </c>
      <c r="V4" s="30">
        <v>0.5</v>
      </c>
      <c r="W4" s="30">
        <f t="shared" si="0"/>
        <v>13.5</v>
      </c>
      <c r="X4" s="31">
        <f t="shared" si="1"/>
        <v>0.75</v>
      </c>
      <c r="Y4" s="27" t="str">
        <f t="shared" si="2"/>
        <v>High Quality (Tier 1)</v>
      </c>
    </row>
    <row r="5" spans="1:25" ht="23.25" customHeight="1">
      <c r="A5" s="27" t="s">
        <v>5096</v>
      </c>
      <c r="B5" s="27" t="s">
        <v>11</v>
      </c>
      <c r="C5" s="27" t="s">
        <v>189</v>
      </c>
      <c r="D5" s="27" t="s">
        <v>5724</v>
      </c>
      <c r="E5" s="30">
        <v>1</v>
      </c>
      <c r="F5" s="30">
        <v>1</v>
      </c>
      <c r="G5" s="30">
        <v>1</v>
      </c>
      <c r="H5" s="30">
        <v>1</v>
      </c>
      <c r="I5" s="30">
        <v>1</v>
      </c>
      <c r="J5" s="30">
        <v>1</v>
      </c>
      <c r="K5" s="30">
        <v>1</v>
      </c>
      <c r="L5" s="30">
        <v>1</v>
      </c>
      <c r="M5" s="30">
        <v>0.5</v>
      </c>
      <c r="N5" s="30">
        <v>0.5</v>
      </c>
      <c r="O5" s="30">
        <v>1</v>
      </c>
      <c r="P5" s="30">
        <v>0</v>
      </c>
      <c r="Q5" s="30">
        <v>1</v>
      </c>
      <c r="R5" s="30">
        <v>1</v>
      </c>
      <c r="S5" s="30">
        <v>1</v>
      </c>
      <c r="T5" s="30">
        <v>1</v>
      </c>
      <c r="U5" s="30">
        <v>1</v>
      </c>
      <c r="V5" s="30">
        <v>1</v>
      </c>
      <c r="W5" s="30">
        <f t="shared" si="0"/>
        <v>16</v>
      </c>
      <c r="X5" s="31">
        <f t="shared" si="1"/>
        <v>0.88888888888888884</v>
      </c>
      <c r="Y5" s="27" t="str">
        <f t="shared" si="2"/>
        <v>High Quality (Tier 1)</v>
      </c>
    </row>
    <row r="6" spans="1:25" ht="34.5" customHeight="1">
      <c r="A6" s="27" t="s">
        <v>5121</v>
      </c>
      <c r="B6" s="27" t="s">
        <v>11</v>
      </c>
      <c r="C6" s="27" t="s">
        <v>5122</v>
      </c>
      <c r="D6" s="27" t="s">
        <v>5725</v>
      </c>
      <c r="E6" s="30">
        <v>1</v>
      </c>
      <c r="F6" s="30">
        <v>1</v>
      </c>
      <c r="G6" s="30">
        <v>1</v>
      </c>
      <c r="H6" s="30">
        <v>1</v>
      </c>
      <c r="I6" s="30">
        <v>0.5</v>
      </c>
      <c r="J6" s="30">
        <v>1</v>
      </c>
      <c r="K6" s="30">
        <v>1</v>
      </c>
      <c r="L6" s="30">
        <v>0.5</v>
      </c>
      <c r="M6" s="30">
        <v>0.5</v>
      </c>
      <c r="N6" s="30">
        <v>0</v>
      </c>
      <c r="O6" s="30">
        <v>1</v>
      </c>
      <c r="P6" s="30">
        <v>0</v>
      </c>
      <c r="Q6" s="30">
        <v>0.5</v>
      </c>
      <c r="R6" s="30">
        <v>0.5</v>
      </c>
      <c r="S6" s="30">
        <v>1</v>
      </c>
      <c r="T6" s="30">
        <v>0.5</v>
      </c>
      <c r="U6" s="30">
        <v>0.5</v>
      </c>
      <c r="V6" s="30">
        <v>1</v>
      </c>
      <c r="W6" s="30">
        <f t="shared" si="0"/>
        <v>12.5</v>
      </c>
      <c r="X6" s="31">
        <f t="shared" si="1"/>
        <v>0.69444444444444442</v>
      </c>
      <c r="Y6" s="27" t="str">
        <f t="shared" si="2"/>
        <v>Moderate Quality (Tier 2)</v>
      </c>
    </row>
    <row r="7" spans="1:25" ht="34.5" customHeight="1">
      <c r="A7" s="27" t="s">
        <v>5145</v>
      </c>
      <c r="B7" s="27" t="s">
        <v>11</v>
      </c>
      <c r="C7" s="27" t="s">
        <v>5146</v>
      </c>
      <c r="D7" s="27" t="s">
        <v>5726</v>
      </c>
      <c r="E7" s="30">
        <v>1</v>
      </c>
      <c r="F7" s="30">
        <v>1</v>
      </c>
      <c r="G7" s="30">
        <v>1</v>
      </c>
      <c r="H7" s="30">
        <v>1</v>
      </c>
      <c r="I7" s="30">
        <v>1</v>
      </c>
      <c r="J7" s="30">
        <v>0.5</v>
      </c>
      <c r="K7" s="30">
        <v>1</v>
      </c>
      <c r="L7" s="30">
        <v>0.5</v>
      </c>
      <c r="M7" s="30">
        <v>0.5</v>
      </c>
      <c r="N7" s="30">
        <v>0</v>
      </c>
      <c r="O7" s="30">
        <v>1</v>
      </c>
      <c r="P7" s="30">
        <v>0</v>
      </c>
      <c r="Q7" s="30">
        <v>0.5</v>
      </c>
      <c r="R7" s="30">
        <v>0.5</v>
      </c>
      <c r="S7" s="30">
        <v>0.5</v>
      </c>
      <c r="T7" s="30">
        <v>1</v>
      </c>
      <c r="U7" s="30">
        <v>0.5</v>
      </c>
      <c r="V7" s="30">
        <v>1</v>
      </c>
      <c r="W7" s="30">
        <f t="shared" si="0"/>
        <v>12.5</v>
      </c>
      <c r="X7" s="31">
        <f t="shared" si="1"/>
        <v>0.69444444444444442</v>
      </c>
      <c r="Y7" s="27" t="str">
        <f t="shared" si="2"/>
        <v>Moderate Quality (Tier 2)</v>
      </c>
    </row>
    <row r="8" spans="1:25" ht="23.25" customHeight="1">
      <c r="A8" s="27" t="s">
        <v>5169</v>
      </c>
      <c r="B8" s="27" t="s">
        <v>11</v>
      </c>
      <c r="C8" s="27" t="s">
        <v>5170</v>
      </c>
      <c r="D8" s="27" t="s">
        <v>5727</v>
      </c>
      <c r="E8" s="30">
        <v>1</v>
      </c>
      <c r="F8" s="30">
        <v>1</v>
      </c>
      <c r="G8" s="30">
        <v>0.5</v>
      </c>
      <c r="H8" s="30">
        <v>1</v>
      </c>
      <c r="I8" s="30">
        <v>1</v>
      </c>
      <c r="J8" s="30">
        <v>1</v>
      </c>
      <c r="K8" s="30">
        <v>0.5</v>
      </c>
      <c r="L8" s="30">
        <v>0.5</v>
      </c>
      <c r="M8" s="30">
        <v>0</v>
      </c>
      <c r="N8" s="30">
        <v>0</v>
      </c>
      <c r="O8" s="30">
        <v>1</v>
      </c>
      <c r="P8" s="30">
        <v>1</v>
      </c>
      <c r="Q8" s="30">
        <v>1</v>
      </c>
      <c r="R8" s="30">
        <v>1</v>
      </c>
      <c r="S8" s="30">
        <v>0.5</v>
      </c>
      <c r="T8" s="30">
        <v>1</v>
      </c>
      <c r="U8" s="30">
        <v>0.5</v>
      </c>
      <c r="V8" s="30">
        <v>1</v>
      </c>
      <c r="W8" s="30">
        <f t="shared" si="0"/>
        <v>13.5</v>
      </c>
      <c r="X8" s="31">
        <f t="shared" si="1"/>
        <v>0.75</v>
      </c>
      <c r="Y8" s="27" t="str">
        <f t="shared" si="2"/>
        <v>High Quality (Tier 1)</v>
      </c>
    </row>
    <row r="9" spans="1:25" ht="23.25" customHeight="1">
      <c r="A9" s="27" t="s">
        <v>5193</v>
      </c>
      <c r="B9" s="27" t="s">
        <v>11</v>
      </c>
      <c r="C9" s="27" t="s">
        <v>5194</v>
      </c>
      <c r="D9" s="27" t="s">
        <v>5728</v>
      </c>
      <c r="E9" s="30">
        <v>1</v>
      </c>
      <c r="F9" s="30">
        <v>1</v>
      </c>
      <c r="G9" s="30">
        <v>0.5</v>
      </c>
      <c r="H9" s="30">
        <v>1</v>
      </c>
      <c r="I9" s="30">
        <v>1</v>
      </c>
      <c r="J9" s="30">
        <v>0.5</v>
      </c>
      <c r="K9" s="30">
        <v>1</v>
      </c>
      <c r="L9" s="30">
        <v>0.5</v>
      </c>
      <c r="M9" s="30">
        <v>0</v>
      </c>
      <c r="N9" s="30">
        <v>0</v>
      </c>
      <c r="O9" s="30">
        <v>1</v>
      </c>
      <c r="P9" s="30">
        <v>0</v>
      </c>
      <c r="Q9" s="30">
        <v>0.5</v>
      </c>
      <c r="R9" s="30">
        <v>0.5</v>
      </c>
      <c r="S9" s="30">
        <v>0.5</v>
      </c>
      <c r="T9" s="30">
        <v>0</v>
      </c>
      <c r="U9" s="30">
        <v>0</v>
      </c>
      <c r="V9" s="30">
        <v>1</v>
      </c>
      <c r="W9" s="30">
        <f t="shared" si="0"/>
        <v>10</v>
      </c>
      <c r="X9" s="31">
        <f t="shared" si="1"/>
        <v>0.55555555555555558</v>
      </c>
      <c r="Y9" s="27" t="str">
        <f t="shared" si="2"/>
        <v>Developing Quality (Tier 3)</v>
      </c>
    </row>
    <row r="10" spans="1:25" ht="45.75" customHeight="1">
      <c r="A10" s="27" t="s">
        <v>5217</v>
      </c>
      <c r="B10" s="27" t="s">
        <v>8</v>
      </c>
      <c r="C10" s="27" t="s">
        <v>436</v>
      </c>
      <c r="D10" s="27" t="s">
        <v>5729</v>
      </c>
      <c r="E10" s="30">
        <v>1</v>
      </c>
      <c r="F10" s="30">
        <v>1</v>
      </c>
      <c r="G10" s="30">
        <v>1</v>
      </c>
      <c r="H10" s="30">
        <v>1</v>
      </c>
      <c r="I10" s="30">
        <v>1</v>
      </c>
      <c r="J10" s="30">
        <v>1</v>
      </c>
      <c r="K10" s="30">
        <v>1</v>
      </c>
      <c r="L10" s="30">
        <v>1</v>
      </c>
      <c r="M10" s="30">
        <v>0.5</v>
      </c>
      <c r="N10" s="30">
        <v>0.5</v>
      </c>
      <c r="O10" s="30">
        <v>1</v>
      </c>
      <c r="P10" s="30">
        <v>0</v>
      </c>
      <c r="Q10" s="30">
        <v>1</v>
      </c>
      <c r="R10" s="30">
        <v>1</v>
      </c>
      <c r="S10" s="30">
        <v>1</v>
      </c>
      <c r="T10" s="30">
        <v>1</v>
      </c>
      <c r="U10" s="30">
        <v>1</v>
      </c>
      <c r="V10" s="30">
        <v>1</v>
      </c>
      <c r="W10" s="30">
        <f t="shared" si="0"/>
        <v>16</v>
      </c>
      <c r="X10" s="31">
        <f t="shared" si="1"/>
        <v>0.88888888888888884</v>
      </c>
      <c r="Y10" s="27" t="str">
        <f t="shared" si="2"/>
        <v>High Quality (Tier 1)</v>
      </c>
    </row>
    <row r="11" spans="1:25" ht="34.5" customHeight="1">
      <c r="A11" s="27" t="s">
        <v>5239</v>
      </c>
      <c r="B11" s="27" t="s">
        <v>13</v>
      </c>
      <c r="C11" s="27" t="s">
        <v>760</v>
      </c>
      <c r="D11" s="27" t="s">
        <v>5730</v>
      </c>
      <c r="E11" s="30">
        <v>1</v>
      </c>
      <c r="F11" s="30">
        <v>1</v>
      </c>
      <c r="G11" s="30">
        <v>1</v>
      </c>
      <c r="H11" s="30">
        <v>1</v>
      </c>
      <c r="I11" s="30">
        <v>1</v>
      </c>
      <c r="J11" s="30">
        <v>1</v>
      </c>
      <c r="K11" s="30">
        <v>1</v>
      </c>
      <c r="L11" s="30">
        <v>1</v>
      </c>
      <c r="M11" s="30">
        <v>1</v>
      </c>
      <c r="N11" s="30">
        <v>0.5</v>
      </c>
      <c r="O11" s="30">
        <v>1</v>
      </c>
      <c r="P11" s="30">
        <v>0</v>
      </c>
      <c r="Q11" s="30">
        <v>1</v>
      </c>
      <c r="R11" s="30">
        <v>0.5</v>
      </c>
      <c r="S11" s="30">
        <v>1</v>
      </c>
      <c r="T11" s="30">
        <v>1</v>
      </c>
      <c r="U11" s="30">
        <v>0.5</v>
      </c>
      <c r="V11" s="30">
        <v>1</v>
      </c>
      <c r="W11" s="30">
        <f t="shared" si="0"/>
        <v>15.5</v>
      </c>
      <c r="X11" s="31">
        <f t="shared" si="1"/>
        <v>0.86111111111111116</v>
      </c>
      <c r="Y11" s="27" t="str">
        <f t="shared" si="2"/>
        <v>High Quality (Tier 1)</v>
      </c>
    </row>
    <row r="12" spans="1:25" ht="23.25" customHeight="1">
      <c r="A12" s="27" t="s">
        <v>5263</v>
      </c>
      <c r="B12" s="27" t="s">
        <v>13</v>
      </c>
      <c r="C12" s="27" t="s">
        <v>780</v>
      </c>
      <c r="D12" s="27" t="s">
        <v>5731</v>
      </c>
      <c r="E12" s="30">
        <v>1</v>
      </c>
      <c r="F12" s="30">
        <v>1</v>
      </c>
      <c r="G12" s="30">
        <v>0.5</v>
      </c>
      <c r="H12" s="30">
        <v>1</v>
      </c>
      <c r="I12" s="30">
        <v>1</v>
      </c>
      <c r="J12" s="30">
        <v>0.5</v>
      </c>
      <c r="K12" s="30">
        <v>1</v>
      </c>
      <c r="L12" s="30">
        <v>1</v>
      </c>
      <c r="M12" s="30">
        <v>0</v>
      </c>
      <c r="N12" s="30">
        <v>0</v>
      </c>
      <c r="O12" s="30">
        <v>1</v>
      </c>
      <c r="P12" s="30">
        <v>0</v>
      </c>
      <c r="Q12" s="30">
        <v>0.5</v>
      </c>
      <c r="R12" s="30">
        <v>0.5</v>
      </c>
      <c r="S12" s="30">
        <v>0.5</v>
      </c>
      <c r="T12" s="30">
        <v>0.5</v>
      </c>
      <c r="U12" s="30">
        <v>0.5</v>
      </c>
      <c r="V12" s="30">
        <v>1</v>
      </c>
      <c r="W12" s="30">
        <f t="shared" si="0"/>
        <v>11.5</v>
      </c>
      <c r="X12" s="31">
        <f t="shared" si="1"/>
        <v>0.63888888888888884</v>
      </c>
      <c r="Y12" s="27" t="str">
        <f t="shared" si="2"/>
        <v>Moderate Quality (Tier 2)</v>
      </c>
    </row>
    <row r="13" spans="1:25" ht="23.25" customHeight="1">
      <c r="A13" s="27" t="s">
        <v>5284</v>
      </c>
      <c r="B13" s="27" t="s">
        <v>13</v>
      </c>
      <c r="C13" s="27" t="s">
        <v>813</v>
      </c>
      <c r="D13" s="27" t="s">
        <v>5732</v>
      </c>
      <c r="E13" s="30">
        <v>1</v>
      </c>
      <c r="F13" s="30">
        <v>1</v>
      </c>
      <c r="G13" s="30">
        <v>0.5</v>
      </c>
      <c r="H13" s="30">
        <v>1</v>
      </c>
      <c r="I13" s="30">
        <v>1</v>
      </c>
      <c r="J13" s="30">
        <v>1</v>
      </c>
      <c r="K13" s="30">
        <v>0.5</v>
      </c>
      <c r="L13" s="30">
        <v>0.5</v>
      </c>
      <c r="M13" s="30">
        <v>0</v>
      </c>
      <c r="N13" s="30">
        <v>0</v>
      </c>
      <c r="O13" s="30">
        <v>1</v>
      </c>
      <c r="P13" s="30">
        <v>1</v>
      </c>
      <c r="Q13" s="30">
        <v>1</v>
      </c>
      <c r="R13" s="30">
        <v>1</v>
      </c>
      <c r="S13" s="30">
        <v>0.5</v>
      </c>
      <c r="T13" s="30">
        <v>1</v>
      </c>
      <c r="U13" s="30">
        <v>0.5</v>
      </c>
      <c r="V13" s="30">
        <v>1</v>
      </c>
      <c r="W13" s="30">
        <f t="shared" si="0"/>
        <v>13.5</v>
      </c>
      <c r="X13" s="31">
        <f t="shared" si="1"/>
        <v>0.75</v>
      </c>
      <c r="Y13" s="27" t="str">
        <f t="shared" si="2"/>
        <v>High Quality (Tier 1)</v>
      </c>
    </row>
    <row r="14" spans="1:25" ht="34.5" customHeight="1">
      <c r="A14" s="27" t="s">
        <v>5307</v>
      </c>
      <c r="B14" s="27" t="s">
        <v>13</v>
      </c>
      <c r="C14" s="27" t="s">
        <v>816</v>
      </c>
      <c r="D14" s="27" t="s">
        <v>5733</v>
      </c>
      <c r="E14" s="30">
        <v>1</v>
      </c>
      <c r="F14" s="30">
        <v>1</v>
      </c>
      <c r="G14" s="30">
        <v>1</v>
      </c>
      <c r="H14" s="30">
        <v>1</v>
      </c>
      <c r="I14" s="30">
        <v>1</v>
      </c>
      <c r="J14" s="30">
        <v>0.5</v>
      </c>
      <c r="K14" s="30">
        <v>1</v>
      </c>
      <c r="L14" s="30">
        <v>0.5</v>
      </c>
      <c r="M14" s="30">
        <v>0</v>
      </c>
      <c r="N14" s="30">
        <v>0</v>
      </c>
      <c r="O14" s="30">
        <v>1</v>
      </c>
      <c r="P14" s="30">
        <v>0</v>
      </c>
      <c r="Q14" s="30">
        <v>0.5</v>
      </c>
      <c r="R14" s="30">
        <v>0.5</v>
      </c>
      <c r="S14" s="30">
        <v>0.5</v>
      </c>
      <c r="T14" s="30">
        <v>1</v>
      </c>
      <c r="U14" s="30">
        <v>0.5</v>
      </c>
      <c r="V14" s="30">
        <v>1</v>
      </c>
      <c r="W14" s="30">
        <f t="shared" si="0"/>
        <v>12</v>
      </c>
      <c r="X14" s="31">
        <f t="shared" si="1"/>
        <v>0.66666666666666663</v>
      </c>
      <c r="Y14" s="27" t="str">
        <f t="shared" si="2"/>
        <v>Moderate Quality (Tier 2)</v>
      </c>
    </row>
    <row r="15" spans="1:25" ht="23.25" customHeight="1">
      <c r="A15" s="27" t="s">
        <v>5336</v>
      </c>
      <c r="B15" s="27" t="s">
        <v>10</v>
      </c>
      <c r="C15" s="27" t="s">
        <v>462</v>
      </c>
      <c r="D15" s="27" t="s">
        <v>5734</v>
      </c>
      <c r="E15" s="30">
        <v>1</v>
      </c>
      <c r="F15" s="30">
        <v>1</v>
      </c>
      <c r="G15" s="30">
        <v>0.5</v>
      </c>
      <c r="H15" s="30">
        <v>1</v>
      </c>
      <c r="I15" s="30">
        <v>1</v>
      </c>
      <c r="J15" s="30">
        <v>0.5</v>
      </c>
      <c r="K15" s="30">
        <v>1</v>
      </c>
      <c r="L15" s="30">
        <v>1</v>
      </c>
      <c r="M15" s="30">
        <v>0</v>
      </c>
      <c r="N15" s="30">
        <v>0</v>
      </c>
      <c r="O15" s="30">
        <v>1</v>
      </c>
      <c r="P15" s="30">
        <v>0.5</v>
      </c>
      <c r="Q15" s="30">
        <v>0.5</v>
      </c>
      <c r="R15" s="30">
        <v>0.5</v>
      </c>
      <c r="S15" s="30">
        <v>0.5</v>
      </c>
      <c r="T15" s="30">
        <v>0.5</v>
      </c>
      <c r="U15" s="30">
        <v>0.5</v>
      </c>
      <c r="V15" s="30">
        <v>1</v>
      </c>
      <c r="W15" s="30">
        <f t="shared" si="0"/>
        <v>12</v>
      </c>
      <c r="X15" s="31">
        <f t="shared" si="1"/>
        <v>0.66666666666666663</v>
      </c>
      <c r="Y15" s="27" t="str">
        <f t="shared" si="2"/>
        <v>Moderate Quality (Tier 2)</v>
      </c>
    </row>
    <row r="16" spans="1:25" ht="23.25" customHeight="1">
      <c r="A16" s="27" t="s">
        <v>5357</v>
      </c>
      <c r="B16" s="27" t="s">
        <v>10</v>
      </c>
      <c r="C16" s="27" t="s">
        <v>470</v>
      </c>
      <c r="D16" s="27" t="s">
        <v>5735</v>
      </c>
      <c r="E16" s="30">
        <v>1</v>
      </c>
      <c r="F16" s="30">
        <v>1</v>
      </c>
      <c r="G16" s="30">
        <v>0.5</v>
      </c>
      <c r="H16" s="30">
        <v>1</v>
      </c>
      <c r="I16" s="30">
        <v>1</v>
      </c>
      <c r="J16" s="30">
        <v>0.5</v>
      </c>
      <c r="K16" s="30">
        <v>1</v>
      </c>
      <c r="L16" s="30">
        <v>0.5</v>
      </c>
      <c r="M16" s="30">
        <v>0.5</v>
      </c>
      <c r="N16" s="30">
        <v>0</v>
      </c>
      <c r="O16" s="30">
        <v>1</v>
      </c>
      <c r="P16" s="30">
        <v>0.5</v>
      </c>
      <c r="Q16" s="30">
        <v>0.5</v>
      </c>
      <c r="R16" s="30">
        <v>0.5</v>
      </c>
      <c r="S16" s="30">
        <v>0.5</v>
      </c>
      <c r="T16" s="30">
        <v>0.5</v>
      </c>
      <c r="U16" s="30">
        <v>0.5</v>
      </c>
      <c r="V16" s="30">
        <v>1</v>
      </c>
      <c r="W16" s="30">
        <f t="shared" si="0"/>
        <v>12</v>
      </c>
      <c r="X16" s="31">
        <f t="shared" si="1"/>
        <v>0.66666666666666663</v>
      </c>
      <c r="Y16" s="27" t="str">
        <f t="shared" si="2"/>
        <v>Moderate Quality (Tier 2)</v>
      </c>
    </row>
    <row r="17" spans="1:25" ht="23.25" customHeight="1">
      <c r="A17" s="27" t="s">
        <v>5384</v>
      </c>
      <c r="B17" s="27" t="s">
        <v>9</v>
      </c>
      <c r="C17" s="27" t="s">
        <v>1037</v>
      </c>
      <c r="D17" s="27" t="s">
        <v>5736</v>
      </c>
      <c r="E17" s="30">
        <v>1</v>
      </c>
      <c r="F17" s="30">
        <v>1</v>
      </c>
      <c r="G17" s="30">
        <v>1</v>
      </c>
      <c r="H17" s="30">
        <v>1</v>
      </c>
      <c r="I17" s="30">
        <v>1</v>
      </c>
      <c r="J17" s="30">
        <v>0.5</v>
      </c>
      <c r="K17" s="30">
        <v>1</v>
      </c>
      <c r="L17" s="30">
        <v>0.5</v>
      </c>
      <c r="M17" s="30">
        <v>0</v>
      </c>
      <c r="N17" s="30">
        <v>0</v>
      </c>
      <c r="O17" s="30">
        <v>1</v>
      </c>
      <c r="P17" s="30">
        <v>0.5</v>
      </c>
      <c r="Q17" s="30">
        <v>0.5</v>
      </c>
      <c r="R17" s="30">
        <v>0.5</v>
      </c>
      <c r="S17" s="30">
        <v>0.5</v>
      </c>
      <c r="T17" s="30">
        <v>0.5</v>
      </c>
      <c r="U17" s="30">
        <v>0.5</v>
      </c>
      <c r="V17" s="30">
        <v>1</v>
      </c>
      <c r="W17" s="30">
        <f t="shared" si="0"/>
        <v>12</v>
      </c>
      <c r="X17" s="31">
        <f t="shared" si="1"/>
        <v>0.66666666666666663</v>
      </c>
      <c r="Y17" s="27" t="str">
        <f t="shared" si="2"/>
        <v>Moderate Quality (Tier 2)</v>
      </c>
    </row>
    <row r="18" spans="1:25" ht="15" customHeight="1">
      <c r="A18" s="27" t="s">
        <v>5408</v>
      </c>
      <c r="B18" s="27" t="s">
        <v>9</v>
      </c>
      <c r="C18" s="27" t="s">
        <v>1119</v>
      </c>
      <c r="D18" s="27" t="s">
        <v>5737</v>
      </c>
      <c r="E18" s="30">
        <v>1</v>
      </c>
      <c r="F18" s="30">
        <v>1</v>
      </c>
      <c r="G18" s="30">
        <v>1</v>
      </c>
      <c r="H18" s="30">
        <v>1</v>
      </c>
      <c r="I18" s="30">
        <v>0.5</v>
      </c>
      <c r="J18" s="30">
        <v>0.5</v>
      </c>
      <c r="K18" s="30">
        <v>1</v>
      </c>
      <c r="L18" s="30">
        <v>1</v>
      </c>
      <c r="M18" s="30">
        <v>1</v>
      </c>
      <c r="N18" s="30">
        <v>0.5</v>
      </c>
      <c r="O18" s="30">
        <v>1</v>
      </c>
      <c r="P18" s="30">
        <v>0</v>
      </c>
      <c r="Q18" s="30">
        <v>1</v>
      </c>
      <c r="R18" s="30">
        <v>0.5</v>
      </c>
      <c r="S18" s="30">
        <v>1</v>
      </c>
      <c r="T18" s="30">
        <v>1</v>
      </c>
      <c r="U18" s="30">
        <v>0</v>
      </c>
      <c r="V18" s="30">
        <v>1</v>
      </c>
      <c r="W18" s="30">
        <f t="shared" si="0"/>
        <v>14</v>
      </c>
      <c r="X18" s="31">
        <f t="shared" si="1"/>
        <v>0.77777777777777779</v>
      </c>
      <c r="Y18" s="27" t="str">
        <f t="shared" si="2"/>
        <v>High Quality (Tier 1)</v>
      </c>
    </row>
    <row r="19" spans="1:25" ht="23.25" customHeight="1">
      <c r="A19" s="27" t="s">
        <v>5431</v>
      </c>
      <c r="B19" s="27" t="s">
        <v>11</v>
      </c>
      <c r="C19" s="27" t="s">
        <v>5432</v>
      </c>
      <c r="D19" s="27" t="s">
        <v>5738</v>
      </c>
      <c r="E19" s="30">
        <v>1</v>
      </c>
      <c r="F19" s="30">
        <v>1</v>
      </c>
      <c r="G19" s="30">
        <v>1</v>
      </c>
      <c r="H19" s="30">
        <v>1</v>
      </c>
      <c r="I19" s="30">
        <v>1</v>
      </c>
      <c r="J19" s="30">
        <v>0.5</v>
      </c>
      <c r="K19" s="30">
        <v>1</v>
      </c>
      <c r="L19" s="30">
        <v>1</v>
      </c>
      <c r="M19" s="30">
        <v>0</v>
      </c>
      <c r="N19" s="30">
        <v>0</v>
      </c>
      <c r="O19" s="30">
        <v>1</v>
      </c>
      <c r="P19" s="30">
        <v>0</v>
      </c>
      <c r="Q19" s="30">
        <v>0.5</v>
      </c>
      <c r="R19" s="30">
        <v>0.5</v>
      </c>
      <c r="S19" s="30">
        <v>0.5</v>
      </c>
      <c r="T19" s="30">
        <v>0.5</v>
      </c>
      <c r="U19" s="30">
        <v>0.5</v>
      </c>
      <c r="V19" s="30">
        <v>1</v>
      </c>
      <c r="W19" s="30">
        <f t="shared" si="0"/>
        <v>12</v>
      </c>
      <c r="X19" s="31">
        <f t="shared" si="1"/>
        <v>0.66666666666666663</v>
      </c>
      <c r="Y19" s="27" t="str">
        <f t="shared" si="2"/>
        <v>Moderate Quality (Tier 2)</v>
      </c>
    </row>
    <row r="20" spans="1:25" ht="23.25" customHeight="1">
      <c r="A20" s="27" t="s">
        <v>5457</v>
      </c>
      <c r="B20" s="27" t="s">
        <v>12</v>
      </c>
      <c r="C20" s="27" t="s">
        <v>5458</v>
      </c>
      <c r="D20" s="27" t="s">
        <v>5739</v>
      </c>
      <c r="E20" s="30">
        <v>1</v>
      </c>
      <c r="F20" s="30">
        <v>1</v>
      </c>
      <c r="G20" s="30">
        <v>0.5</v>
      </c>
      <c r="H20" s="30">
        <v>1</v>
      </c>
      <c r="I20" s="30">
        <v>1</v>
      </c>
      <c r="J20" s="30">
        <v>0.5</v>
      </c>
      <c r="K20" s="30">
        <v>1</v>
      </c>
      <c r="L20" s="30">
        <v>0.5</v>
      </c>
      <c r="M20" s="30">
        <v>0.5</v>
      </c>
      <c r="N20" s="30">
        <v>0</v>
      </c>
      <c r="O20" s="30">
        <v>1</v>
      </c>
      <c r="P20" s="30">
        <v>0</v>
      </c>
      <c r="Q20" s="30">
        <v>0.5</v>
      </c>
      <c r="R20" s="30">
        <v>0</v>
      </c>
      <c r="S20" s="30">
        <v>1</v>
      </c>
      <c r="T20" s="30">
        <v>0.5</v>
      </c>
      <c r="U20" s="30">
        <v>0.5</v>
      </c>
      <c r="V20" s="30">
        <v>1</v>
      </c>
      <c r="W20" s="30">
        <f t="shared" si="0"/>
        <v>11.5</v>
      </c>
      <c r="X20" s="31">
        <f t="shared" si="1"/>
        <v>0.63888888888888884</v>
      </c>
      <c r="Y20" s="27" t="str">
        <f t="shared" si="2"/>
        <v>Moderate Quality (Tier 2)</v>
      </c>
    </row>
    <row r="21" spans="1:25" ht="34.5" customHeight="1">
      <c r="A21" s="27" t="s">
        <v>5481</v>
      </c>
      <c r="B21" s="27" t="s">
        <v>12</v>
      </c>
      <c r="C21" s="27" t="s">
        <v>1184</v>
      </c>
      <c r="D21" s="27" t="s">
        <v>5740</v>
      </c>
      <c r="E21" s="30">
        <v>1</v>
      </c>
      <c r="F21" s="30">
        <v>1</v>
      </c>
      <c r="G21" s="30">
        <v>1</v>
      </c>
      <c r="H21" s="30">
        <v>1</v>
      </c>
      <c r="I21" s="30">
        <v>1</v>
      </c>
      <c r="J21" s="30">
        <v>0.5</v>
      </c>
      <c r="K21" s="30">
        <v>1</v>
      </c>
      <c r="L21" s="30">
        <v>0.5</v>
      </c>
      <c r="M21" s="30">
        <v>0.5</v>
      </c>
      <c r="N21" s="30">
        <v>0</v>
      </c>
      <c r="O21" s="30">
        <v>1</v>
      </c>
      <c r="P21" s="30">
        <v>0</v>
      </c>
      <c r="Q21" s="30">
        <v>0.5</v>
      </c>
      <c r="R21" s="30">
        <v>0.5</v>
      </c>
      <c r="S21" s="30">
        <v>0.5</v>
      </c>
      <c r="T21" s="30">
        <v>1</v>
      </c>
      <c r="U21" s="30">
        <v>0.5</v>
      </c>
      <c r="V21" s="30">
        <v>1</v>
      </c>
      <c r="W21" s="30">
        <f t="shared" si="0"/>
        <v>12.5</v>
      </c>
      <c r="X21" s="31">
        <f t="shared" si="1"/>
        <v>0.69444444444444442</v>
      </c>
      <c r="Y21" s="27" t="str">
        <f t="shared" si="2"/>
        <v>Moderate Quality (Tier 2)</v>
      </c>
    </row>
    <row r="22" spans="1:25" ht="23.25" customHeight="1">
      <c r="A22" s="27" t="s">
        <v>5504</v>
      </c>
      <c r="B22" s="27" t="s">
        <v>12</v>
      </c>
      <c r="C22" s="27" t="s">
        <v>724</v>
      </c>
      <c r="D22" s="27" t="s">
        <v>5741</v>
      </c>
      <c r="E22" s="30">
        <v>1</v>
      </c>
      <c r="F22" s="30">
        <v>1</v>
      </c>
      <c r="G22" s="30">
        <v>1</v>
      </c>
      <c r="H22" s="30">
        <v>1</v>
      </c>
      <c r="I22" s="30">
        <v>1</v>
      </c>
      <c r="J22" s="30">
        <v>0.5</v>
      </c>
      <c r="K22" s="30">
        <v>1</v>
      </c>
      <c r="L22" s="30">
        <v>0.5</v>
      </c>
      <c r="M22" s="30">
        <v>0</v>
      </c>
      <c r="N22" s="30">
        <v>0</v>
      </c>
      <c r="O22" s="30">
        <v>1</v>
      </c>
      <c r="P22" s="30">
        <v>0.5</v>
      </c>
      <c r="Q22" s="30">
        <v>0.5</v>
      </c>
      <c r="R22" s="30">
        <v>0.5</v>
      </c>
      <c r="S22" s="30">
        <v>0.5</v>
      </c>
      <c r="T22" s="30">
        <v>1</v>
      </c>
      <c r="U22" s="30">
        <v>0.5</v>
      </c>
      <c r="V22" s="30">
        <v>1</v>
      </c>
      <c r="W22" s="30">
        <f t="shared" si="0"/>
        <v>12.5</v>
      </c>
      <c r="X22" s="31">
        <f t="shared" si="1"/>
        <v>0.69444444444444442</v>
      </c>
      <c r="Y22" s="27" t="str">
        <f t="shared" si="2"/>
        <v>Moderate Quality (Tier 2)</v>
      </c>
    </row>
    <row r="23" spans="1:25" ht="45.75" customHeight="1">
      <c r="A23" s="27" t="s">
        <v>5527</v>
      </c>
      <c r="B23" s="27" t="s">
        <v>12</v>
      </c>
      <c r="C23" s="27" t="s">
        <v>778</v>
      </c>
      <c r="D23" s="27" t="s">
        <v>5742</v>
      </c>
      <c r="E23" s="30">
        <v>1</v>
      </c>
      <c r="F23" s="30">
        <v>1</v>
      </c>
      <c r="G23" s="30">
        <v>1</v>
      </c>
      <c r="H23" s="30">
        <v>1</v>
      </c>
      <c r="I23" s="30">
        <v>1</v>
      </c>
      <c r="J23" s="30">
        <v>0.5</v>
      </c>
      <c r="K23" s="30">
        <v>1</v>
      </c>
      <c r="L23" s="30">
        <v>1</v>
      </c>
      <c r="M23" s="30">
        <v>0</v>
      </c>
      <c r="N23" s="30">
        <v>0</v>
      </c>
      <c r="O23" s="30">
        <v>1</v>
      </c>
      <c r="P23" s="30">
        <v>0.5</v>
      </c>
      <c r="Q23" s="30">
        <v>0.5</v>
      </c>
      <c r="R23" s="30">
        <v>0.5</v>
      </c>
      <c r="S23" s="30">
        <v>0.5</v>
      </c>
      <c r="T23" s="30">
        <v>0.5</v>
      </c>
      <c r="U23" s="30">
        <v>0.5</v>
      </c>
      <c r="V23" s="30">
        <v>1</v>
      </c>
      <c r="W23" s="30">
        <f t="shared" si="0"/>
        <v>12.5</v>
      </c>
      <c r="X23" s="31">
        <f t="shared" si="1"/>
        <v>0.69444444444444442</v>
      </c>
      <c r="Y23" s="27" t="str">
        <f t="shared" si="2"/>
        <v>Moderate Quality (Tier 2)</v>
      </c>
    </row>
    <row r="24" spans="1:25" ht="45.75" customHeight="1">
      <c r="A24" s="27" t="s">
        <v>5549</v>
      </c>
      <c r="B24" s="27" t="s">
        <v>10</v>
      </c>
      <c r="C24" s="27" t="s">
        <v>451</v>
      </c>
      <c r="D24" s="27" t="s">
        <v>5743</v>
      </c>
      <c r="E24" s="30">
        <v>1</v>
      </c>
      <c r="F24" s="30">
        <v>1</v>
      </c>
      <c r="G24" s="30">
        <v>1</v>
      </c>
      <c r="H24" s="30">
        <v>1</v>
      </c>
      <c r="I24" s="30">
        <v>1</v>
      </c>
      <c r="J24" s="30">
        <v>0.5</v>
      </c>
      <c r="K24" s="30">
        <v>1</v>
      </c>
      <c r="L24" s="30">
        <v>0.5</v>
      </c>
      <c r="M24" s="30">
        <v>0</v>
      </c>
      <c r="N24" s="30">
        <v>0</v>
      </c>
      <c r="O24" s="30">
        <v>1</v>
      </c>
      <c r="P24" s="30">
        <v>0.5</v>
      </c>
      <c r="Q24" s="30">
        <v>0.5</v>
      </c>
      <c r="R24" s="30">
        <v>0.5</v>
      </c>
      <c r="S24" s="30">
        <v>0.5</v>
      </c>
      <c r="T24" s="30">
        <v>1</v>
      </c>
      <c r="U24" s="30">
        <v>0.5</v>
      </c>
      <c r="V24" s="30">
        <v>1</v>
      </c>
      <c r="W24" s="30">
        <f t="shared" si="0"/>
        <v>12.5</v>
      </c>
      <c r="X24" s="31">
        <f t="shared" si="1"/>
        <v>0.69444444444444442</v>
      </c>
      <c r="Y24" s="27" t="str">
        <f t="shared" si="2"/>
        <v>Moderate Quality (Tier 2)</v>
      </c>
    </row>
    <row r="25" spans="1:25" ht="34.5" customHeight="1">
      <c r="A25" s="27" t="s">
        <v>5573</v>
      </c>
      <c r="B25" s="27" t="s">
        <v>10</v>
      </c>
      <c r="C25" s="27" t="s">
        <v>458</v>
      </c>
      <c r="D25" s="27" t="s">
        <v>5744</v>
      </c>
      <c r="E25" s="30">
        <v>1</v>
      </c>
      <c r="F25" s="30">
        <v>1</v>
      </c>
      <c r="G25" s="30">
        <v>1</v>
      </c>
      <c r="H25" s="30">
        <v>1</v>
      </c>
      <c r="I25" s="30">
        <v>1</v>
      </c>
      <c r="J25" s="30">
        <v>0.5</v>
      </c>
      <c r="K25" s="30">
        <v>1</v>
      </c>
      <c r="L25" s="30">
        <v>0.5</v>
      </c>
      <c r="M25" s="30">
        <v>0</v>
      </c>
      <c r="N25" s="30">
        <v>0</v>
      </c>
      <c r="O25" s="30">
        <v>1</v>
      </c>
      <c r="P25" s="30">
        <v>0.5</v>
      </c>
      <c r="Q25" s="30">
        <v>0.5</v>
      </c>
      <c r="R25" s="30">
        <v>0.5</v>
      </c>
      <c r="S25" s="30">
        <v>0.5</v>
      </c>
      <c r="T25" s="30">
        <v>0.5</v>
      </c>
      <c r="U25" s="30">
        <v>0.5</v>
      </c>
      <c r="V25" s="30">
        <v>1</v>
      </c>
      <c r="W25" s="30">
        <f t="shared" si="0"/>
        <v>12</v>
      </c>
      <c r="X25" s="31">
        <f t="shared" si="1"/>
        <v>0.66666666666666663</v>
      </c>
      <c r="Y25" s="27" t="str">
        <f t="shared" si="2"/>
        <v>Moderate Quality (Tier 2)</v>
      </c>
    </row>
    <row r="26" spans="1:25" ht="23.25" customHeight="1">
      <c r="A26" s="27" t="s">
        <v>5598</v>
      </c>
      <c r="B26" s="27" t="s">
        <v>10</v>
      </c>
      <c r="C26" s="27" t="s">
        <v>460</v>
      </c>
      <c r="D26" s="27" t="s">
        <v>5745</v>
      </c>
      <c r="E26" s="30">
        <v>1</v>
      </c>
      <c r="F26" s="30">
        <v>1</v>
      </c>
      <c r="G26" s="30">
        <v>0.5</v>
      </c>
      <c r="H26" s="30">
        <v>1</v>
      </c>
      <c r="I26" s="30">
        <v>1</v>
      </c>
      <c r="J26" s="30">
        <v>0.5</v>
      </c>
      <c r="K26" s="30">
        <v>1</v>
      </c>
      <c r="L26" s="30">
        <v>0.5</v>
      </c>
      <c r="M26" s="30">
        <v>0.5</v>
      </c>
      <c r="N26" s="30">
        <v>0</v>
      </c>
      <c r="O26" s="30">
        <v>1</v>
      </c>
      <c r="P26" s="30">
        <v>0</v>
      </c>
      <c r="Q26" s="30">
        <v>0.5</v>
      </c>
      <c r="R26" s="30">
        <v>0.5</v>
      </c>
      <c r="S26" s="30">
        <v>0.5</v>
      </c>
      <c r="T26" s="30">
        <v>1</v>
      </c>
      <c r="U26" s="30">
        <v>0.5</v>
      </c>
      <c r="V26" s="30">
        <v>1</v>
      </c>
      <c r="W26" s="30">
        <f t="shared" si="0"/>
        <v>12</v>
      </c>
      <c r="X26" s="31">
        <f t="shared" si="1"/>
        <v>0.66666666666666663</v>
      </c>
      <c r="Y26" s="27" t="str">
        <f t="shared" si="2"/>
        <v>Moderate Quality (Tier 2)</v>
      </c>
    </row>
    <row r="27" spans="1:25" ht="23.25" customHeight="1">
      <c r="A27" s="27" t="s">
        <v>5622</v>
      </c>
      <c r="B27" s="27" t="s">
        <v>10</v>
      </c>
      <c r="C27" s="27" t="s">
        <v>466</v>
      </c>
      <c r="D27" s="27" t="s">
        <v>5746</v>
      </c>
      <c r="E27" s="30">
        <v>1</v>
      </c>
      <c r="F27" s="30">
        <v>1</v>
      </c>
      <c r="G27" s="30">
        <v>1</v>
      </c>
      <c r="H27" s="30">
        <v>1</v>
      </c>
      <c r="I27" s="30">
        <v>1</v>
      </c>
      <c r="J27" s="30">
        <v>0.5</v>
      </c>
      <c r="K27" s="30">
        <v>1</v>
      </c>
      <c r="L27" s="30">
        <v>1</v>
      </c>
      <c r="M27" s="30">
        <v>0.5</v>
      </c>
      <c r="N27" s="30">
        <v>0</v>
      </c>
      <c r="O27" s="30">
        <v>1</v>
      </c>
      <c r="P27" s="30">
        <v>0.5</v>
      </c>
      <c r="Q27" s="30">
        <v>0.5</v>
      </c>
      <c r="R27" s="30">
        <v>0.5</v>
      </c>
      <c r="S27" s="30">
        <v>0.5</v>
      </c>
      <c r="T27" s="30">
        <v>1</v>
      </c>
      <c r="U27" s="30">
        <v>0.5</v>
      </c>
      <c r="V27" s="30">
        <v>1</v>
      </c>
      <c r="W27" s="30">
        <f t="shared" si="0"/>
        <v>13.5</v>
      </c>
      <c r="X27" s="31">
        <f t="shared" si="1"/>
        <v>0.75</v>
      </c>
      <c r="Y27" s="27" t="str">
        <f t="shared" si="2"/>
        <v>High Quality (Tier 1)</v>
      </c>
    </row>
    <row r="28" spans="1:25" ht="34.5" customHeight="1">
      <c r="A28" s="27" t="s">
        <v>5647</v>
      </c>
      <c r="B28" s="27" t="s">
        <v>10</v>
      </c>
      <c r="C28" s="27" t="s">
        <v>472</v>
      </c>
      <c r="D28" s="27" t="s">
        <v>5747</v>
      </c>
      <c r="E28" s="30">
        <v>1</v>
      </c>
      <c r="F28" s="30">
        <v>1</v>
      </c>
      <c r="G28" s="30">
        <v>0.5</v>
      </c>
      <c r="H28" s="30">
        <v>1</v>
      </c>
      <c r="I28" s="30">
        <v>1</v>
      </c>
      <c r="J28" s="30">
        <v>0.5</v>
      </c>
      <c r="K28" s="30">
        <v>1</v>
      </c>
      <c r="L28" s="30">
        <v>1</v>
      </c>
      <c r="M28" s="30">
        <v>0.5</v>
      </c>
      <c r="N28" s="30">
        <v>0</v>
      </c>
      <c r="O28" s="30">
        <v>1</v>
      </c>
      <c r="P28" s="30">
        <v>0</v>
      </c>
      <c r="Q28" s="30">
        <v>0.5</v>
      </c>
      <c r="R28" s="30">
        <v>0.5</v>
      </c>
      <c r="S28" s="30">
        <v>0.5</v>
      </c>
      <c r="T28" s="30">
        <v>0.5</v>
      </c>
      <c r="U28" s="30">
        <v>0.5</v>
      </c>
      <c r="V28" s="30">
        <v>1</v>
      </c>
      <c r="W28" s="30">
        <f t="shared" si="0"/>
        <v>12</v>
      </c>
      <c r="X28" s="31">
        <f t="shared" si="1"/>
        <v>0.66666666666666663</v>
      </c>
      <c r="Y28" s="27" t="str">
        <f t="shared" si="2"/>
        <v>Moderate Quality (Tier 2)</v>
      </c>
    </row>
    <row r="29" spans="1:25" ht="23.25" customHeight="1">
      <c r="A29" s="27" t="s">
        <v>5672</v>
      </c>
      <c r="B29" s="27" t="s">
        <v>10</v>
      </c>
      <c r="C29" s="27" t="s">
        <v>474</v>
      </c>
      <c r="D29" s="27" t="s">
        <v>5748</v>
      </c>
      <c r="E29" s="30">
        <v>1</v>
      </c>
      <c r="F29" s="30">
        <v>1</v>
      </c>
      <c r="G29" s="30">
        <v>0.5</v>
      </c>
      <c r="H29" s="30">
        <v>1</v>
      </c>
      <c r="I29" s="30">
        <v>1</v>
      </c>
      <c r="J29" s="30">
        <v>0.5</v>
      </c>
      <c r="K29" s="30">
        <v>1</v>
      </c>
      <c r="L29" s="30">
        <v>0.5</v>
      </c>
      <c r="M29" s="30">
        <v>0.5</v>
      </c>
      <c r="N29" s="30">
        <v>0</v>
      </c>
      <c r="O29" s="30">
        <v>1</v>
      </c>
      <c r="P29" s="30">
        <v>0</v>
      </c>
      <c r="Q29" s="30">
        <v>0.5</v>
      </c>
      <c r="R29" s="30">
        <v>0.5</v>
      </c>
      <c r="S29" s="30">
        <v>0.5</v>
      </c>
      <c r="T29" s="30">
        <v>1</v>
      </c>
      <c r="U29" s="30">
        <v>0.5</v>
      </c>
      <c r="V29" s="30">
        <v>1</v>
      </c>
      <c r="W29" s="30">
        <f t="shared" si="0"/>
        <v>12</v>
      </c>
      <c r="X29" s="31">
        <f t="shared" si="1"/>
        <v>0.66666666666666663</v>
      </c>
      <c r="Y29" s="27" t="str">
        <f t="shared" si="2"/>
        <v>Moderate Quality (Tier 2)</v>
      </c>
    </row>
    <row r="30" spans="1:25" ht="15" customHeight="1"/>
    <row r="31" spans="1:25" ht="15" customHeight="1">
      <c r="A31" t="s">
        <v>5749</v>
      </c>
    </row>
    <row r="32" spans="1:25" ht="15" customHeight="1">
      <c r="A32" t="s">
        <v>5750</v>
      </c>
      <c r="X32" s="32">
        <f>AVERAGE(X3:X29)</f>
        <v>0.70987654320987659</v>
      </c>
    </row>
    <row r="33" spans="1:24" ht="15" customHeight="1">
      <c r="A33" t="s">
        <v>5751</v>
      </c>
      <c r="X33">
        <f>COUNTIF(Y3:Y29,A33)</f>
        <v>9</v>
      </c>
    </row>
    <row r="34" spans="1:24" ht="15" customHeight="1">
      <c r="A34" t="s">
        <v>5752</v>
      </c>
      <c r="X34">
        <f>COUNTIF(Y3:Y29,A34)</f>
        <v>17</v>
      </c>
    </row>
    <row r="35" spans="1:24" ht="15" customHeight="1">
      <c r="A35" t="s">
        <v>5753</v>
      </c>
      <c r="X35">
        <f>COUNTIF(Y3:Y29,A35)</f>
        <v>1</v>
      </c>
    </row>
    <row r="36" spans="1:24" ht="15" customHeight="1"/>
    <row r="37" spans="1:24" ht="15" customHeight="1"/>
    <row r="38" spans="1:24" ht="15" customHeight="1"/>
    <row r="39" spans="1:24" ht="15" customHeight="1"/>
    <row r="40" spans="1:24" ht="45.75" customHeight="1"/>
    <row r="41" spans="1:24" ht="15" customHeight="1"/>
    <row r="42" spans="1:24" ht="15" customHeight="1"/>
    <row r="43" spans="1:24" ht="15" customHeight="1"/>
    <row r="44" spans="1:24" ht="15" customHeight="1"/>
    <row r="45" spans="1:24" ht="15" customHeight="1"/>
    <row r="46" spans="1:24" ht="15" customHeight="1"/>
    <row r="47" spans="1:24" ht="15" customHeight="1"/>
    <row r="48" spans="1:24"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90.75" customHeight="1"/>
  </sheetData>
  <mergeCells count="1">
    <mergeCell ref="A1:Y1"/>
  </mergeCells>
  <pageMargins left="0.75" right="0.75" top="1" bottom="1"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8"/>
  <sheetViews>
    <sheetView zoomScaleNormal="100" workbookViewId="0"/>
  </sheetViews>
  <sheetFormatPr defaultColWidth="8.5703125" defaultRowHeight="14.45"/>
  <cols>
    <col min="1" max="1" width="7" customWidth="1"/>
    <col min="2" max="2" width="60" customWidth="1"/>
    <col min="3" max="3" width="7" customWidth="1"/>
    <col min="4" max="4" width="22" customWidth="1"/>
    <col min="5" max="5" width="40" customWidth="1"/>
    <col min="6" max="6" width="55" customWidth="1"/>
    <col min="7" max="7" width="28" customWidth="1"/>
  </cols>
  <sheetData>
    <row r="1" spans="1:7" ht="15" customHeight="1">
      <c r="A1" s="8" t="s">
        <v>5754</v>
      </c>
    </row>
    <row r="2" spans="1:7" ht="15" customHeight="1">
      <c r="A2" s="9" t="s">
        <v>5755</v>
      </c>
      <c r="B2" s="9" t="s">
        <v>5756</v>
      </c>
      <c r="C2" s="9" t="s">
        <v>5757</v>
      </c>
      <c r="D2" s="9" t="s">
        <v>5758</v>
      </c>
      <c r="E2" s="9" t="s">
        <v>5759</v>
      </c>
      <c r="F2" s="9" t="s">
        <v>5760</v>
      </c>
      <c r="G2" s="9" t="s">
        <v>5761</v>
      </c>
    </row>
    <row r="3" spans="1:7" ht="27.75" customHeight="1">
      <c r="A3" s="7">
        <v>1</v>
      </c>
      <c r="B3" s="7" t="s">
        <v>802</v>
      </c>
      <c r="C3" s="7">
        <v>2</v>
      </c>
      <c r="D3" s="7" t="s">
        <v>5762</v>
      </c>
      <c r="E3" s="7" t="s">
        <v>5763</v>
      </c>
      <c r="F3" s="7" t="s">
        <v>5764</v>
      </c>
      <c r="G3" s="7" t="s">
        <v>5765</v>
      </c>
    </row>
    <row r="4" spans="1:7" ht="27.75" customHeight="1">
      <c r="A4" s="7">
        <v>2</v>
      </c>
      <c r="B4" s="7" t="s">
        <v>456</v>
      </c>
      <c r="C4" s="7">
        <v>3</v>
      </c>
      <c r="D4" s="7" t="s">
        <v>5766</v>
      </c>
      <c r="E4" s="7" t="s">
        <v>5767</v>
      </c>
      <c r="F4" s="7" t="s">
        <v>5768</v>
      </c>
      <c r="G4" s="7" t="s">
        <v>5765</v>
      </c>
    </row>
    <row r="5" spans="1:7" ht="27.75" customHeight="1">
      <c r="A5" s="7">
        <v>3</v>
      </c>
      <c r="B5" s="7" t="s">
        <v>870</v>
      </c>
      <c r="C5" s="7">
        <v>2</v>
      </c>
      <c r="D5" s="7" t="s">
        <v>5769</v>
      </c>
      <c r="E5" s="7" t="s">
        <v>5770</v>
      </c>
      <c r="F5" s="7" t="s">
        <v>5771</v>
      </c>
      <c r="G5" s="7" t="s">
        <v>5765</v>
      </c>
    </row>
    <row r="6" spans="1:7" ht="27.75" customHeight="1">
      <c r="A6" s="7">
        <v>4</v>
      </c>
      <c r="B6" s="7" t="s">
        <v>984</v>
      </c>
      <c r="C6" s="7">
        <v>2</v>
      </c>
      <c r="D6" s="7" t="s">
        <v>5772</v>
      </c>
      <c r="E6" s="7" t="s">
        <v>5773</v>
      </c>
      <c r="F6" s="7" t="s">
        <v>5774</v>
      </c>
      <c r="G6" s="33" t="s">
        <v>5775</v>
      </c>
    </row>
    <row r="7" spans="1:7" ht="27.75" customHeight="1">
      <c r="A7" s="7">
        <v>5</v>
      </c>
      <c r="B7" s="7" t="s">
        <v>813</v>
      </c>
      <c r="C7" s="7">
        <v>2</v>
      </c>
      <c r="D7" s="7" t="s">
        <v>5776</v>
      </c>
      <c r="E7" s="7" t="s">
        <v>5777</v>
      </c>
      <c r="F7" s="7" t="s">
        <v>5764</v>
      </c>
      <c r="G7" s="7" t="s">
        <v>5765</v>
      </c>
    </row>
    <row r="8" spans="1:7" ht="27.75" customHeight="1">
      <c r="A8" s="7">
        <v>6</v>
      </c>
      <c r="B8" s="7" t="s">
        <v>947</v>
      </c>
      <c r="C8" s="7">
        <v>2</v>
      </c>
      <c r="D8" s="7" t="s">
        <v>5778</v>
      </c>
      <c r="E8" s="7" t="s">
        <v>5779</v>
      </c>
      <c r="F8" s="7" t="s">
        <v>5771</v>
      </c>
      <c r="G8" s="7" t="s">
        <v>5765</v>
      </c>
    </row>
    <row r="9" spans="1:7" ht="27.75" customHeight="1">
      <c r="A9" s="7">
        <v>7</v>
      </c>
      <c r="B9" s="7" t="s">
        <v>116</v>
      </c>
      <c r="C9" s="7">
        <v>2</v>
      </c>
      <c r="D9" s="7" t="s">
        <v>5780</v>
      </c>
      <c r="E9" s="7" t="s">
        <v>5781</v>
      </c>
      <c r="F9" s="7" t="s">
        <v>5782</v>
      </c>
      <c r="G9" s="7" t="s">
        <v>5765</v>
      </c>
    </row>
    <row r="10" spans="1:7" ht="27.75" customHeight="1">
      <c r="A10" s="7">
        <v>8</v>
      </c>
      <c r="B10" s="7" t="s">
        <v>748</v>
      </c>
      <c r="C10" s="7">
        <v>2</v>
      </c>
      <c r="D10" s="7" t="s">
        <v>5783</v>
      </c>
      <c r="E10" s="7" t="s">
        <v>5784</v>
      </c>
      <c r="F10" s="7" t="s">
        <v>5764</v>
      </c>
      <c r="G10" s="7" t="s">
        <v>5765</v>
      </c>
    </row>
    <row r="11" spans="1:7" ht="27.75" customHeight="1">
      <c r="A11" s="7">
        <v>9</v>
      </c>
      <c r="B11" s="7" t="s">
        <v>816</v>
      </c>
      <c r="C11" s="7">
        <v>2</v>
      </c>
      <c r="D11" s="7" t="s">
        <v>5785</v>
      </c>
      <c r="E11" s="7" t="s">
        <v>5786</v>
      </c>
      <c r="F11" s="7" t="s">
        <v>5764</v>
      </c>
      <c r="G11" s="7" t="s">
        <v>5765</v>
      </c>
    </row>
    <row r="12" spans="1:7" ht="27.75" customHeight="1">
      <c r="A12" s="7">
        <v>10</v>
      </c>
      <c r="B12" s="7" t="s">
        <v>131</v>
      </c>
      <c r="C12" s="7">
        <v>2</v>
      </c>
      <c r="D12" s="7" t="s">
        <v>5787</v>
      </c>
      <c r="E12" s="7" t="s">
        <v>5788</v>
      </c>
      <c r="F12" s="7" t="s">
        <v>5789</v>
      </c>
      <c r="G12" s="33" t="s">
        <v>5775</v>
      </c>
    </row>
    <row r="13" spans="1:7" ht="27.75" customHeight="1">
      <c r="A13" s="7">
        <v>11</v>
      </c>
      <c r="B13" s="7" t="s">
        <v>524</v>
      </c>
      <c r="C13" s="7">
        <v>2</v>
      </c>
      <c r="D13" s="7" t="s">
        <v>5790</v>
      </c>
      <c r="E13" s="7" t="s">
        <v>5791</v>
      </c>
      <c r="F13" s="7" t="s">
        <v>5792</v>
      </c>
      <c r="G13" s="33" t="s">
        <v>5775</v>
      </c>
    </row>
    <row r="14" spans="1:7" ht="41.25" customHeight="1">
      <c r="A14" s="7">
        <v>12</v>
      </c>
      <c r="B14" s="7" t="s">
        <v>763</v>
      </c>
      <c r="C14" s="7">
        <v>2</v>
      </c>
      <c r="D14" s="7" t="s">
        <v>5793</v>
      </c>
      <c r="E14" s="7" t="s">
        <v>5794</v>
      </c>
      <c r="F14" s="7" t="s">
        <v>5795</v>
      </c>
      <c r="G14" s="33" t="s">
        <v>5775</v>
      </c>
    </row>
    <row r="15" spans="1:7" ht="41.25" customHeight="1">
      <c r="A15" s="7">
        <v>13</v>
      </c>
      <c r="B15" s="7" t="s">
        <v>736</v>
      </c>
      <c r="C15" s="7">
        <v>2</v>
      </c>
      <c r="D15" s="7" t="s">
        <v>5796</v>
      </c>
      <c r="E15" s="7" t="s">
        <v>5797</v>
      </c>
      <c r="F15" s="7" t="s">
        <v>5771</v>
      </c>
      <c r="G15" s="7" t="s">
        <v>5765</v>
      </c>
    </row>
    <row r="16" spans="1:7" ht="27.75" customHeight="1">
      <c r="A16" s="7">
        <v>14</v>
      </c>
      <c r="B16" s="7" t="s">
        <v>905</v>
      </c>
      <c r="C16" s="7">
        <v>2</v>
      </c>
      <c r="D16" s="7" t="s">
        <v>5798</v>
      </c>
      <c r="E16" s="7" t="s">
        <v>5799</v>
      </c>
      <c r="F16" s="7" t="s">
        <v>5795</v>
      </c>
      <c r="G16" s="33" t="s">
        <v>5775</v>
      </c>
    </row>
    <row r="17" spans="1:7" ht="41.25" customHeight="1">
      <c r="A17" s="7">
        <v>15</v>
      </c>
      <c r="B17" s="7" t="s">
        <v>1446</v>
      </c>
      <c r="C17" s="7">
        <v>2</v>
      </c>
      <c r="D17" s="7" t="s">
        <v>5800</v>
      </c>
      <c r="E17" s="7" t="s">
        <v>5801</v>
      </c>
      <c r="F17" s="7" t="s">
        <v>5802</v>
      </c>
      <c r="G17" s="7" t="s">
        <v>5765</v>
      </c>
    </row>
    <row r="18" spans="1:7" ht="27.75" customHeight="1">
      <c r="A18" s="7">
        <v>16</v>
      </c>
      <c r="B18" s="7" t="s">
        <v>865</v>
      </c>
      <c r="C18" s="7">
        <v>2</v>
      </c>
      <c r="D18" s="7" t="s">
        <v>5803</v>
      </c>
      <c r="E18" s="7" t="s">
        <v>5804</v>
      </c>
      <c r="F18" s="7" t="s">
        <v>5795</v>
      </c>
      <c r="G18" s="33" t="s">
        <v>5775</v>
      </c>
    </row>
    <row r="19" spans="1:7" ht="27.75" customHeight="1">
      <c r="A19" s="7">
        <v>17</v>
      </c>
      <c r="B19" s="7" t="s">
        <v>877</v>
      </c>
      <c r="C19" s="7">
        <v>2</v>
      </c>
      <c r="D19" s="7" t="s">
        <v>5805</v>
      </c>
      <c r="E19" s="7" t="s">
        <v>5806</v>
      </c>
      <c r="F19" s="7" t="s">
        <v>5764</v>
      </c>
      <c r="G19" s="7" t="s">
        <v>5765</v>
      </c>
    </row>
    <row r="20" spans="1:7" ht="27.75" customHeight="1">
      <c r="A20" s="7">
        <v>18</v>
      </c>
      <c r="B20" s="7" t="s">
        <v>778</v>
      </c>
      <c r="C20" s="7">
        <v>2</v>
      </c>
      <c r="D20" s="7" t="s">
        <v>5807</v>
      </c>
      <c r="E20" s="7" t="s">
        <v>5808</v>
      </c>
      <c r="F20" s="7" t="s">
        <v>5764</v>
      </c>
      <c r="G20" s="7" t="s">
        <v>5765</v>
      </c>
    </row>
    <row r="21" spans="1:7" ht="27.75" customHeight="1">
      <c r="A21" s="7">
        <v>19</v>
      </c>
      <c r="B21" s="7" t="s">
        <v>739</v>
      </c>
      <c r="C21" s="7">
        <v>2</v>
      </c>
      <c r="D21" s="7" t="s">
        <v>5809</v>
      </c>
      <c r="E21" s="7" t="s">
        <v>5810</v>
      </c>
      <c r="F21" s="7" t="s">
        <v>5795</v>
      </c>
      <c r="G21" s="33" t="s">
        <v>5775</v>
      </c>
    </row>
    <row r="22" spans="1:7" ht="27.75" customHeight="1">
      <c r="A22" s="7">
        <v>20</v>
      </c>
      <c r="B22" s="7" t="s">
        <v>715</v>
      </c>
      <c r="C22" s="7">
        <v>2</v>
      </c>
      <c r="D22" s="7" t="s">
        <v>5811</v>
      </c>
      <c r="E22" s="7" t="s">
        <v>5812</v>
      </c>
      <c r="F22" s="7" t="s">
        <v>5764</v>
      </c>
      <c r="G22" s="7" t="s">
        <v>5765</v>
      </c>
    </row>
    <row r="23" spans="1:7" ht="27.75" customHeight="1">
      <c r="A23" s="7">
        <v>21</v>
      </c>
      <c r="B23" s="7" t="s">
        <v>849</v>
      </c>
      <c r="C23" s="7">
        <v>2</v>
      </c>
      <c r="D23" s="7" t="s">
        <v>5813</v>
      </c>
      <c r="E23" s="7" t="s">
        <v>5814</v>
      </c>
      <c r="F23" s="7" t="s">
        <v>5764</v>
      </c>
      <c r="G23" s="7" t="s">
        <v>5765</v>
      </c>
    </row>
    <row r="24" spans="1:7" ht="27.75" customHeight="1">
      <c r="A24" s="7">
        <v>22</v>
      </c>
      <c r="B24" s="7" t="s">
        <v>1370</v>
      </c>
      <c r="C24" s="7">
        <v>2</v>
      </c>
      <c r="D24" s="7" t="s">
        <v>5815</v>
      </c>
      <c r="E24" s="7" t="s">
        <v>5816</v>
      </c>
      <c r="F24" s="7" t="s">
        <v>5802</v>
      </c>
      <c r="G24" s="7" t="s">
        <v>5765</v>
      </c>
    </row>
    <row r="25" spans="1:7" ht="27.75" customHeight="1">
      <c r="A25" s="7">
        <v>23</v>
      </c>
      <c r="B25" s="7" t="s">
        <v>724</v>
      </c>
      <c r="C25" s="7">
        <v>2</v>
      </c>
      <c r="D25" s="7" t="s">
        <v>5817</v>
      </c>
      <c r="E25" s="7" t="s">
        <v>5818</v>
      </c>
      <c r="F25" s="7" t="s">
        <v>5764</v>
      </c>
      <c r="G25" s="7" t="s">
        <v>5765</v>
      </c>
    </row>
    <row r="26" spans="1:7" ht="27.75" customHeight="1">
      <c r="A26" s="7">
        <v>24</v>
      </c>
      <c r="B26" s="7" t="s">
        <v>730</v>
      </c>
      <c r="C26" s="7">
        <v>2</v>
      </c>
      <c r="D26" s="7" t="s">
        <v>5819</v>
      </c>
      <c r="E26" s="7" t="s">
        <v>5820</v>
      </c>
      <c r="F26" s="7" t="s">
        <v>5764</v>
      </c>
      <c r="G26" s="7" t="s">
        <v>5765</v>
      </c>
    </row>
    <row r="27" spans="1:7" ht="27.75" customHeight="1">
      <c r="A27" s="7">
        <v>25</v>
      </c>
      <c r="B27" s="7" t="s">
        <v>797</v>
      </c>
      <c r="C27" s="7">
        <v>2</v>
      </c>
      <c r="D27" s="7" t="s">
        <v>5821</v>
      </c>
      <c r="E27" s="7" t="s">
        <v>5822</v>
      </c>
      <c r="F27" s="7" t="s">
        <v>5795</v>
      </c>
      <c r="G27" s="33" t="s">
        <v>5775</v>
      </c>
    </row>
    <row r="28" spans="1:7" ht="27.75" customHeight="1">
      <c r="A28" s="7">
        <v>26</v>
      </c>
      <c r="B28" s="7" t="s">
        <v>246</v>
      </c>
      <c r="C28" s="7">
        <v>3</v>
      </c>
      <c r="D28" s="7" t="s">
        <v>5823</v>
      </c>
      <c r="E28" s="7" t="s">
        <v>5824</v>
      </c>
      <c r="F28" s="7" t="s">
        <v>5825</v>
      </c>
      <c r="G28" s="7" t="s">
        <v>5765</v>
      </c>
    </row>
    <row r="29" spans="1:7" ht="27.75" customHeight="1">
      <c r="A29" s="7">
        <v>27</v>
      </c>
      <c r="B29" s="7" t="s">
        <v>783</v>
      </c>
      <c r="C29" s="7">
        <v>2</v>
      </c>
      <c r="D29" s="7" t="s">
        <v>5826</v>
      </c>
      <c r="E29" s="7" t="s">
        <v>5827</v>
      </c>
      <c r="F29" s="7" t="s">
        <v>5764</v>
      </c>
      <c r="G29" s="7" t="s">
        <v>5765</v>
      </c>
    </row>
    <row r="30" spans="1:7" ht="27.75" customHeight="1">
      <c r="A30" s="7">
        <v>28</v>
      </c>
      <c r="B30" s="7" t="s">
        <v>806</v>
      </c>
      <c r="C30" s="7">
        <v>2</v>
      </c>
      <c r="D30" s="7" t="s">
        <v>5828</v>
      </c>
      <c r="E30" s="7" t="s">
        <v>5829</v>
      </c>
      <c r="F30" s="7" t="s">
        <v>5764</v>
      </c>
      <c r="G30" s="7" t="s">
        <v>5765</v>
      </c>
    </row>
    <row r="31" spans="1:7" ht="27.75" customHeight="1">
      <c r="A31" s="7">
        <v>29</v>
      </c>
      <c r="B31" s="7" t="s">
        <v>314</v>
      </c>
      <c r="C31" s="7">
        <v>2</v>
      </c>
      <c r="D31" s="7" t="s">
        <v>5830</v>
      </c>
      <c r="E31" s="7" t="s">
        <v>5831</v>
      </c>
      <c r="F31" s="7" t="s">
        <v>5782</v>
      </c>
      <c r="G31" s="7" t="s">
        <v>5765</v>
      </c>
    </row>
    <row r="32" spans="1:7" ht="27.75" customHeight="1">
      <c r="A32" s="7">
        <v>30</v>
      </c>
      <c r="B32" s="7" t="s">
        <v>718</v>
      </c>
      <c r="C32" s="7">
        <v>2</v>
      </c>
      <c r="D32" s="7" t="s">
        <v>5832</v>
      </c>
      <c r="E32" s="7" t="s">
        <v>5833</v>
      </c>
      <c r="F32" s="7" t="s">
        <v>5771</v>
      </c>
      <c r="G32" s="7" t="s">
        <v>5765</v>
      </c>
    </row>
    <row r="33" spans="1:7" ht="27.75" customHeight="1">
      <c r="A33" s="7">
        <v>31</v>
      </c>
      <c r="B33" s="7" t="s">
        <v>2918</v>
      </c>
      <c r="C33" s="7">
        <v>2</v>
      </c>
      <c r="D33" s="7" t="s">
        <v>5834</v>
      </c>
      <c r="E33" s="7" t="s">
        <v>5835</v>
      </c>
      <c r="F33" s="7" t="s">
        <v>5795</v>
      </c>
      <c r="G33" s="33" t="s">
        <v>5775</v>
      </c>
    </row>
    <row r="34" spans="1:7" ht="27.75" customHeight="1">
      <c r="A34" s="7">
        <v>32</v>
      </c>
      <c r="B34" s="7" t="s">
        <v>742</v>
      </c>
      <c r="C34" s="7">
        <v>2</v>
      </c>
      <c r="D34" s="7" t="s">
        <v>5836</v>
      </c>
      <c r="E34" s="7" t="s">
        <v>5837</v>
      </c>
      <c r="F34" s="7" t="s">
        <v>5764</v>
      </c>
      <c r="G34" s="7" t="s">
        <v>5765</v>
      </c>
    </row>
    <row r="35" spans="1:7" ht="27.75" customHeight="1">
      <c r="A35" s="7">
        <v>33</v>
      </c>
      <c r="B35" s="7" t="s">
        <v>786</v>
      </c>
      <c r="C35" s="7">
        <v>2</v>
      </c>
      <c r="D35" s="7" t="s">
        <v>5838</v>
      </c>
      <c r="E35" s="7" t="s">
        <v>5839</v>
      </c>
      <c r="F35" s="7" t="s">
        <v>5795</v>
      </c>
      <c r="G35" s="33" t="s">
        <v>5775</v>
      </c>
    </row>
    <row r="36" spans="1:7" ht="27.75" customHeight="1">
      <c r="A36" s="7">
        <v>34</v>
      </c>
      <c r="B36" s="7" t="s">
        <v>491</v>
      </c>
      <c r="C36" s="7">
        <v>3</v>
      </c>
      <c r="D36" s="7" t="s">
        <v>5840</v>
      </c>
      <c r="E36" s="7" t="s">
        <v>5841</v>
      </c>
      <c r="F36" s="7" t="s">
        <v>5842</v>
      </c>
      <c r="G36" s="33" t="s">
        <v>5775</v>
      </c>
    </row>
    <row r="37" spans="1:7" ht="27.75" customHeight="1">
      <c r="A37" s="7">
        <v>35</v>
      </c>
      <c r="B37" s="7" t="s">
        <v>772</v>
      </c>
      <c r="C37" s="7">
        <v>2</v>
      </c>
      <c r="D37" s="7" t="s">
        <v>5843</v>
      </c>
      <c r="E37" s="7" t="s">
        <v>5844</v>
      </c>
      <c r="F37" s="7" t="s">
        <v>5764</v>
      </c>
      <c r="G37" s="7" t="s">
        <v>5765</v>
      </c>
    </row>
    <row r="38" spans="1:7" ht="27.75" customHeight="1">
      <c r="A38" s="7">
        <v>36</v>
      </c>
      <c r="B38" s="7" t="s">
        <v>804</v>
      </c>
      <c r="C38" s="7">
        <v>2</v>
      </c>
      <c r="D38" s="7" t="s">
        <v>5845</v>
      </c>
      <c r="E38" s="7" t="s">
        <v>5846</v>
      </c>
      <c r="F38" s="7" t="s">
        <v>5795</v>
      </c>
      <c r="G38" s="33" t="s">
        <v>5775</v>
      </c>
    </row>
    <row r="39" spans="1:7" ht="27.75" customHeight="1">
      <c r="A39" s="7">
        <v>37</v>
      </c>
      <c r="B39" s="7" t="s">
        <v>788</v>
      </c>
      <c r="C39" s="7">
        <v>2</v>
      </c>
      <c r="D39" s="7" t="s">
        <v>5847</v>
      </c>
      <c r="E39" s="7" t="s">
        <v>5848</v>
      </c>
      <c r="F39" s="7" t="s">
        <v>5764</v>
      </c>
      <c r="G39" s="7" t="s">
        <v>5765</v>
      </c>
    </row>
    <row r="40" spans="1:7" ht="27.75" customHeight="1">
      <c r="A40" s="7">
        <v>38</v>
      </c>
      <c r="B40" s="7" t="s">
        <v>892</v>
      </c>
      <c r="C40" s="7">
        <v>2</v>
      </c>
      <c r="D40" s="7" t="s">
        <v>5849</v>
      </c>
      <c r="E40" s="7" t="s">
        <v>5850</v>
      </c>
      <c r="F40" s="7" t="s">
        <v>5795</v>
      </c>
      <c r="G40" s="33" t="s">
        <v>5775</v>
      </c>
    </row>
    <row r="41" spans="1:7" ht="27.75" customHeight="1">
      <c r="A41" s="7">
        <v>39</v>
      </c>
      <c r="B41" s="7" t="s">
        <v>2497</v>
      </c>
      <c r="C41" s="7">
        <v>2</v>
      </c>
      <c r="D41" s="7" t="s">
        <v>5851</v>
      </c>
      <c r="E41" s="7" t="s">
        <v>5852</v>
      </c>
      <c r="F41" s="7" t="s">
        <v>5795</v>
      </c>
      <c r="G41" s="33" t="s">
        <v>5775</v>
      </c>
    </row>
    <row r="42" spans="1:7" ht="27.75" customHeight="1">
      <c r="A42" s="7">
        <v>40</v>
      </c>
      <c r="B42" s="7" t="s">
        <v>800</v>
      </c>
      <c r="C42" s="7">
        <v>2</v>
      </c>
      <c r="D42" s="7" t="s">
        <v>5853</v>
      </c>
      <c r="E42" s="7" t="s">
        <v>5854</v>
      </c>
      <c r="F42" s="7" t="s">
        <v>5764</v>
      </c>
      <c r="G42" s="7" t="s">
        <v>5765</v>
      </c>
    </row>
    <row r="43" spans="1:7" ht="27.75" customHeight="1">
      <c r="A43" s="7">
        <v>41</v>
      </c>
      <c r="B43" s="7" t="s">
        <v>754</v>
      </c>
      <c r="C43" s="7">
        <v>2</v>
      </c>
      <c r="D43" s="7" t="s">
        <v>5855</v>
      </c>
      <c r="E43" s="7" t="s">
        <v>5856</v>
      </c>
      <c r="F43" s="7" t="s">
        <v>5764</v>
      </c>
      <c r="G43" s="7" t="s">
        <v>5765</v>
      </c>
    </row>
    <row r="44" spans="1:7" ht="27.75" customHeight="1">
      <c r="A44" s="7">
        <v>42</v>
      </c>
      <c r="B44" s="7" t="s">
        <v>875</v>
      </c>
      <c r="C44" s="7">
        <v>2</v>
      </c>
      <c r="D44" s="7" t="s">
        <v>5857</v>
      </c>
      <c r="E44" s="7" t="s">
        <v>5858</v>
      </c>
      <c r="F44" s="7" t="s">
        <v>5795</v>
      </c>
      <c r="G44" s="33" t="s">
        <v>5775</v>
      </c>
    </row>
    <row r="45" spans="1:7" ht="41.25" customHeight="1">
      <c r="A45" s="7">
        <v>43</v>
      </c>
      <c r="B45" s="7" t="s">
        <v>760</v>
      </c>
      <c r="C45" s="7">
        <v>2</v>
      </c>
      <c r="D45" s="7" t="s">
        <v>5859</v>
      </c>
      <c r="E45" s="7" t="s">
        <v>5860</v>
      </c>
      <c r="F45" s="7" t="s">
        <v>5764</v>
      </c>
      <c r="G45" s="7" t="s">
        <v>5765</v>
      </c>
    </row>
    <row r="47" spans="1:7" ht="15" customHeight="1">
      <c r="A47" t="s">
        <v>5861</v>
      </c>
      <c r="C47">
        <f>SUM(C3:C45)-COUNT(A3:A45)</f>
        <v>46</v>
      </c>
    </row>
    <row r="48" spans="1:7" ht="15" customHeight="1">
      <c r="A48" t="s">
        <v>5862</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129"/>
  <sheetViews>
    <sheetView zoomScaleNormal="100" workbookViewId="0">
      <pane ySplit="1" topLeftCell="A2" activePane="bottomLeft" state="frozen"/>
      <selection pane="bottomLeft"/>
    </sheetView>
  </sheetViews>
  <sheetFormatPr defaultColWidth="8.5703125" defaultRowHeight="14.45"/>
  <cols>
    <col min="1" max="1" width="6" customWidth="1"/>
    <col min="2" max="2" width="70" customWidth="1"/>
    <col min="3" max="3" width="30" customWidth="1"/>
    <col min="4" max="4" width="80" customWidth="1"/>
    <col min="5" max="5" width="9" customWidth="1"/>
  </cols>
  <sheetData>
    <row r="1" spans="1:5" ht="15" customHeight="1">
      <c r="A1" s="8" t="s">
        <v>5863</v>
      </c>
    </row>
    <row r="2" spans="1:5" ht="15" customHeight="1">
      <c r="A2" s="9" t="s">
        <v>446</v>
      </c>
      <c r="B2" s="9" t="s">
        <v>57</v>
      </c>
      <c r="C2" s="9" t="s">
        <v>5864</v>
      </c>
      <c r="D2" s="9" t="s">
        <v>5865</v>
      </c>
      <c r="E2" s="9" t="s">
        <v>5866</v>
      </c>
    </row>
    <row r="3" spans="1:5" ht="15" customHeight="1">
      <c r="A3">
        <v>1</v>
      </c>
      <c r="B3" t="s">
        <v>3520</v>
      </c>
      <c r="C3" t="s">
        <v>9</v>
      </c>
      <c r="D3" t="s">
        <v>1570</v>
      </c>
      <c r="E3" t="s">
        <v>5867</v>
      </c>
    </row>
    <row r="4" spans="1:5" ht="15" customHeight="1">
      <c r="A4">
        <v>2</v>
      </c>
      <c r="B4" t="s">
        <v>3190</v>
      </c>
      <c r="C4" t="s">
        <v>9</v>
      </c>
      <c r="D4" t="s">
        <v>1570</v>
      </c>
      <c r="E4" t="s">
        <v>5867</v>
      </c>
    </row>
    <row r="5" spans="1:5" ht="15" customHeight="1">
      <c r="A5">
        <v>3</v>
      </c>
      <c r="B5" t="s">
        <v>3193</v>
      </c>
      <c r="C5" t="s">
        <v>9</v>
      </c>
      <c r="D5" t="s">
        <v>1570</v>
      </c>
      <c r="E5" t="s">
        <v>5867</v>
      </c>
    </row>
    <row r="6" spans="1:5" ht="15" customHeight="1">
      <c r="A6">
        <v>4</v>
      </c>
      <c r="B6" t="s">
        <v>4571</v>
      </c>
      <c r="C6" t="s">
        <v>9</v>
      </c>
      <c r="D6" t="s">
        <v>1570</v>
      </c>
      <c r="E6" t="s">
        <v>5867</v>
      </c>
    </row>
    <row r="7" spans="1:5" ht="15" customHeight="1">
      <c r="A7">
        <v>5</v>
      </c>
      <c r="B7" t="s">
        <v>4562</v>
      </c>
      <c r="C7" t="s">
        <v>9</v>
      </c>
      <c r="D7" t="s">
        <v>1570</v>
      </c>
      <c r="E7" t="s">
        <v>5867</v>
      </c>
    </row>
    <row r="8" spans="1:5" ht="15" customHeight="1">
      <c r="A8">
        <v>6</v>
      </c>
      <c r="B8" t="s">
        <v>3202</v>
      </c>
      <c r="C8" t="s">
        <v>9</v>
      </c>
      <c r="D8" t="s">
        <v>1570</v>
      </c>
      <c r="E8" t="s">
        <v>5867</v>
      </c>
    </row>
    <row r="9" spans="1:5" ht="15" customHeight="1">
      <c r="A9">
        <v>7</v>
      </c>
      <c r="B9" t="s">
        <v>4556</v>
      </c>
      <c r="C9" t="s">
        <v>9</v>
      </c>
      <c r="D9" t="s">
        <v>1570</v>
      </c>
      <c r="E9" t="s">
        <v>5867</v>
      </c>
    </row>
    <row r="10" spans="1:5" ht="15" customHeight="1">
      <c r="A10">
        <v>8</v>
      </c>
      <c r="B10" t="s">
        <v>4553</v>
      </c>
      <c r="C10" t="s">
        <v>9</v>
      </c>
      <c r="D10" t="s">
        <v>1570</v>
      </c>
      <c r="E10" t="s">
        <v>5867</v>
      </c>
    </row>
    <row r="11" spans="1:5" ht="15" customHeight="1">
      <c r="A11">
        <v>9</v>
      </c>
      <c r="B11" t="s">
        <v>3214</v>
      </c>
      <c r="C11" t="s">
        <v>9</v>
      </c>
      <c r="D11" t="s">
        <v>1570</v>
      </c>
      <c r="E11" t="s">
        <v>5867</v>
      </c>
    </row>
    <row r="12" spans="1:5" ht="15" customHeight="1">
      <c r="A12">
        <v>10</v>
      </c>
      <c r="B12" t="s">
        <v>3217</v>
      </c>
      <c r="C12" t="s">
        <v>9</v>
      </c>
      <c r="D12" t="s">
        <v>1570</v>
      </c>
      <c r="E12" t="s">
        <v>5867</v>
      </c>
    </row>
    <row r="13" spans="1:5" ht="15" customHeight="1">
      <c r="A13">
        <v>11</v>
      </c>
      <c r="B13" t="s">
        <v>3221</v>
      </c>
      <c r="C13" t="s">
        <v>9</v>
      </c>
      <c r="D13" t="s">
        <v>1570</v>
      </c>
      <c r="E13" t="s">
        <v>5867</v>
      </c>
    </row>
    <row r="14" spans="1:5" ht="15" customHeight="1">
      <c r="A14">
        <v>12</v>
      </c>
      <c r="B14" t="s">
        <v>4545</v>
      </c>
      <c r="C14" t="s">
        <v>9</v>
      </c>
      <c r="D14" t="s">
        <v>1570</v>
      </c>
      <c r="E14" t="s">
        <v>5867</v>
      </c>
    </row>
    <row r="15" spans="1:5" ht="15" customHeight="1">
      <c r="A15">
        <v>13</v>
      </c>
      <c r="B15" t="s">
        <v>4542</v>
      </c>
      <c r="C15" t="s">
        <v>9</v>
      </c>
      <c r="D15" t="s">
        <v>1570</v>
      </c>
      <c r="E15" t="s">
        <v>5867</v>
      </c>
    </row>
    <row r="16" spans="1:5" ht="15" customHeight="1">
      <c r="A16">
        <v>14</v>
      </c>
      <c r="B16" t="s">
        <v>3230</v>
      </c>
      <c r="C16" t="s">
        <v>9</v>
      </c>
      <c r="D16" t="s">
        <v>1570</v>
      </c>
      <c r="E16" t="s">
        <v>5867</v>
      </c>
    </row>
    <row r="17" spans="1:5" ht="15" customHeight="1">
      <c r="A17">
        <v>15</v>
      </c>
      <c r="B17" t="s">
        <v>4535</v>
      </c>
      <c r="C17" t="s">
        <v>9</v>
      </c>
      <c r="D17" t="s">
        <v>1570</v>
      </c>
      <c r="E17" t="s">
        <v>5867</v>
      </c>
    </row>
    <row r="18" spans="1:5" ht="15" customHeight="1">
      <c r="A18">
        <v>16</v>
      </c>
      <c r="B18" t="s">
        <v>3236</v>
      </c>
      <c r="C18" t="s">
        <v>9</v>
      </c>
      <c r="D18" t="s">
        <v>1570</v>
      </c>
      <c r="E18" t="s">
        <v>5867</v>
      </c>
    </row>
    <row r="19" spans="1:5" ht="15" customHeight="1">
      <c r="A19">
        <v>17</v>
      </c>
      <c r="B19" t="s">
        <v>3239</v>
      </c>
      <c r="C19" t="s">
        <v>9</v>
      </c>
      <c r="D19" t="s">
        <v>1570</v>
      </c>
      <c r="E19" t="s">
        <v>5867</v>
      </c>
    </row>
    <row r="20" spans="1:5" ht="15" customHeight="1">
      <c r="A20">
        <v>18</v>
      </c>
      <c r="B20" t="s">
        <v>3242</v>
      </c>
      <c r="C20" t="s">
        <v>9</v>
      </c>
      <c r="D20" t="s">
        <v>1570</v>
      </c>
      <c r="E20" t="s">
        <v>5867</v>
      </c>
    </row>
    <row r="21" spans="1:5" ht="15" customHeight="1">
      <c r="A21">
        <v>19</v>
      </c>
      <c r="B21" t="s">
        <v>4574</v>
      </c>
      <c r="C21" t="s">
        <v>9</v>
      </c>
      <c r="D21" t="s">
        <v>1570</v>
      </c>
      <c r="E21" t="s">
        <v>5867</v>
      </c>
    </row>
    <row r="22" spans="1:5" ht="15" customHeight="1">
      <c r="A22">
        <v>20</v>
      </c>
      <c r="B22" t="s">
        <v>3245</v>
      </c>
      <c r="C22" t="s">
        <v>9</v>
      </c>
      <c r="D22" t="s">
        <v>1570</v>
      </c>
      <c r="E22" t="s">
        <v>5867</v>
      </c>
    </row>
    <row r="23" spans="1:5" ht="15" customHeight="1">
      <c r="A23">
        <v>21</v>
      </c>
      <c r="B23" t="s">
        <v>4577</v>
      </c>
      <c r="C23" t="s">
        <v>9</v>
      </c>
      <c r="D23" t="s">
        <v>1570</v>
      </c>
      <c r="E23" t="s">
        <v>5867</v>
      </c>
    </row>
    <row r="24" spans="1:5" ht="15" customHeight="1">
      <c r="A24">
        <v>22</v>
      </c>
      <c r="B24" t="s">
        <v>4587</v>
      </c>
      <c r="C24" t="s">
        <v>9</v>
      </c>
      <c r="D24" t="s">
        <v>1570</v>
      </c>
      <c r="E24" t="s">
        <v>5867</v>
      </c>
    </row>
    <row r="25" spans="1:5" ht="15" customHeight="1">
      <c r="A25">
        <v>23</v>
      </c>
      <c r="B25" t="s">
        <v>3097</v>
      </c>
      <c r="C25" t="s">
        <v>9</v>
      </c>
      <c r="D25" t="s">
        <v>1570</v>
      </c>
      <c r="E25" t="s">
        <v>5867</v>
      </c>
    </row>
    <row r="26" spans="1:5" ht="15" customHeight="1">
      <c r="A26">
        <v>24</v>
      </c>
      <c r="B26" t="s">
        <v>3100</v>
      </c>
      <c r="C26" t="s">
        <v>9</v>
      </c>
      <c r="D26" t="s">
        <v>1570</v>
      </c>
      <c r="E26" t="s">
        <v>5867</v>
      </c>
    </row>
    <row r="27" spans="1:5" ht="15" customHeight="1">
      <c r="A27">
        <v>25</v>
      </c>
      <c r="B27" t="s">
        <v>4645</v>
      </c>
      <c r="C27" t="s">
        <v>9</v>
      </c>
      <c r="D27" t="s">
        <v>1570</v>
      </c>
      <c r="E27" t="s">
        <v>5867</v>
      </c>
    </row>
    <row r="28" spans="1:5" ht="15" customHeight="1">
      <c r="A28">
        <v>26</v>
      </c>
      <c r="B28" t="s">
        <v>4641</v>
      </c>
      <c r="C28" t="s">
        <v>9</v>
      </c>
      <c r="D28" t="s">
        <v>1570</v>
      </c>
      <c r="E28" t="s">
        <v>5867</v>
      </c>
    </row>
    <row r="29" spans="1:5" ht="15" customHeight="1">
      <c r="A29">
        <v>27</v>
      </c>
      <c r="B29" t="s">
        <v>3111</v>
      </c>
      <c r="C29" t="s">
        <v>9</v>
      </c>
      <c r="D29" t="s">
        <v>1570</v>
      </c>
      <c r="E29" t="s">
        <v>5867</v>
      </c>
    </row>
    <row r="30" spans="1:5" ht="15" customHeight="1">
      <c r="A30">
        <v>28</v>
      </c>
      <c r="B30" t="s">
        <v>3114</v>
      </c>
      <c r="C30" t="s">
        <v>9</v>
      </c>
      <c r="D30" t="s">
        <v>1570</v>
      </c>
      <c r="E30" t="s">
        <v>5867</v>
      </c>
    </row>
    <row r="31" spans="1:5" ht="15" customHeight="1">
      <c r="A31">
        <v>29</v>
      </c>
      <c r="B31" t="s">
        <v>4638</v>
      </c>
      <c r="C31" t="s">
        <v>9</v>
      </c>
      <c r="D31" t="s">
        <v>1570</v>
      </c>
      <c r="E31" t="s">
        <v>5867</v>
      </c>
    </row>
    <row r="32" spans="1:5" ht="15" customHeight="1">
      <c r="A32">
        <v>30</v>
      </c>
      <c r="B32" t="s">
        <v>3120</v>
      </c>
      <c r="C32" t="s">
        <v>9</v>
      </c>
      <c r="D32" t="s">
        <v>1570</v>
      </c>
      <c r="E32" t="s">
        <v>5867</v>
      </c>
    </row>
    <row r="33" spans="1:5" ht="15" customHeight="1">
      <c r="A33">
        <v>31</v>
      </c>
      <c r="B33" t="s">
        <v>4635</v>
      </c>
      <c r="C33" t="s">
        <v>9</v>
      </c>
      <c r="D33" t="s">
        <v>1570</v>
      </c>
      <c r="E33" t="s">
        <v>5867</v>
      </c>
    </row>
    <row r="34" spans="1:5" ht="15" customHeight="1">
      <c r="A34">
        <v>32</v>
      </c>
      <c r="B34" t="s">
        <v>3130</v>
      </c>
      <c r="C34" t="s">
        <v>9</v>
      </c>
      <c r="D34" t="s">
        <v>1570</v>
      </c>
      <c r="E34" t="s">
        <v>5867</v>
      </c>
    </row>
    <row r="35" spans="1:5" ht="15" customHeight="1">
      <c r="A35">
        <v>33</v>
      </c>
      <c r="B35" t="s">
        <v>3136</v>
      </c>
      <c r="C35" t="s">
        <v>9</v>
      </c>
      <c r="D35" t="s">
        <v>1570</v>
      </c>
      <c r="E35" t="s">
        <v>5867</v>
      </c>
    </row>
    <row r="36" spans="1:5" ht="15" customHeight="1">
      <c r="A36">
        <v>34</v>
      </c>
      <c r="B36" t="s">
        <v>4628</v>
      </c>
      <c r="C36" t="s">
        <v>9</v>
      </c>
      <c r="D36" t="s">
        <v>1570</v>
      </c>
      <c r="E36" t="s">
        <v>5867</v>
      </c>
    </row>
    <row r="37" spans="1:5" ht="15" customHeight="1">
      <c r="A37">
        <v>35</v>
      </c>
      <c r="B37" t="s">
        <v>4620</v>
      </c>
      <c r="C37" t="s">
        <v>9</v>
      </c>
      <c r="D37" t="s">
        <v>1570</v>
      </c>
      <c r="E37" t="s">
        <v>5867</v>
      </c>
    </row>
    <row r="38" spans="1:5" ht="15" customHeight="1">
      <c r="A38">
        <v>36</v>
      </c>
      <c r="B38" t="s">
        <v>3152</v>
      </c>
      <c r="C38" t="s">
        <v>9</v>
      </c>
      <c r="D38" t="s">
        <v>1570</v>
      </c>
      <c r="E38" t="s">
        <v>5867</v>
      </c>
    </row>
    <row r="39" spans="1:5" ht="15" customHeight="1">
      <c r="A39">
        <v>37</v>
      </c>
      <c r="B39" t="s">
        <v>4607</v>
      </c>
      <c r="C39" t="s">
        <v>9</v>
      </c>
      <c r="D39" t="s">
        <v>1570</v>
      </c>
      <c r="E39" t="s">
        <v>5867</v>
      </c>
    </row>
    <row r="40" spans="1:5" ht="15" customHeight="1">
      <c r="A40">
        <v>38</v>
      </c>
      <c r="B40" t="s">
        <v>4604</v>
      </c>
      <c r="C40" t="s">
        <v>9</v>
      </c>
      <c r="D40" t="s">
        <v>1570</v>
      </c>
      <c r="E40" t="s">
        <v>5867</v>
      </c>
    </row>
    <row r="41" spans="1:5" ht="15" customHeight="1">
      <c r="A41">
        <v>39</v>
      </c>
      <c r="B41" t="s">
        <v>4590</v>
      </c>
      <c r="C41" t="s">
        <v>9</v>
      </c>
      <c r="D41" t="s">
        <v>1570</v>
      </c>
      <c r="E41" t="s">
        <v>5867</v>
      </c>
    </row>
    <row r="42" spans="1:5" ht="15" customHeight="1">
      <c r="A42">
        <v>40</v>
      </c>
      <c r="B42" t="s">
        <v>4583</v>
      </c>
      <c r="C42" t="s">
        <v>9</v>
      </c>
      <c r="D42" t="s">
        <v>1570</v>
      </c>
      <c r="E42" t="s">
        <v>5867</v>
      </c>
    </row>
    <row r="43" spans="1:5" ht="15" customHeight="1">
      <c r="A43">
        <v>41</v>
      </c>
      <c r="B43" t="s">
        <v>3248</v>
      </c>
      <c r="C43" t="s">
        <v>9</v>
      </c>
      <c r="D43" t="s">
        <v>1570</v>
      </c>
      <c r="E43" t="s">
        <v>5867</v>
      </c>
    </row>
    <row r="44" spans="1:5" ht="15" customHeight="1">
      <c r="A44">
        <v>42</v>
      </c>
      <c r="B44" t="s">
        <v>3251</v>
      </c>
      <c r="C44" t="s">
        <v>9</v>
      </c>
      <c r="D44" t="s">
        <v>1570</v>
      </c>
      <c r="E44" t="s">
        <v>5867</v>
      </c>
    </row>
    <row r="45" spans="1:5" ht="15" customHeight="1">
      <c r="A45">
        <v>43</v>
      </c>
      <c r="B45" t="s">
        <v>4532</v>
      </c>
      <c r="C45" t="s">
        <v>9</v>
      </c>
      <c r="D45" t="s">
        <v>1570</v>
      </c>
      <c r="E45" t="s">
        <v>5867</v>
      </c>
    </row>
    <row r="46" spans="1:5" ht="15" customHeight="1">
      <c r="A46">
        <v>44</v>
      </c>
      <c r="B46" t="s">
        <v>4486</v>
      </c>
      <c r="C46" t="s">
        <v>9</v>
      </c>
      <c r="D46" t="s">
        <v>1570</v>
      </c>
      <c r="E46" t="s">
        <v>5867</v>
      </c>
    </row>
    <row r="47" spans="1:5" ht="15" customHeight="1">
      <c r="A47">
        <v>45</v>
      </c>
      <c r="B47" t="s">
        <v>4476</v>
      </c>
      <c r="C47" t="s">
        <v>9</v>
      </c>
      <c r="D47" t="s">
        <v>1570</v>
      </c>
      <c r="E47" t="s">
        <v>5867</v>
      </c>
    </row>
    <row r="48" spans="1:5" ht="15" customHeight="1">
      <c r="A48">
        <v>46</v>
      </c>
      <c r="B48" t="s">
        <v>4465</v>
      </c>
      <c r="C48" t="s">
        <v>9</v>
      </c>
      <c r="D48" t="s">
        <v>1570</v>
      </c>
      <c r="E48" t="s">
        <v>5867</v>
      </c>
    </row>
    <row r="49" spans="1:5" ht="15" customHeight="1">
      <c r="A49">
        <v>47</v>
      </c>
      <c r="B49" t="s">
        <v>3356</v>
      </c>
      <c r="C49" t="s">
        <v>9</v>
      </c>
      <c r="D49" t="s">
        <v>1570</v>
      </c>
      <c r="E49" t="s">
        <v>5867</v>
      </c>
    </row>
    <row r="50" spans="1:5" ht="15" customHeight="1">
      <c r="A50">
        <v>48</v>
      </c>
      <c r="B50" t="s">
        <v>3359</v>
      </c>
      <c r="C50" t="s">
        <v>9</v>
      </c>
      <c r="D50" t="s">
        <v>1570</v>
      </c>
      <c r="E50" t="s">
        <v>5867</v>
      </c>
    </row>
    <row r="51" spans="1:5" ht="15" customHeight="1">
      <c r="A51">
        <v>49</v>
      </c>
      <c r="B51" t="s">
        <v>3362</v>
      </c>
      <c r="C51" t="s">
        <v>9</v>
      </c>
      <c r="D51" t="s">
        <v>1570</v>
      </c>
      <c r="E51" t="s">
        <v>5867</v>
      </c>
    </row>
    <row r="52" spans="1:5" ht="15" customHeight="1">
      <c r="A52">
        <v>50</v>
      </c>
      <c r="B52" t="s">
        <v>4462</v>
      </c>
      <c r="C52" t="s">
        <v>9</v>
      </c>
      <c r="D52" t="s">
        <v>1570</v>
      </c>
      <c r="E52" t="s">
        <v>5867</v>
      </c>
    </row>
    <row r="53" spans="1:5" ht="15" customHeight="1">
      <c r="A53">
        <v>51</v>
      </c>
      <c r="B53" t="s">
        <v>4456</v>
      </c>
      <c r="C53" t="s">
        <v>9</v>
      </c>
      <c r="D53" t="s">
        <v>1570</v>
      </c>
      <c r="E53" t="s">
        <v>5867</v>
      </c>
    </row>
    <row r="54" spans="1:5" ht="15" customHeight="1">
      <c r="A54">
        <v>52</v>
      </c>
      <c r="B54" t="s">
        <v>3375</v>
      </c>
      <c r="C54" t="s">
        <v>9</v>
      </c>
      <c r="D54" t="s">
        <v>1570</v>
      </c>
      <c r="E54" t="s">
        <v>5867</v>
      </c>
    </row>
    <row r="55" spans="1:5" ht="15" customHeight="1">
      <c r="A55">
        <v>53</v>
      </c>
      <c r="B55" t="s">
        <v>3379</v>
      </c>
      <c r="C55" t="s">
        <v>9</v>
      </c>
      <c r="D55" t="s">
        <v>1570</v>
      </c>
      <c r="E55" t="s">
        <v>5867</v>
      </c>
    </row>
    <row r="56" spans="1:5" ht="15" customHeight="1">
      <c r="A56">
        <v>54</v>
      </c>
      <c r="B56" t="s">
        <v>3382</v>
      </c>
      <c r="C56" t="s">
        <v>9</v>
      </c>
      <c r="D56" t="s">
        <v>1570</v>
      </c>
      <c r="E56" t="s">
        <v>5867</v>
      </c>
    </row>
    <row r="57" spans="1:5" ht="15" customHeight="1">
      <c r="A57">
        <v>55</v>
      </c>
      <c r="B57" t="s">
        <v>3385</v>
      </c>
      <c r="C57" t="s">
        <v>9</v>
      </c>
      <c r="D57" t="s">
        <v>1570</v>
      </c>
      <c r="E57" t="s">
        <v>5867</v>
      </c>
    </row>
    <row r="58" spans="1:5" ht="15" customHeight="1">
      <c r="A58">
        <v>56</v>
      </c>
      <c r="B58" t="s">
        <v>4453</v>
      </c>
      <c r="C58" t="s">
        <v>9</v>
      </c>
      <c r="D58" t="s">
        <v>1570</v>
      </c>
      <c r="E58" t="s">
        <v>5867</v>
      </c>
    </row>
    <row r="59" spans="1:5" ht="15" customHeight="1">
      <c r="A59">
        <v>57</v>
      </c>
      <c r="B59" t="s">
        <v>3391</v>
      </c>
      <c r="C59" t="s">
        <v>9</v>
      </c>
      <c r="D59" t="s">
        <v>1570</v>
      </c>
      <c r="E59" t="s">
        <v>5867</v>
      </c>
    </row>
    <row r="60" spans="1:5" ht="15" customHeight="1">
      <c r="A60">
        <v>58</v>
      </c>
      <c r="B60" t="s">
        <v>3394</v>
      </c>
      <c r="C60" t="s">
        <v>9</v>
      </c>
      <c r="D60" t="s">
        <v>1570</v>
      </c>
      <c r="E60" t="s">
        <v>5867</v>
      </c>
    </row>
    <row r="61" spans="1:5" ht="15" customHeight="1">
      <c r="A61">
        <v>59</v>
      </c>
      <c r="B61" t="s">
        <v>4445</v>
      </c>
      <c r="C61" t="s">
        <v>9</v>
      </c>
      <c r="D61" t="s">
        <v>1570</v>
      </c>
      <c r="E61" t="s">
        <v>5867</v>
      </c>
    </row>
    <row r="62" spans="1:5" ht="15" customHeight="1">
      <c r="A62">
        <v>60</v>
      </c>
      <c r="B62" t="s">
        <v>3401</v>
      </c>
      <c r="C62" t="s">
        <v>9</v>
      </c>
      <c r="D62" t="s">
        <v>1570</v>
      </c>
      <c r="E62" t="s">
        <v>5867</v>
      </c>
    </row>
    <row r="63" spans="1:5" ht="15" customHeight="1">
      <c r="A63">
        <v>61</v>
      </c>
      <c r="B63" t="s">
        <v>3343</v>
      </c>
      <c r="C63" t="s">
        <v>9</v>
      </c>
      <c r="D63" t="s">
        <v>1570</v>
      </c>
      <c r="E63" t="s">
        <v>5867</v>
      </c>
    </row>
    <row r="64" spans="1:5" ht="15" customHeight="1">
      <c r="A64">
        <v>62</v>
      </c>
      <c r="B64" t="s">
        <v>4489</v>
      </c>
      <c r="C64" t="s">
        <v>9</v>
      </c>
      <c r="D64" t="s">
        <v>1570</v>
      </c>
      <c r="E64" t="s">
        <v>5867</v>
      </c>
    </row>
    <row r="65" spans="1:5" ht="15" customHeight="1">
      <c r="A65">
        <v>63</v>
      </c>
      <c r="B65" t="s">
        <v>3333</v>
      </c>
      <c r="C65" t="s">
        <v>9</v>
      </c>
      <c r="D65" t="s">
        <v>1570</v>
      </c>
      <c r="E65" t="s">
        <v>5867</v>
      </c>
    </row>
    <row r="66" spans="1:5" ht="15" customHeight="1">
      <c r="A66">
        <v>64</v>
      </c>
      <c r="B66" t="s">
        <v>4499</v>
      </c>
      <c r="C66" t="s">
        <v>9</v>
      </c>
      <c r="D66" t="s">
        <v>1570</v>
      </c>
      <c r="E66" t="s">
        <v>5867</v>
      </c>
    </row>
    <row r="67" spans="1:5" ht="15" customHeight="1">
      <c r="A67">
        <v>65</v>
      </c>
      <c r="B67" t="s">
        <v>3258</v>
      </c>
      <c r="C67" t="s">
        <v>9</v>
      </c>
      <c r="D67" t="s">
        <v>1570</v>
      </c>
      <c r="E67" t="s">
        <v>5867</v>
      </c>
    </row>
    <row r="68" spans="1:5" ht="15" customHeight="1">
      <c r="A68">
        <v>66</v>
      </c>
      <c r="B68" t="s">
        <v>4529</v>
      </c>
      <c r="C68" t="s">
        <v>9</v>
      </c>
      <c r="D68" t="s">
        <v>1570</v>
      </c>
      <c r="E68" t="s">
        <v>5867</v>
      </c>
    </row>
    <row r="69" spans="1:5" ht="15" customHeight="1">
      <c r="A69">
        <v>67</v>
      </c>
      <c r="B69" t="s">
        <v>4523</v>
      </c>
      <c r="C69" t="s">
        <v>9</v>
      </c>
      <c r="D69" t="s">
        <v>1570</v>
      </c>
      <c r="E69" t="s">
        <v>5867</v>
      </c>
    </row>
    <row r="70" spans="1:5" ht="15" customHeight="1">
      <c r="A70">
        <v>68</v>
      </c>
      <c r="B70" t="s">
        <v>3268</v>
      </c>
      <c r="C70" t="s">
        <v>9</v>
      </c>
      <c r="D70" t="s">
        <v>1570</v>
      </c>
      <c r="E70" t="s">
        <v>5867</v>
      </c>
    </row>
    <row r="71" spans="1:5" ht="15" customHeight="1">
      <c r="A71">
        <v>69</v>
      </c>
      <c r="B71" t="s">
        <v>3274</v>
      </c>
      <c r="C71" t="s">
        <v>9</v>
      </c>
      <c r="D71" t="s">
        <v>1570</v>
      </c>
      <c r="E71" t="s">
        <v>5867</v>
      </c>
    </row>
    <row r="72" spans="1:5" ht="15" customHeight="1">
      <c r="A72">
        <v>70</v>
      </c>
      <c r="B72" t="s">
        <v>3277</v>
      </c>
      <c r="C72" t="s">
        <v>9</v>
      </c>
      <c r="D72" t="s">
        <v>1570</v>
      </c>
      <c r="E72" t="s">
        <v>5867</v>
      </c>
    </row>
    <row r="73" spans="1:5" ht="15" customHeight="1">
      <c r="A73">
        <v>71</v>
      </c>
      <c r="B73" t="s">
        <v>3280</v>
      </c>
      <c r="C73" t="s">
        <v>9</v>
      </c>
      <c r="D73" t="s">
        <v>1570</v>
      </c>
      <c r="E73" t="s">
        <v>5867</v>
      </c>
    </row>
    <row r="74" spans="1:5" ht="15" customHeight="1">
      <c r="A74">
        <v>72</v>
      </c>
      <c r="B74" t="s">
        <v>3283</v>
      </c>
      <c r="C74" t="s">
        <v>9</v>
      </c>
      <c r="D74" t="s">
        <v>1570</v>
      </c>
      <c r="E74" t="s">
        <v>5867</v>
      </c>
    </row>
    <row r="75" spans="1:5" ht="15" customHeight="1">
      <c r="A75">
        <v>73</v>
      </c>
      <c r="B75" t="s">
        <v>3094</v>
      </c>
      <c r="C75" t="s">
        <v>9</v>
      </c>
      <c r="D75" t="s">
        <v>1570</v>
      </c>
      <c r="E75" t="s">
        <v>5867</v>
      </c>
    </row>
    <row r="76" spans="1:5" ht="15" customHeight="1">
      <c r="A76">
        <v>74</v>
      </c>
      <c r="B76" t="s">
        <v>4516</v>
      </c>
      <c r="C76" t="s">
        <v>9</v>
      </c>
      <c r="D76" t="s">
        <v>1570</v>
      </c>
      <c r="E76" t="s">
        <v>5867</v>
      </c>
    </row>
    <row r="77" spans="1:5" ht="15" customHeight="1">
      <c r="A77">
        <v>75</v>
      </c>
      <c r="B77" t="s">
        <v>3299</v>
      </c>
      <c r="C77" t="s">
        <v>9</v>
      </c>
      <c r="D77" t="s">
        <v>1570</v>
      </c>
      <c r="E77" t="s">
        <v>5867</v>
      </c>
    </row>
    <row r="78" spans="1:5" ht="15" customHeight="1">
      <c r="A78">
        <v>76</v>
      </c>
      <c r="B78" t="s">
        <v>3301</v>
      </c>
      <c r="C78" t="s">
        <v>9</v>
      </c>
      <c r="D78" t="s">
        <v>1570</v>
      </c>
      <c r="E78" t="s">
        <v>5867</v>
      </c>
    </row>
    <row r="79" spans="1:5" ht="15" customHeight="1">
      <c r="A79">
        <v>77</v>
      </c>
      <c r="B79" t="s">
        <v>3305</v>
      </c>
      <c r="C79" t="s">
        <v>9</v>
      </c>
      <c r="D79" t="s">
        <v>1570</v>
      </c>
      <c r="E79" t="s">
        <v>5867</v>
      </c>
    </row>
    <row r="80" spans="1:5" ht="15" customHeight="1">
      <c r="A80">
        <v>78</v>
      </c>
      <c r="B80" t="s">
        <v>3312</v>
      </c>
      <c r="C80" t="s">
        <v>9</v>
      </c>
      <c r="D80" t="s">
        <v>1570</v>
      </c>
      <c r="E80" t="s">
        <v>5867</v>
      </c>
    </row>
    <row r="81" spans="1:5" ht="15" customHeight="1">
      <c r="A81">
        <v>79</v>
      </c>
      <c r="B81" t="s">
        <v>3316</v>
      </c>
      <c r="C81" t="s">
        <v>9</v>
      </c>
      <c r="D81" t="s">
        <v>1570</v>
      </c>
      <c r="E81" t="s">
        <v>5867</v>
      </c>
    </row>
    <row r="82" spans="1:5" ht="15" customHeight="1">
      <c r="A82">
        <v>80</v>
      </c>
      <c r="B82" t="s">
        <v>4502</v>
      </c>
      <c r="C82" t="s">
        <v>9</v>
      </c>
      <c r="D82" t="s">
        <v>1570</v>
      </c>
      <c r="E82" t="s">
        <v>5867</v>
      </c>
    </row>
    <row r="83" spans="1:5" ht="15" customHeight="1">
      <c r="A83">
        <v>81</v>
      </c>
      <c r="B83" t="s">
        <v>3323</v>
      </c>
      <c r="C83" t="s">
        <v>9</v>
      </c>
      <c r="D83" t="s">
        <v>1570</v>
      </c>
      <c r="E83" t="s">
        <v>5867</v>
      </c>
    </row>
    <row r="84" spans="1:5" ht="15" customHeight="1">
      <c r="A84">
        <v>82</v>
      </c>
      <c r="B84" t="s">
        <v>3326</v>
      </c>
      <c r="C84" t="s">
        <v>9</v>
      </c>
      <c r="D84" t="s">
        <v>1570</v>
      </c>
      <c r="E84" t="s">
        <v>5867</v>
      </c>
    </row>
    <row r="85" spans="1:5" ht="15" customHeight="1">
      <c r="A85">
        <v>83</v>
      </c>
      <c r="B85" t="s">
        <v>3295</v>
      </c>
      <c r="C85" t="s">
        <v>9</v>
      </c>
      <c r="D85" t="s">
        <v>1570</v>
      </c>
      <c r="E85" t="s">
        <v>5867</v>
      </c>
    </row>
    <row r="86" spans="1:5" ht="15" customHeight="1">
      <c r="A86">
        <v>84</v>
      </c>
      <c r="B86" t="s">
        <v>3404</v>
      </c>
      <c r="C86" t="s">
        <v>9</v>
      </c>
      <c r="D86" t="s">
        <v>1570</v>
      </c>
      <c r="E86" t="s">
        <v>5867</v>
      </c>
    </row>
    <row r="87" spans="1:5" ht="15" customHeight="1">
      <c r="A87">
        <v>85</v>
      </c>
      <c r="B87" t="s">
        <v>4654</v>
      </c>
      <c r="C87" t="s">
        <v>9</v>
      </c>
      <c r="D87" t="s">
        <v>1570</v>
      </c>
      <c r="E87" t="s">
        <v>5867</v>
      </c>
    </row>
    <row r="88" spans="1:5" ht="15" customHeight="1">
      <c r="A88">
        <v>86</v>
      </c>
      <c r="B88" t="s">
        <v>3080</v>
      </c>
      <c r="C88" t="s">
        <v>9</v>
      </c>
      <c r="D88" t="s">
        <v>1570</v>
      </c>
      <c r="E88" t="s">
        <v>5867</v>
      </c>
    </row>
    <row r="89" spans="1:5" ht="15" customHeight="1">
      <c r="A89">
        <v>87</v>
      </c>
      <c r="B89" t="s">
        <v>2858</v>
      </c>
      <c r="C89" t="s">
        <v>9</v>
      </c>
      <c r="D89" t="s">
        <v>1570</v>
      </c>
      <c r="E89" t="s">
        <v>5867</v>
      </c>
    </row>
    <row r="90" spans="1:5" ht="15" customHeight="1">
      <c r="A90">
        <v>88</v>
      </c>
      <c r="B90" t="s">
        <v>2862</v>
      </c>
      <c r="C90" t="s">
        <v>9</v>
      </c>
      <c r="D90" t="s">
        <v>1570</v>
      </c>
      <c r="E90" t="s">
        <v>5867</v>
      </c>
    </row>
    <row r="91" spans="1:5" ht="15" customHeight="1">
      <c r="A91">
        <v>89</v>
      </c>
      <c r="B91" t="s">
        <v>2866</v>
      </c>
      <c r="C91" t="s">
        <v>9</v>
      </c>
      <c r="D91" t="s">
        <v>1570</v>
      </c>
      <c r="E91" t="s">
        <v>5867</v>
      </c>
    </row>
    <row r="92" spans="1:5" ht="15" customHeight="1">
      <c r="A92">
        <v>90</v>
      </c>
      <c r="B92" t="s">
        <v>4734</v>
      </c>
      <c r="C92" t="s">
        <v>9</v>
      </c>
      <c r="D92" t="s">
        <v>1570</v>
      </c>
      <c r="E92" t="s">
        <v>5867</v>
      </c>
    </row>
    <row r="93" spans="1:5" ht="15" customHeight="1">
      <c r="A93">
        <v>91</v>
      </c>
      <c r="B93" t="s">
        <v>2873</v>
      </c>
      <c r="C93" t="s">
        <v>9</v>
      </c>
      <c r="D93" t="s">
        <v>1570</v>
      </c>
      <c r="E93" t="s">
        <v>5867</v>
      </c>
    </row>
    <row r="94" spans="1:5" ht="15" customHeight="1">
      <c r="A94">
        <v>92</v>
      </c>
      <c r="B94" t="s">
        <v>2876</v>
      </c>
      <c r="C94" t="s">
        <v>9</v>
      </c>
      <c r="D94" t="s">
        <v>1570</v>
      </c>
      <c r="E94" t="s">
        <v>5867</v>
      </c>
    </row>
    <row r="95" spans="1:5" ht="15" customHeight="1">
      <c r="A95">
        <v>93</v>
      </c>
      <c r="B95" t="s">
        <v>2880</v>
      </c>
      <c r="C95" t="s">
        <v>9</v>
      </c>
      <c r="D95" t="s">
        <v>1570</v>
      </c>
      <c r="E95" t="s">
        <v>5867</v>
      </c>
    </row>
    <row r="96" spans="1:5" ht="15" customHeight="1">
      <c r="A96">
        <v>94</v>
      </c>
      <c r="B96" t="s">
        <v>2884</v>
      </c>
      <c r="C96" t="s">
        <v>9</v>
      </c>
      <c r="D96" t="s">
        <v>1570</v>
      </c>
      <c r="E96" t="s">
        <v>5867</v>
      </c>
    </row>
    <row r="97" spans="1:5" ht="15" customHeight="1">
      <c r="A97">
        <v>95</v>
      </c>
      <c r="B97" t="s">
        <v>2888</v>
      </c>
      <c r="C97" t="s">
        <v>9</v>
      </c>
      <c r="D97" t="s">
        <v>1570</v>
      </c>
      <c r="E97" t="s">
        <v>5867</v>
      </c>
    </row>
    <row r="98" spans="1:5" ht="15" customHeight="1">
      <c r="A98">
        <v>96</v>
      </c>
      <c r="B98" t="s">
        <v>2892</v>
      </c>
      <c r="C98" t="s">
        <v>9</v>
      </c>
      <c r="D98" t="s">
        <v>1570</v>
      </c>
      <c r="E98" t="s">
        <v>5867</v>
      </c>
    </row>
    <row r="99" spans="1:5" ht="15" customHeight="1">
      <c r="A99">
        <v>97</v>
      </c>
      <c r="B99" t="s">
        <v>4732</v>
      </c>
      <c r="C99" t="s">
        <v>9</v>
      </c>
      <c r="D99" t="s">
        <v>1570</v>
      </c>
      <c r="E99" t="s">
        <v>5867</v>
      </c>
    </row>
    <row r="100" spans="1:5" ht="15" customHeight="1">
      <c r="A100">
        <v>98</v>
      </c>
      <c r="B100" t="s">
        <v>2899</v>
      </c>
      <c r="C100" t="s">
        <v>9</v>
      </c>
      <c r="D100" t="s">
        <v>1570</v>
      </c>
      <c r="E100" t="s">
        <v>5867</v>
      </c>
    </row>
    <row r="101" spans="1:5" ht="15" customHeight="1">
      <c r="A101">
        <v>99</v>
      </c>
      <c r="B101" t="s">
        <v>4728</v>
      </c>
      <c r="C101" t="s">
        <v>9</v>
      </c>
      <c r="D101" t="s">
        <v>1570</v>
      </c>
      <c r="E101" t="s">
        <v>5867</v>
      </c>
    </row>
    <row r="102" spans="1:5" ht="15" customHeight="1">
      <c r="A102">
        <v>100</v>
      </c>
      <c r="B102" t="s">
        <v>2906</v>
      </c>
      <c r="C102" t="s">
        <v>9</v>
      </c>
      <c r="D102" t="s">
        <v>1570</v>
      </c>
      <c r="E102" t="s">
        <v>5867</v>
      </c>
    </row>
    <row r="103" spans="1:5" ht="15" customHeight="1">
      <c r="A103">
        <v>101</v>
      </c>
      <c r="B103" t="s">
        <v>2910</v>
      </c>
      <c r="C103" t="s">
        <v>9</v>
      </c>
      <c r="D103" t="s">
        <v>1570</v>
      </c>
      <c r="E103" t="s">
        <v>5867</v>
      </c>
    </row>
    <row r="104" spans="1:5" ht="15" customHeight="1">
      <c r="A104">
        <v>102</v>
      </c>
      <c r="B104" t="s">
        <v>2914</v>
      </c>
      <c r="C104" t="s">
        <v>9</v>
      </c>
      <c r="D104" t="s">
        <v>1570</v>
      </c>
      <c r="E104" t="s">
        <v>5867</v>
      </c>
    </row>
    <row r="105" spans="1:5" ht="15" customHeight="1">
      <c r="A105">
        <v>103</v>
      </c>
      <c r="B105" t="s">
        <v>4725</v>
      </c>
      <c r="C105" t="s">
        <v>9</v>
      </c>
      <c r="D105" t="s">
        <v>1570</v>
      </c>
      <c r="E105" t="s">
        <v>5867</v>
      </c>
    </row>
    <row r="106" spans="1:5" ht="15" customHeight="1">
      <c r="A106">
        <v>104</v>
      </c>
      <c r="B106" t="s">
        <v>4737</v>
      </c>
      <c r="C106" t="s">
        <v>9</v>
      </c>
      <c r="D106" t="s">
        <v>1570</v>
      </c>
      <c r="E106" t="s">
        <v>5867</v>
      </c>
    </row>
    <row r="107" spans="1:5" ht="15" customHeight="1">
      <c r="A107">
        <v>105</v>
      </c>
      <c r="B107" t="s">
        <v>2925</v>
      </c>
      <c r="C107" t="s">
        <v>9</v>
      </c>
      <c r="D107" t="s">
        <v>1570</v>
      </c>
      <c r="E107" t="s">
        <v>5867</v>
      </c>
    </row>
    <row r="108" spans="1:5" ht="15" customHeight="1">
      <c r="A108">
        <v>106</v>
      </c>
      <c r="B108" t="s">
        <v>4741</v>
      </c>
      <c r="C108" t="s">
        <v>9</v>
      </c>
      <c r="D108" t="s">
        <v>1570</v>
      </c>
      <c r="E108" t="s">
        <v>5867</v>
      </c>
    </row>
    <row r="109" spans="1:5" ht="15" customHeight="1">
      <c r="A109">
        <v>107</v>
      </c>
      <c r="B109" t="s">
        <v>2843</v>
      </c>
      <c r="C109" t="s">
        <v>9</v>
      </c>
      <c r="D109" t="s">
        <v>1570</v>
      </c>
      <c r="E109" t="s">
        <v>5867</v>
      </c>
    </row>
    <row r="110" spans="1:5" ht="15" customHeight="1">
      <c r="A110">
        <v>108</v>
      </c>
      <c r="B110" t="s">
        <v>2778</v>
      </c>
      <c r="C110" t="s">
        <v>9</v>
      </c>
      <c r="D110" t="s">
        <v>1570</v>
      </c>
      <c r="E110" t="s">
        <v>5867</v>
      </c>
    </row>
    <row r="111" spans="1:5" ht="15" customHeight="1">
      <c r="A111">
        <v>109</v>
      </c>
      <c r="B111" t="s">
        <v>2781</v>
      </c>
      <c r="C111" t="s">
        <v>9</v>
      </c>
      <c r="D111" t="s">
        <v>1570</v>
      </c>
      <c r="E111" t="s">
        <v>5867</v>
      </c>
    </row>
    <row r="112" spans="1:5" ht="15" customHeight="1">
      <c r="A112">
        <v>110</v>
      </c>
      <c r="B112" t="s">
        <v>2785</v>
      </c>
      <c r="C112" t="s">
        <v>9</v>
      </c>
      <c r="D112" t="s">
        <v>1570</v>
      </c>
      <c r="E112" t="s">
        <v>5867</v>
      </c>
    </row>
    <row r="113" spans="1:5" ht="15" customHeight="1">
      <c r="A113">
        <v>111</v>
      </c>
      <c r="B113" t="s">
        <v>2788</v>
      </c>
      <c r="C113" t="s">
        <v>9</v>
      </c>
      <c r="D113" t="s">
        <v>1570</v>
      </c>
      <c r="E113" t="s">
        <v>5867</v>
      </c>
    </row>
    <row r="114" spans="1:5" ht="15" customHeight="1">
      <c r="A114">
        <v>112</v>
      </c>
      <c r="B114" t="s">
        <v>2792</v>
      </c>
      <c r="C114" t="s">
        <v>9</v>
      </c>
      <c r="D114" t="s">
        <v>1570</v>
      </c>
      <c r="E114" t="s">
        <v>5867</v>
      </c>
    </row>
    <row r="115" spans="1:5" ht="15" customHeight="1">
      <c r="A115">
        <v>113</v>
      </c>
      <c r="B115" t="s">
        <v>2796</v>
      </c>
      <c r="C115" t="s">
        <v>9</v>
      </c>
      <c r="D115" t="s">
        <v>1570</v>
      </c>
      <c r="E115" t="s">
        <v>5867</v>
      </c>
    </row>
    <row r="116" spans="1:5" ht="15" customHeight="1">
      <c r="A116">
        <v>114</v>
      </c>
      <c r="B116" t="s">
        <v>4763</v>
      </c>
      <c r="C116" t="s">
        <v>9</v>
      </c>
      <c r="D116" t="s">
        <v>1570</v>
      </c>
      <c r="E116" t="s">
        <v>5867</v>
      </c>
    </row>
    <row r="117" spans="1:5" ht="15" customHeight="1">
      <c r="A117">
        <v>115</v>
      </c>
      <c r="B117" t="s">
        <v>4755</v>
      </c>
      <c r="C117" t="s">
        <v>9</v>
      </c>
      <c r="D117" t="s">
        <v>1570</v>
      </c>
      <c r="E117" t="s">
        <v>5867</v>
      </c>
    </row>
    <row r="118" spans="1:5" ht="15" customHeight="1">
      <c r="A118">
        <v>116</v>
      </c>
      <c r="B118" t="s">
        <v>2807</v>
      </c>
      <c r="C118" t="s">
        <v>9</v>
      </c>
      <c r="D118" t="s">
        <v>1570</v>
      </c>
      <c r="E118" t="s">
        <v>5867</v>
      </c>
    </row>
    <row r="119" spans="1:5" ht="15" customHeight="1">
      <c r="A119">
        <v>117</v>
      </c>
      <c r="B119" t="s">
        <v>2811</v>
      </c>
      <c r="C119" t="s">
        <v>9</v>
      </c>
      <c r="D119" t="s">
        <v>1570</v>
      </c>
      <c r="E119" t="s">
        <v>5867</v>
      </c>
    </row>
    <row r="120" spans="1:5" ht="15" customHeight="1">
      <c r="A120">
        <v>118</v>
      </c>
      <c r="B120" t="s">
        <v>2815</v>
      </c>
      <c r="C120" t="s">
        <v>9</v>
      </c>
      <c r="D120" t="s">
        <v>1570</v>
      </c>
      <c r="E120" t="s">
        <v>5867</v>
      </c>
    </row>
    <row r="121" spans="1:5" ht="15" customHeight="1">
      <c r="A121">
        <v>119</v>
      </c>
      <c r="B121" t="s">
        <v>2818</v>
      </c>
      <c r="C121" t="s">
        <v>9</v>
      </c>
      <c r="D121" t="s">
        <v>1570</v>
      </c>
      <c r="E121" t="s">
        <v>5867</v>
      </c>
    </row>
    <row r="122" spans="1:5" ht="15" customHeight="1">
      <c r="A122">
        <v>120</v>
      </c>
      <c r="B122" t="s">
        <v>2822</v>
      </c>
      <c r="C122" t="s">
        <v>9</v>
      </c>
      <c r="D122" t="s">
        <v>1570</v>
      </c>
      <c r="E122" t="s">
        <v>5867</v>
      </c>
    </row>
    <row r="123" spans="1:5" ht="15" customHeight="1">
      <c r="A123">
        <v>121</v>
      </c>
      <c r="B123" t="s">
        <v>4752</v>
      </c>
      <c r="C123" t="s">
        <v>9</v>
      </c>
      <c r="D123" t="s">
        <v>1570</v>
      </c>
      <c r="E123" t="s">
        <v>5867</v>
      </c>
    </row>
    <row r="124" spans="1:5" ht="15" customHeight="1">
      <c r="A124">
        <v>122</v>
      </c>
      <c r="B124" t="s">
        <v>2833</v>
      </c>
      <c r="C124" t="s">
        <v>9</v>
      </c>
      <c r="D124" t="s">
        <v>1570</v>
      </c>
      <c r="E124" t="s">
        <v>5867</v>
      </c>
    </row>
    <row r="125" spans="1:5" ht="15" customHeight="1">
      <c r="A125">
        <v>123</v>
      </c>
      <c r="B125" t="s">
        <v>2837</v>
      </c>
      <c r="C125" t="s">
        <v>9</v>
      </c>
      <c r="D125" t="s">
        <v>1570</v>
      </c>
      <c r="E125" t="s">
        <v>5867</v>
      </c>
    </row>
    <row r="126" spans="1:5" ht="15" customHeight="1">
      <c r="A126">
        <v>124</v>
      </c>
      <c r="B126" t="s">
        <v>4085</v>
      </c>
      <c r="C126" t="s">
        <v>9</v>
      </c>
      <c r="D126" t="s">
        <v>1570</v>
      </c>
      <c r="E126" t="s">
        <v>5867</v>
      </c>
    </row>
    <row r="127" spans="1:5" ht="15" customHeight="1">
      <c r="A127">
        <v>125</v>
      </c>
      <c r="B127" t="s">
        <v>4745</v>
      </c>
      <c r="C127" t="s">
        <v>9</v>
      </c>
      <c r="D127" t="s">
        <v>1570</v>
      </c>
      <c r="E127" t="s">
        <v>5867</v>
      </c>
    </row>
    <row r="128" spans="1:5" ht="15" customHeight="1">
      <c r="A128">
        <v>126</v>
      </c>
      <c r="B128" t="s">
        <v>2932</v>
      </c>
      <c r="C128" t="s">
        <v>9</v>
      </c>
      <c r="D128" t="s">
        <v>1570</v>
      </c>
      <c r="E128" t="s">
        <v>5867</v>
      </c>
    </row>
    <row r="129" spans="1:5" ht="15" customHeight="1">
      <c r="A129">
        <v>127</v>
      </c>
      <c r="B129" t="s">
        <v>2936</v>
      </c>
      <c r="C129" t="s">
        <v>9</v>
      </c>
      <c r="D129" t="s">
        <v>1570</v>
      </c>
      <c r="E129" t="s">
        <v>5867</v>
      </c>
    </row>
    <row r="130" spans="1:5" ht="15" customHeight="1">
      <c r="A130">
        <v>128</v>
      </c>
      <c r="B130" t="s">
        <v>2939</v>
      </c>
      <c r="C130" t="s">
        <v>9</v>
      </c>
      <c r="D130" t="s">
        <v>1570</v>
      </c>
      <c r="E130" t="s">
        <v>5867</v>
      </c>
    </row>
    <row r="131" spans="1:5" ht="15" customHeight="1">
      <c r="A131">
        <v>129</v>
      </c>
      <c r="B131" t="s">
        <v>3013</v>
      </c>
      <c r="C131" t="s">
        <v>9</v>
      </c>
      <c r="D131" t="s">
        <v>1570</v>
      </c>
      <c r="E131" t="s">
        <v>5867</v>
      </c>
    </row>
    <row r="132" spans="1:5" ht="15" customHeight="1">
      <c r="A132">
        <v>130</v>
      </c>
      <c r="B132" t="s">
        <v>4684</v>
      </c>
      <c r="C132" t="s">
        <v>9</v>
      </c>
      <c r="D132" t="s">
        <v>1570</v>
      </c>
      <c r="E132" t="s">
        <v>5867</v>
      </c>
    </row>
    <row r="133" spans="1:5" ht="15" customHeight="1">
      <c r="A133">
        <v>131</v>
      </c>
      <c r="B133" t="s">
        <v>4680</v>
      </c>
      <c r="C133" t="s">
        <v>9</v>
      </c>
      <c r="D133" t="s">
        <v>1570</v>
      </c>
      <c r="E133" t="s">
        <v>5867</v>
      </c>
    </row>
    <row r="134" spans="1:5" ht="15" customHeight="1">
      <c r="A134">
        <v>132</v>
      </c>
      <c r="B134" t="s">
        <v>3022</v>
      </c>
      <c r="C134" t="s">
        <v>9</v>
      </c>
      <c r="D134" t="s">
        <v>1570</v>
      </c>
      <c r="E134" t="s">
        <v>5867</v>
      </c>
    </row>
    <row r="135" spans="1:5" ht="15" customHeight="1">
      <c r="A135">
        <v>133</v>
      </c>
      <c r="B135" t="s">
        <v>3025</v>
      </c>
      <c r="C135" t="s">
        <v>9</v>
      </c>
      <c r="D135" t="s">
        <v>1570</v>
      </c>
      <c r="E135" t="s">
        <v>5867</v>
      </c>
    </row>
    <row r="136" spans="1:5" ht="15" customHeight="1">
      <c r="A136">
        <v>134</v>
      </c>
      <c r="B136" t="s">
        <v>4677</v>
      </c>
      <c r="C136" t="s">
        <v>9</v>
      </c>
      <c r="D136" t="s">
        <v>1570</v>
      </c>
      <c r="E136" t="s">
        <v>5867</v>
      </c>
    </row>
    <row r="137" spans="1:5" ht="15" customHeight="1">
      <c r="A137">
        <v>135</v>
      </c>
      <c r="B137" t="s">
        <v>3033</v>
      </c>
      <c r="C137" t="s">
        <v>9</v>
      </c>
      <c r="D137" t="s">
        <v>1570</v>
      </c>
      <c r="E137" t="s">
        <v>5867</v>
      </c>
    </row>
    <row r="138" spans="1:5" ht="15" customHeight="1">
      <c r="A138">
        <v>136</v>
      </c>
      <c r="B138" t="s">
        <v>3039</v>
      </c>
      <c r="C138" t="s">
        <v>9</v>
      </c>
      <c r="D138" t="s">
        <v>1570</v>
      </c>
      <c r="E138" t="s">
        <v>5867</v>
      </c>
    </row>
    <row r="139" spans="1:5" ht="15" customHeight="1">
      <c r="A139">
        <v>137</v>
      </c>
      <c r="B139" t="s">
        <v>3042</v>
      </c>
      <c r="C139" t="s">
        <v>9</v>
      </c>
      <c r="D139" t="s">
        <v>1570</v>
      </c>
      <c r="E139" t="s">
        <v>5867</v>
      </c>
    </row>
    <row r="140" spans="1:5" ht="15" customHeight="1">
      <c r="A140">
        <v>138</v>
      </c>
      <c r="B140" t="s">
        <v>3045</v>
      </c>
      <c r="C140" t="s">
        <v>9</v>
      </c>
      <c r="D140" t="s">
        <v>1570</v>
      </c>
      <c r="E140" t="s">
        <v>5867</v>
      </c>
    </row>
    <row r="141" spans="1:5" ht="15" customHeight="1">
      <c r="A141">
        <v>139</v>
      </c>
      <c r="B141" t="s">
        <v>3048</v>
      </c>
      <c r="C141" t="s">
        <v>9</v>
      </c>
      <c r="D141" t="s">
        <v>1570</v>
      </c>
      <c r="E141" t="s">
        <v>5867</v>
      </c>
    </row>
    <row r="142" spans="1:5" ht="15" customHeight="1">
      <c r="A142">
        <v>140</v>
      </c>
      <c r="B142" t="s">
        <v>3051</v>
      </c>
      <c r="C142" t="s">
        <v>9</v>
      </c>
      <c r="D142" t="s">
        <v>1570</v>
      </c>
      <c r="E142" t="s">
        <v>5867</v>
      </c>
    </row>
    <row r="143" spans="1:5" ht="15" customHeight="1">
      <c r="A143">
        <v>141</v>
      </c>
      <c r="B143" t="s">
        <v>4670</v>
      </c>
      <c r="C143" t="s">
        <v>9</v>
      </c>
      <c r="D143" t="s">
        <v>1570</v>
      </c>
      <c r="E143" t="s">
        <v>5867</v>
      </c>
    </row>
    <row r="144" spans="1:5" ht="15" customHeight="1">
      <c r="A144">
        <v>142</v>
      </c>
      <c r="B144" t="s">
        <v>4667</v>
      </c>
      <c r="C144" t="s">
        <v>9</v>
      </c>
      <c r="D144" t="s">
        <v>1570</v>
      </c>
      <c r="E144" t="s">
        <v>5867</v>
      </c>
    </row>
    <row r="145" spans="1:5" ht="15" customHeight="1">
      <c r="A145">
        <v>143</v>
      </c>
      <c r="B145" t="s">
        <v>3063</v>
      </c>
      <c r="C145" t="s">
        <v>9</v>
      </c>
      <c r="D145" t="s">
        <v>1570</v>
      </c>
      <c r="E145" t="s">
        <v>5867</v>
      </c>
    </row>
    <row r="146" spans="1:5" ht="15" customHeight="1">
      <c r="A146">
        <v>144</v>
      </c>
      <c r="B146" t="s">
        <v>3067</v>
      </c>
      <c r="C146" t="s">
        <v>9</v>
      </c>
      <c r="D146" t="s">
        <v>1570</v>
      </c>
      <c r="E146" t="s">
        <v>5867</v>
      </c>
    </row>
    <row r="147" spans="1:5" ht="15" customHeight="1">
      <c r="A147">
        <v>145</v>
      </c>
      <c r="B147" t="s">
        <v>3073</v>
      </c>
      <c r="C147" t="s">
        <v>9</v>
      </c>
      <c r="D147" t="s">
        <v>1570</v>
      </c>
      <c r="E147" t="s">
        <v>5867</v>
      </c>
    </row>
    <row r="148" spans="1:5" ht="15" customHeight="1">
      <c r="A148">
        <v>146</v>
      </c>
      <c r="B148" t="s">
        <v>3010</v>
      </c>
      <c r="C148" t="s">
        <v>9</v>
      </c>
      <c r="D148" t="s">
        <v>1570</v>
      </c>
      <c r="E148" t="s">
        <v>5867</v>
      </c>
    </row>
    <row r="149" spans="1:5" ht="15" customHeight="1">
      <c r="A149">
        <v>147</v>
      </c>
      <c r="B149" t="s">
        <v>4687</v>
      </c>
      <c r="C149" t="s">
        <v>9</v>
      </c>
      <c r="D149" t="s">
        <v>1570</v>
      </c>
      <c r="E149" t="s">
        <v>5867</v>
      </c>
    </row>
    <row r="150" spans="1:5" ht="15" customHeight="1">
      <c r="A150">
        <v>148</v>
      </c>
      <c r="B150" t="s">
        <v>3004</v>
      </c>
      <c r="C150" t="s">
        <v>9</v>
      </c>
      <c r="D150" t="s">
        <v>1570</v>
      </c>
      <c r="E150" t="s">
        <v>5867</v>
      </c>
    </row>
    <row r="151" spans="1:5" ht="15" customHeight="1">
      <c r="A151">
        <v>149</v>
      </c>
      <c r="B151" t="s">
        <v>4691</v>
      </c>
      <c r="C151" t="s">
        <v>9</v>
      </c>
      <c r="D151" t="s">
        <v>1570</v>
      </c>
      <c r="E151" t="s">
        <v>5867</v>
      </c>
    </row>
    <row r="152" spans="1:5" ht="15" customHeight="1">
      <c r="A152">
        <v>150</v>
      </c>
      <c r="B152" t="s">
        <v>2942</v>
      </c>
      <c r="C152" t="s">
        <v>9</v>
      </c>
      <c r="D152" t="s">
        <v>1570</v>
      </c>
      <c r="E152" t="s">
        <v>5867</v>
      </c>
    </row>
    <row r="153" spans="1:5" ht="15" customHeight="1">
      <c r="A153">
        <v>151</v>
      </c>
      <c r="B153" t="s">
        <v>2945</v>
      </c>
      <c r="C153" t="s">
        <v>9</v>
      </c>
      <c r="D153" t="s">
        <v>1570</v>
      </c>
      <c r="E153" t="s">
        <v>5867</v>
      </c>
    </row>
    <row r="154" spans="1:5" ht="15" customHeight="1">
      <c r="A154">
        <v>152</v>
      </c>
      <c r="B154" t="s">
        <v>2949</v>
      </c>
      <c r="C154" t="s">
        <v>9</v>
      </c>
      <c r="D154" t="s">
        <v>1570</v>
      </c>
      <c r="E154" t="s">
        <v>5867</v>
      </c>
    </row>
    <row r="155" spans="1:5" ht="15" customHeight="1">
      <c r="A155">
        <v>153</v>
      </c>
      <c r="B155" t="s">
        <v>4718</v>
      </c>
      <c r="C155" t="s">
        <v>9</v>
      </c>
      <c r="D155" t="s">
        <v>1570</v>
      </c>
      <c r="E155" t="s">
        <v>5867</v>
      </c>
    </row>
    <row r="156" spans="1:5" ht="15" customHeight="1">
      <c r="A156">
        <v>154</v>
      </c>
      <c r="B156" t="s">
        <v>2956</v>
      </c>
      <c r="C156" t="s">
        <v>9</v>
      </c>
      <c r="D156" t="s">
        <v>1570</v>
      </c>
      <c r="E156" t="s">
        <v>5867</v>
      </c>
    </row>
    <row r="157" spans="1:5" ht="15" customHeight="1">
      <c r="A157">
        <v>155</v>
      </c>
      <c r="B157" t="s">
        <v>4714</v>
      </c>
      <c r="C157" t="s">
        <v>9</v>
      </c>
      <c r="D157" t="s">
        <v>1570</v>
      </c>
      <c r="E157" t="s">
        <v>5867</v>
      </c>
    </row>
    <row r="158" spans="1:5" ht="15" customHeight="1">
      <c r="A158">
        <v>156</v>
      </c>
      <c r="B158" t="s">
        <v>2963</v>
      </c>
      <c r="C158" t="s">
        <v>9</v>
      </c>
      <c r="D158" t="s">
        <v>1570</v>
      </c>
      <c r="E158" t="s">
        <v>5867</v>
      </c>
    </row>
    <row r="159" spans="1:5" ht="15" customHeight="1">
      <c r="A159">
        <v>157</v>
      </c>
      <c r="B159" t="s">
        <v>2967</v>
      </c>
      <c r="C159" t="s">
        <v>9</v>
      </c>
      <c r="D159" t="s">
        <v>1570</v>
      </c>
      <c r="E159" t="s">
        <v>5867</v>
      </c>
    </row>
    <row r="160" spans="1:5" ht="15" customHeight="1">
      <c r="A160">
        <v>158</v>
      </c>
      <c r="B160" t="s">
        <v>4657</v>
      </c>
      <c r="C160" t="s">
        <v>9</v>
      </c>
      <c r="D160" t="s">
        <v>1570</v>
      </c>
      <c r="E160" t="s">
        <v>5867</v>
      </c>
    </row>
    <row r="161" spans="1:5" ht="15" customHeight="1">
      <c r="A161">
        <v>159</v>
      </c>
      <c r="B161" t="s">
        <v>4711</v>
      </c>
      <c r="C161" t="s">
        <v>9</v>
      </c>
      <c r="D161" t="s">
        <v>1570</v>
      </c>
      <c r="E161" t="s">
        <v>5867</v>
      </c>
    </row>
    <row r="162" spans="1:5" ht="15" customHeight="1">
      <c r="A162">
        <v>160</v>
      </c>
      <c r="B162" t="s">
        <v>4704</v>
      </c>
      <c r="C162" t="s">
        <v>9</v>
      </c>
      <c r="D162" t="s">
        <v>1570</v>
      </c>
      <c r="E162" t="s">
        <v>5867</v>
      </c>
    </row>
    <row r="163" spans="1:5" ht="15" customHeight="1">
      <c r="A163">
        <v>161</v>
      </c>
      <c r="B163" t="s">
        <v>2980</v>
      </c>
      <c r="C163" t="s">
        <v>9</v>
      </c>
      <c r="D163" t="s">
        <v>1570</v>
      </c>
      <c r="E163" t="s">
        <v>5867</v>
      </c>
    </row>
    <row r="164" spans="1:5" ht="15" customHeight="1">
      <c r="A164">
        <v>162</v>
      </c>
      <c r="B164" t="s">
        <v>2983</v>
      </c>
      <c r="C164" t="s">
        <v>9</v>
      </c>
      <c r="D164" t="s">
        <v>1570</v>
      </c>
      <c r="E164" t="s">
        <v>5867</v>
      </c>
    </row>
    <row r="165" spans="1:5" ht="15" customHeight="1">
      <c r="A165">
        <v>163</v>
      </c>
      <c r="B165" t="s">
        <v>4701</v>
      </c>
      <c r="C165" t="s">
        <v>9</v>
      </c>
      <c r="D165" t="s">
        <v>1570</v>
      </c>
      <c r="E165" t="s">
        <v>5867</v>
      </c>
    </row>
    <row r="166" spans="1:5" ht="15" customHeight="1">
      <c r="A166">
        <v>164</v>
      </c>
      <c r="B166" t="s">
        <v>2988</v>
      </c>
      <c r="C166" t="s">
        <v>9</v>
      </c>
      <c r="D166" t="s">
        <v>1570</v>
      </c>
      <c r="E166" t="s">
        <v>5867</v>
      </c>
    </row>
    <row r="167" spans="1:5" ht="15" customHeight="1">
      <c r="A167">
        <v>165</v>
      </c>
      <c r="B167" t="s">
        <v>2991</v>
      </c>
      <c r="C167" t="s">
        <v>9</v>
      </c>
      <c r="D167" t="s">
        <v>1570</v>
      </c>
      <c r="E167" t="s">
        <v>5867</v>
      </c>
    </row>
    <row r="168" spans="1:5" ht="15" customHeight="1">
      <c r="A168">
        <v>166</v>
      </c>
      <c r="B168" t="s">
        <v>2995</v>
      </c>
      <c r="C168" t="s">
        <v>9</v>
      </c>
      <c r="D168" t="s">
        <v>1570</v>
      </c>
      <c r="E168" t="s">
        <v>5867</v>
      </c>
    </row>
    <row r="169" spans="1:5" ht="15" customHeight="1">
      <c r="A169">
        <v>167</v>
      </c>
      <c r="B169" t="s">
        <v>4698</v>
      </c>
      <c r="C169" t="s">
        <v>9</v>
      </c>
      <c r="D169" t="s">
        <v>1570</v>
      </c>
      <c r="E169" t="s">
        <v>5867</v>
      </c>
    </row>
    <row r="170" spans="1:5" ht="15" customHeight="1">
      <c r="A170">
        <v>168</v>
      </c>
      <c r="B170" t="s">
        <v>4707</v>
      </c>
      <c r="C170" t="s">
        <v>9</v>
      </c>
      <c r="D170" t="s">
        <v>1570</v>
      </c>
      <c r="E170" t="s">
        <v>5867</v>
      </c>
    </row>
    <row r="171" spans="1:5" ht="15" customHeight="1">
      <c r="A171">
        <v>169</v>
      </c>
      <c r="B171" t="s">
        <v>3408</v>
      </c>
      <c r="C171" t="s">
        <v>9</v>
      </c>
      <c r="D171" t="s">
        <v>1570</v>
      </c>
      <c r="E171" t="s">
        <v>5867</v>
      </c>
    </row>
    <row r="172" spans="1:5" ht="15" customHeight="1">
      <c r="A172">
        <v>170</v>
      </c>
      <c r="B172" t="s">
        <v>3412</v>
      </c>
      <c r="C172" t="s">
        <v>9</v>
      </c>
      <c r="D172" t="s">
        <v>1570</v>
      </c>
      <c r="E172" t="s">
        <v>5867</v>
      </c>
    </row>
    <row r="173" spans="1:5" ht="15" customHeight="1">
      <c r="A173">
        <v>171</v>
      </c>
      <c r="B173" t="s">
        <v>3416</v>
      </c>
      <c r="C173" t="s">
        <v>9</v>
      </c>
      <c r="D173" t="s">
        <v>1570</v>
      </c>
      <c r="E173" t="s">
        <v>5867</v>
      </c>
    </row>
    <row r="174" spans="1:5" ht="15" customHeight="1">
      <c r="A174">
        <v>172</v>
      </c>
      <c r="B174" t="s">
        <v>4270</v>
      </c>
      <c r="C174" t="s">
        <v>9</v>
      </c>
      <c r="D174" t="s">
        <v>1570</v>
      </c>
      <c r="E174" t="s">
        <v>5867</v>
      </c>
    </row>
    <row r="175" spans="1:5" ht="15" customHeight="1">
      <c r="A175">
        <v>173</v>
      </c>
      <c r="B175" t="s">
        <v>3830</v>
      </c>
      <c r="C175" t="s">
        <v>9</v>
      </c>
      <c r="D175" t="s">
        <v>1570</v>
      </c>
      <c r="E175" t="s">
        <v>5867</v>
      </c>
    </row>
    <row r="176" spans="1:5" ht="15" customHeight="1">
      <c r="A176">
        <v>174</v>
      </c>
      <c r="B176" t="s">
        <v>4266</v>
      </c>
      <c r="C176" t="s">
        <v>9</v>
      </c>
      <c r="D176" t="s">
        <v>1570</v>
      </c>
      <c r="E176" t="s">
        <v>5867</v>
      </c>
    </row>
    <row r="177" spans="1:5" ht="15" customHeight="1">
      <c r="A177">
        <v>175</v>
      </c>
      <c r="B177" t="s">
        <v>3836</v>
      </c>
      <c r="C177" t="s">
        <v>9</v>
      </c>
      <c r="D177" t="s">
        <v>1570</v>
      </c>
      <c r="E177" t="s">
        <v>5867</v>
      </c>
    </row>
    <row r="178" spans="1:5" ht="15" customHeight="1">
      <c r="A178">
        <v>176</v>
      </c>
      <c r="B178" t="s">
        <v>3840</v>
      </c>
      <c r="C178" t="s">
        <v>9</v>
      </c>
      <c r="D178" t="s">
        <v>1570</v>
      </c>
      <c r="E178" t="s">
        <v>5867</v>
      </c>
    </row>
    <row r="179" spans="1:5" ht="15" customHeight="1">
      <c r="A179">
        <v>177</v>
      </c>
      <c r="B179" t="s">
        <v>4263</v>
      </c>
      <c r="C179" t="s">
        <v>9</v>
      </c>
      <c r="D179" t="s">
        <v>1570</v>
      </c>
      <c r="E179" t="s">
        <v>5867</v>
      </c>
    </row>
    <row r="180" spans="1:5" ht="15" customHeight="1">
      <c r="A180">
        <v>178</v>
      </c>
      <c r="B180" t="s">
        <v>3848</v>
      </c>
      <c r="C180" t="s">
        <v>9</v>
      </c>
      <c r="D180" t="s">
        <v>1570</v>
      </c>
      <c r="E180" t="s">
        <v>5867</v>
      </c>
    </row>
    <row r="181" spans="1:5" ht="15" customHeight="1">
      <c r="A181">
        <v>179</v>
      </c>
      <c r="B181" t="s">
        <v>3852</v>
      </c>
      <c r="C181" t="s">
        <v>9</v>
      </c>
      <c r="D181" t="s">
        <v>1570</v>
      </c>
      <c r="E181" t="s">
        <v>5867</v>
      </c>
    </row>
    <row r="182" spans="1:5" ht="15" customHeight="1">
      <c r="A182">
        <v>180</v>
      </c>
      <c r="B182" t="s">
        <v>4259</v>
      </c>
      <c r="C182" t="s">
        <v>9</v>
      </c>
      <c r="D182" t="s">
        <v>1570</v>
      </c>
      <c r="E182" t="s">
        <v>5867</v>
      </c>
    </row>
    <row r="183" spans="1:5" ht="15" customHeight="1">
      <c r="A183">
        <v>181</v>
      </c>
      <c r="B183" t="s">
        <v>3859</v>
      </c>
      <c r="C183" t="s">
        <v>9</v>
      </c>
      <c r="D183" t="s">
        <v>1570</v>
      </c>
      <c r="E183" t="s">
        <v>5867</v>
      </c>
    </row>
    <row r="184" spans="1:5" ht="15" customHeight="1">
      <c r="A184">
        <v>182</v>
      </c>
      <c r="B184" t="s">
        <v>4256</v>
      </c>
      <c r="C184" t="s">
        <v>9</v>
      </c>
      <c r="D184" t="s">
        <v>1570</v>
      </c>
      <c r="E184" t="s">
        <v>5867</v>
      </c>
    </row>
    <row r="185" spans="1:5" ht="15" customHeight="1">
      <c r="A185">
        <v>183</v>
      </c>
      <c r="B185" t="s">
        <v>3868</v>
      </c>
      <c r="C185" t="s">
        <v>9</v>
      </c>
      <c r="D185" t="s">
        <v>1570</v>
      </c>
      <c r="E185" t="s">
        <v>5867</v>
      </c>
    </row>
    <row r="186" spans="1:5" ht="15" customHeight="1">
      <c r="A186">
        <v>184</v>
      </c>
      <c r="B186" t="s">
        <v>4253</v>
      </c>
      <c r="C186" t="s">
        <v>9</v>
      </c>
      <c r="D186" t="s">
        <v>1570</v>
      </c>
      <c r="E186" t="s">
        <v>5867</v>
      </c>
    </row>
    <row r="187" spans="1:5" ht="15" customHeight="1">
      <c r="A187">
        <v>185</v>
      </c>
      <c r="B187" t="s">
        <v>4249</v>
      </c>
      <c r="C187" t="s">
        <v>9</v>
      </c>
      <c r="D187" t="s">
        <v>1570</v>
      </c>
      <c r="E187" t="s">
        <v>5867</v>
      </c>
    </row>
    <row r="188" spans="1:5" ht="15" customHeight="1">
      <c r="A188">
        <v>186</v>
      </c>
      <c r="B188" t="s">
        <v>3879</v>
      </c>
      <c r="C188" t="s">
        <v>9</v>
      </c>
      <c r="D188" t="s">
        <v>1570</v>
      </c>
      <c r="E188" t="s">
        <v>5867</v>
      </c>
    </row>
    <row r="189" spans="1:5" ht="15" customHeight="1">
      <c r="A189">
        <v>187</v>
      </c>
      <c r="B189" t="s">
        <v>3883</v>
      </c>
      <c r="C189" t="s">
        <v>9</v>
      </c>
      <c r="D189" t="s">
        <v>1570</v>
      </c>
      <c r="E189" t="s">
        <v>5867</v>
      </c>
    </row>
    <row r="190" spans="1:5" ht="15" customHeight="1">
      <c r="A190">
        <v>188</v>
      </c>
      <c r="B190" t="s">
        <v>3886</v>
      </c>
      <c r="C190" t="s">
        <v>9</v>
      </c>
      <c r="D190" t="s">
        <v>1570</v>
      </c>
      <c r="E190" t="s">
        <v>5867</v>
      </c>
    </row>
    <row r="191" spans="1:5" ht="15" customHeight="1">
      <c r="A191">
        <v>189</v>
      </c>
      <c r="B191" t="s">
        <v>4274</v>
      </c>
      <c r="C191" t="s">
        <v>9</v>
      </c>
      <c r="D191" t="s">
        <v>1570</v>
      </c>
      <c r="E191" t="s">
        <v>5867</v>
      </c>
    </row>
    <row r="192" spans="1:5" ht="15" customHeight="1">
      <c r="A192">
        <v>190</v>
      </c>
      <c r="B192" t="s">
        <v>3889</v>
      </c>
      <c r="C192" t="s">
        <v>9</v>
      </c>
      <c r="D192" t="s">
        <v>1570</v>
      </c>
      <c r="E192" t="s">
        <v>5867</v>
      </c>
    </row>
    <row r="193" spans="1:5" ht="15" customHeight="1">
      <c r="A193">
        <v>191</v>
      </c>
      <c r="B193" t="s">
        <v>3819</v>
      </c>
      <c r="C193" t="s">
        <v>9</v>
      </c>
      <c r="D193" t="s">
        <v>1570</v>
      </c>
      <c r="E193" t="s">
        <v>5867</v>
      </c>
    </row>
    <row r="194" spans="1:5" ht="15" customHeight="1">
      <c r="A194">
        <v>192</v>
      </c>
      <c r="B194" t="s">
        <v>4280</v>
      </c>
      <c r="C194" t="s">
        <v>9</v>
      </c>
      <c r="D194" t="s">
        <v>1570</v>
      </c>
      <c r="E194" t="s">
        <v>5867</v>
      </c>
    </row>
    <row r="195" spans="1:5" ht="15" customHeight="1">
      <c r="A195">
        <v>193</v>
      </c>
      <c r="B195" t="s">
        <v>4314</v>
      </c>
      <c r="C195" t="s">
        <v>9</v>
      </c>
      <c r="D195" t="s">
        <v>1570</v>
      </c>
      <c r="E195" t="s">
        <v>5867</v>
      </c>
    </row>
    <row r="196" spans="1:5" ht="15" customHeight="1">
      <c r="A196">
        <v>194</v>
      </c>
      <c r="B196" t="s">
        <v>3742</v>
      </c>
      <c r="C196" t="s">
        <v>9</v>
      </c>
      <c r="D196" t="s">
        <v>1570</v>
      </c>
      <c r="E196" t="s">
        <v>5867</v>
      </c>
    </row>
    <row r="197" spans="1:5" ht="15" customHeight="1">
      <c r="A197">
        <v>195</v>
      </c>
      <c r="B197" t="s">
        <v>4311</v>
      </c>
      <c r="C197" t="s">
        <v>9</v>
      </c>
      <c r="D197" t="s">
        <v>1570</v>
      </c>
      <c r="E197" t="s">
        <v>5867</v>
      </c>
    </row>
    <row r="198" spans="1:5" ht="15" customHeight="1">
      <c r="A198">
        <v>196</v>
      </c>
      <c r="B198" t="s">
        <v>3749</v>
      </c>
      <c r="C198" t="s">
        <v>9</v>
      </c>
      <c r="D198" t="s">
        <v>1570</v>
      </c>
      <c r="E198" t="s">
        <v>5867</v>
      </c>
    </row>
    <row r="199" spans="1:5" ht="15" customHeight="1">
      <c r="A199">
        <v>197</v>
      </c>
      <c r="B199" t="s">
        <v>3752</v>
      </c>
      <c r="C199" t="s">
        <v>9</v>
      </c>
      <c r="D199" t="s">
        <v>1570</v>
      </c>
      <c r="E199" t="s">
        <v>5867</v>
      </c>
    </row>
    <row r="200" spans="1:5" ht="15" customHeight="1">
      <c r="A200">
        <v>198</v>
      </c>
      <c r="B200" t="s">
        <v>3759</v>
      </c>
      <c r="C200" t="s">
        <v>9</v>
      </c>
      <c r="D200" t="s">
        <v>1570</v>
      </c>
      <c r="E200" t="s">
        <v>5867</v>
      </c>
    </row>
    <row r="201" spans="1:5" ht="15" customHeight="1">
      <c r="A201">
        <v>199</v>
      </c>
      <c r="B201" t="s">
        <v>3770</v>
      </c>
      <c r="C201" t="s">
        <v>9</v>
      </c>
      <c r="D201" t="s">
        <v>1570</v>
      </c>
      <c r="E201" t="s">
        <v>5867</v>
      </c>
    </row>
    <row r="202" spans="1:5" ht="15" customHeight="1">
      <c r="A202">
        <v>200</v>
      </c>
      <c r="B202" t="s">
        <v>4287</v>
      </c>
      <c r="C202" t="s">
        <v>9</v>
      </c>
      <c r="D202" t="s">
        <v>1570</v>
      </c>
      <c r="E202" t="s">
        <v>5867</v>
      </c>
    </row>
    <row r="203" spans="1:5" ht="15" customHeight="1">
      <c r="A203">
        <v>201</v>
      </c>
      <c r="B203" t="s">
        <v>3778</v>
      </c>
      <c r="C203" t="s">
        <v>9</v>
      </c>
      <c r="D203" t="s">
        <v>1570</v>
      </c>
      <c r="E203" t="s">
        <v>5867</v>
      </c>
    </row>
    <row r="204" spans="1:5" ht="15" customHeight="1">
      <c r="A204">
        <v>202</v>
      </c>
      <c r="B204" t="s">
        <v>3782</v>
      </c>
      <c r="C204" t="s">
        <v>9</v>
      </c>
      <c r="D204" t="s">
        <v>1570</v>
      </c>
      <c r="E204" t="s">
        <v>5867</v>
      </c>
    </row>
    <row r="205" spans="1:5" ht="15" customHeight="1">
      <c r="A205">
        <v>203</v>
      </c>
      <c r="B205" t="s">
        <v>3789</v>
      </c>
      <c r="C205" t="s">
        <v>9</v>
      </c>
      <c r="D205" t="s">
        <v>1570</v>
      </c>
      <c r="E205" t="s">
        <v>5867</v>
      </c>
    </row>
    <row r="206" spans="1:5" ht="15" customHeight="1">
      <c r="A206">
        <v>204</v>
      </c>
      <c r="B206" t="s">
        <v>3792</v>
      </c>
      <c r="C206" t="s">
        <v>9</v>
      </c>
      <c r="D206" t="s">
        <v>1570</v>
      </c>
      <c r="E206" t="s">
        <v>5867</v>
      </c>
    </row>
    <row r="207" spans="1:5" ht="15" customHeight="1">
      <c r="A207">
        <v>205</v>
      </c>
      <c r="B207" t="s">
        <v>3795</v>
      </c>
      <c r="C207" t="s">
        <v>9</v>
      </c>
      <c r="D207" t="s">
        <v>1570</v>
      </c>
      <c r="E207" t="s">
        <v>5867</v>
      </c>
    </row>
    <row r="208" spans="1:5" ht="15" customHeight="1">
      <c r="A208">
        <v>206</v>
      </c>
      <c r="B208" t="s">
        <v>3798</v>
      </c>
      <c r="C208" t="s">
        <v>9</v>
      </c>
      <c r="D208" t="s">
        <v>1570</v>
      </c>
      <c r="E208" t="s">
        <v>5867</v>
      </c>
    </row>
    <row r="209" spans="1:5" ht="15" customHeight="1">
      <c r="A209">
        <v>207</v>
      </c>
      <c r="B209" t="s">
        <v>3801</v>
      </c>
      <c r="C209" t="s">
        <v>9</v>
      </c>
      <c r="D209" t="s">
        <v>1570</v>
      </c>
      <c r="E209" t="s">
        <v>5867</v>
      </c>
    </row>
    <row r="210" spans="1:5" ht="15" customHeight="1">
      <c r="A210">
        <v>208</v>
      </c>
      <c r="B210" t="s">
        <v>3805</v>
      </c>
      <c r="C210" t="s">
        <v>9</v>
      </c>
      <c r="D210" t="s">
        <v>1570</v>
      </c>
      <c r="E210" t="s">
        <v>5867</v>
      </c>
    </row>
    <row r="211" spans="1:5" ht="15" customHeight="1">
      <c r="A211">
        <v>209</v>
      </c>
      <c r="B211" t="s">
        <v>3808</v>
      </c>
      <c r="C211" t="s">
        <v>9</v>
      </c>
      <c r="D211" t="s">
        <v>1570</v>
      </c>
      <c r="E211" t="s">
        <v>5867</v>
      </c>
    </row>
    <row r="212" spans="1:5" ht="15" customHeight="1">
      <c r="A212">
        <v>210</v>
      </c>
      <c r="B212" t="s">
        <v>3815</v>
      </c>
      <c r="C212" t="s">
        <v>9</v>
      </c>
      <c r="D212" t="s">
        <v>1570</v>
      </c>
      <c r="E212" t="s">
        <v>5867</v>
      </c>
    </row>
    <row r="213" spans="1:5" ht="15" customHeight="1">
      <c r="A213">
        <v>211</v>
      </c>
      <c r="B213" t="s">
        <v>3893</v>
      </c>
      <c r="C213" t="s">
        <v>9</v>
      </c>
      <c r="D213" t="s">
        <v>1570</v>
      </c>
      <c r="E213" t="s">
        <v>5867</v>
      </c>
    </row>
    <row r="214" spans="1:5" ht="15" customHeight="1">
      <c r="A214">
        <v>212</v>
      </c>
      <c r="B214" t="s">
        <v>3902</v>
      </c>
      <c r="C214" t="s">
        <v>9</v>
      </c>
      <c r="D214" t="s">
        <v>1570</v>
      </c>
      <c r="E214" t="s">
        <v>5867</v>
      </c>
    </row>
    <row r="215" spans="1:5" ht="15" customHeight="1">
      <c r="A215">
        <v>213</v>
      </c>
      <c r="B215" t="s">
        <v>4238</v>
      </c>
      <c r="C215" t="s">
        <v>9</v>
      </c>
      <c r="D215" t="s">
        <v>1570</v>
      </c>
      <c r="E215" t="s">
        <v>5867</v>
      </c>
    </row>
    <row r="216" spans="1:5" ht="15" customHeight="1">
      <c r="A216">
        <v>214</v>
      </c>
      <c r="B216" t="s">
        <v>4011</v>
      </c>
      <c r="C216" t="s">
        <v>9</v>
      </c>
      <c r="D216" t="s">
        <v>1570</v>
      </c>
      <c r="E216" t="s">
        <v>5867</v>
      </c>
    </row>
    <row r="217" spans="1:5" ht="15" customHeight="1">
      <c r="A217">
        <v>215</v>
      </c>
      <c r="B217" t="s">
        <v>4135</v>
      </c>
      <c r="C217" t="s">
        <v>9</v>
      </c>
      <c r="D217" t="s">
        <v>1570</v>
      </c>
      <c r="E217" t="s">
        <v>5867</v>
      </c>
    </row>
    <row r="218" spans="1:5" ht="15" customHeight="1">
      <c r="A218">
        <v>216</v>
      </c>
      <c r="B218" t="s">
        <v>4017</v>
      </c>
      <c r="C218" t="s">
        <v>9</v>
      </c>
      <c r="D218" t="s">
        <v>1570</v>
      </c>
      <c r="E218" t="s">
        <v>5867</v>
      </c>
    </row>
    <row r="219" spans="1:5" ht="15" customHeight="1">
      <c r="A219">
        <v>217</v>
      </c>
      <c r="B219" t="s">
        <v>4021</v>
      </c>
      <c r="C219" t="s">
        <v>9</v>
      </c>
      <c r="D219" t="s">
        <v>1570</v>
      </c>
      <c r="E219" t="s">
        <v>5867</v>
      </c>
    </row>
    <row r="220" spans="1:5" ht="15" customHeight="1">
      <c r="A220">
        <v>218</v>
      </c>
      <c r="B220" t="s">
        <v>4023</v>
      </c>
      <c r="C220" t="s">
        <v>9</v>
      </c>
      <c r="D220" t="s">
        <v>1570</v>
      </c>
      <c r="E220" t="s">
        <v>5867</v>
      </c>
    </row>
    <row r="221" spans="1:5" ht="15" customHeight="1">
      <c r="A221">
        <v>219</v>
      </c>
      <c r="B221" t="s">
        <v>4026</v>
      </c>
      <c r="C221" t="s">
        <v>9</v>
      </c>
      <c r="D221" t="s">
        <v>1570</v>
      </c>
      <c r="E221" t="s">
        <v>5867</v>
      </c>
    </row>
    <row r="222" spans="1:5" ht="15" customHeight="1">
      <c r="A222">
        <v>220</v>
      </c>
      <c r="B222" t="s">
        <v>4029</v>
      </c>
      <c r="C222" t="s">
        <v>9</v>
      </c>
      <c r="D222" t="s">
        <v>1570</v>
      </c>
      <c r="E222" t="s">
        <v>5867</v>
      </c>
    </row>
    <row r="223" spans="1:5" ht="15" customHeight="1">
      <c r="A223">
        <v>221</v>
      </c>
      <c r="B223" t="s">
        <v>4130</v>
      </c>
      <c r="C223" t="s">
        <v>9</v>
      </c>
      <c r="D223" t="s">
        <v>1570</v>
      </c>
      <c r="E223" t="s">
        <v>5867</v>
      </c>
    </row>
    <row r="224" spans="1:5" ht="15" customHeight="1">
      <c r="A224">
        <v>222</v>
      </c>
      <c r="B224" t="s">
        <v>4035</v>
      </c>
      <c r="C224" t="s">
        <v>9</v>
      </c>
      <c r="D224" t="s">
        <v>1570</v>
      </c>
      <c r="E224" t="s">
        <v>5867</v>
      </c>
    </row>
    <row r="225" spans="1:5" ht="15" customHeight="1">
      <c r="A225">
        <v>223</v>
      </c>
      <c r="B225" t="s">
        <v>4127</v>
      </c>
      <c r="C225" t="s">
        <v>9</v>
      </c>
      <c r="D225" t="s">
        <v>1570</v>
      </c>
      <c r="E225" t="s">
        <v>5867</v>
      </c>
    </row>
    <row r="226" spans="1:5" ht="15" customHeight="1">
      <c r="A226">
        <v>224</v>
      </c>
      <c r="B226" t="s">
        <v>4121</v>
      </c>
      <c r="C226" t="s">
        <v>9</v>
      </c>
      <c r="D226" t="s">
        <v>1570</v>
      </c>
      <c r="E226" t="s">
        <v>5867</v>
      </c>
    </row>
    <row r="227" spans="1:5" ht="15" customHeight="1">
      <c r="A227">
        <v>225</v>
      </c>
      <c r="B227" t="s">
        <v>4049</v>
      </c>
      <c r="C227" t="s">
        <v>9</v>
      </c>
      <c r="D227" t="s">
        <v>1570</v>
      </c>
      <c r="E227" t="s">
        <v>5867</v>
      </c>
    </row>
    <row r="228" spans="1:5" ht="15" customHeight="1">
      <c r="A228">
        <v>226</v>
      </c>
      <c r="B228" t="s">
        <v>4052</v>
      </c>
      <c r="C228" t="s">
        <v>9</v>
      </c>
      <c r="D228" t="s">
        <v>1570</v>
      </c>
      <c r="E228" t="s">
        <v>5867</v>
      </c>
    </row>
    <row r="229" spans="1:5" ht="15" customHeight="1">
      <c r="A229">
        <v>227</v>
      </c>
      <c r="B229" t="s">
        <v>4104</v>
      </c>
      <c r="C229" t="s">
        <v>9</v>
      </c>
      <c r="D229" t="s">
        <v>1570</v>
      </c>
      <c r="E229" t="s">
        <v>5867</v>
      </c>
    </row>
    <row r="230" spans="1:5" ht="15" customHeight="1">
      <c r="A230">
        <v>228</v>
      </c>
      <c r="B230" t="s">
        <v>4098</v>
      </c>
      <c r="C230" t="s">
        <v>9</v>
      </c>
      <c r="D230" t="s">
        <v>1570</v>
      </c>
      <c r="E230" t="s">
        <v>5867</v>
      </c>
    </row>
    <row r="231" spans="1:5" ht="15" customHeight="1">
      <c r="A231">
        <v>229</v>
      </c>
      <c r="B231" t="s">
        <v>4063</v>
      </c>
      <c r="C231" t="s">
        <v>9</v>
      </c>
      <c r="D231" t="s">
        <v>1570</v>
      </c>
      <c r="E231" t="s">
        <v>5867</v>
      </c>
    </row>
    <row r="232" spans="1:5" ht="15" customHeight="1">
      <c r="A232">
        <v>230</v>
      </c>
      <c r="B232" t="s">
        <v>4091</v>
      </c>
      <c r="C232" t="s">
        <v>9</v>
      </c>
      <c r="D232" t="s">
        <v>1570</v>
      </c>
      <c r="E232" t="s">
        <v>5867</v>
      </c>
    </row>
    <row r="233" spans="1:5" ht="15" customHeight="1">
      <c r="A233">
        <v>231</v>
      </c>
      <c r="B233" t="s">
        <v>4154</v>
      </c>
      <c r="C233" t="s">
        <v>9</v>
      </c>
      <c r="D233" t="s">
        <v>1570</v>
      </c>
      <c r="E233" t="s">
        <v>5867</v>
      </c>
    </row>
    <row r="234" spans="1:5" ht="15" customHeight="1">
      <c r="A234">
        <v>232</v>
      </c>
      <c r="B234" t="s">
        <v>4165</v>
      </c>
      <c r="C234" t="s">
        <v>9</v>
      </c>
      <c r="D234" t="s">
        <v>1570</v>
      </c>
      <c r="E234" t="s">
        <v>5867</v>
      </c>
    </row>
    <row r="235" spans="1:5" ht="15" customHeight="1">
      <c r="A235">
        <v>233</v>
      </c>
      <c r="B235" t="s">
        <v>4168</v>
      </c>
      <c r="C235" t="s">
        <v>9</v>
      </c>
      <c r="D235" t="s">
        <v>1570</v>
      </c>
      <c r="E235" t="s">
        <v>5867</v>
      </c>
    </row>
    <row r="236" spans="1:5" ht="15" customHeight="1">
      <c r="A236">
        <v>234</v>
      </c>
      <c r="B236" t="s">
        <v>3982</v>
      </c>
      <c r="C236" t="s">
        <v>9</v>
      </c>
      <c r="D236" t="s">
        <v>1570</v>
      </c>
      <c r="E236" t="s">
        <v>5867</v>
      </c>
    </row>
    <row r="237" spans="1:5" ht="15" customHeight="1">
      <c r="A237">
        <v>235</v>
      </c>
      <c r="B237" t="s">
        <v>3914</v>
      </c>
      <c r="C237" t="s">
        <v>9</v>
      </c>
      <c r="D237" t="s">
        <v>1570</v>
      </c>
      <c r="E237" t="s">
        <v>5867</v>
      </c>
    </row>
    <row r="238" spans="1:5" ht="15" customHeight="1">
      <c r="A238">
        <v>236</v>
      </c>
      <c r="B238" t="s">
        <v>4234</v>
      </c>
      <c r="C238" t="s">
        <v>9</v>
      </c>
      <c r="D238" t="s">
        <v>1570</v>
      </c>
      <c r="E238" t="s">
        <v>5867</v>
      </c>
    </row>
    <row r="239" spans="1:5" ht="15" customHeight="1">
      <c r="A239">
        <v>237</v>
      </c>
      <c r="B239" t="s">
        <v>4230</v>
      </c>
      <c r="C239" t="s">
        <v>9</v>
      </c>
      <c r="D239" t="s">
        <v>1570</v>
      </c>
      <c r="E239" t="s">
        <v>5867</v>
      </c>
    </row>
    <row r="240" spans="1:5" ht="15" customHeight="1">
      <c r="A240">
        <v>238</v>
      </c>
      <c r="B240" t="s">
        <v>3926</v>
      </c>
      <c r="C240" t="s">
        <v>9</v>
      </c>
      <c r="D240" t="s">
        <v>1570</v>
      </c>
      <c r="E240" t="s">
        <v>5867</v>
      </c>
    </row>
    <row r="241" spans="1:5" ht="15" customHeight="1">
      <c r="A241">
        <v>239</v>
      </c>
      <c r="B241" t="s">
        <v>3930</v>
      </c>
      <c r="C241" t="s">
        <v>9</v>
      </c>
      <c r="D241" t="s">
        <v>1570</v>
      </c>
      <c r="E241" t="s">
        <v>5867</v>
      </c>
    </row>
    <row r="242" spans="1:5" ht="15" customHeight="1">
      <c r="A242">
        <v>240</v>
      </c>
      <c r="B242" t="s">
        <v>4227</v>
      </c>
      <c r="C242" t="s">
        <v>9</v>
      </c>
      <c r="D242" t="s">
        <v>1570</v>
      </c>
      <c r="E242" t="s">
        <v>5867</v>
      </c>
    </row>
    <row r="243" spans="1:5" ht="15" customHeight="1">
      <c r="A243">
        <v>241</v>
      </c>
      <c r="B243" t="s">
        <v>4224</v>
      </c>
      <c r="C243" t="s">
        <v>9</v>
      </c>
      <c r="D243" t="s">
        <v>1570</v>
      </c>
      <c r="E243" t="s">
        <v>5867</v>
      </c>
    </row>
    <row r="244" spans="1:5" ht="15" customHeight="1">
      <c r="A244">
        <v>242</v>
      </c>
      <c r="B244" t="s">
        <v>4214</v>
      </c>
      <c r="C244" t="s">
        <v>9</v>
      </c>
      <c r="D244" t="s">
        <v>1570</v>
      </c>
      <c r="E244" t="s">
        <v>5867</v>
      </c>
    </row>
    <row r="245" spans="1:5" ht="15" customHeight="1">
      <c r="A245">
        <v>243</v>
      </c>
      <c r="B245" t="s">
        <v>3735</v>
      </c>
      <c r="C245" t="s">
        <v>9</v>
      </c>
      <c r="D245" t="s">
        <v>1570</v>
      </c>
      <c r="E245" t="s">
        <v>5867</v>
      </c>
    </row>
    <row r="246" spans="1:5" ht="15" customHeight="1">
      <c r="A246">
        <v>244</v>
      </c>
      <c r="B246" t="s">
        <v>4199</v>
      </c>
      <c r="C246" t="s">
        <v>9</v>
      </c>
      <c r="D246" t="s">
        <v>1570</v>
      </c>
      <c r="E246" t="s">
        <v>5867</v>
      </c>
    </row>
    <row r="247" spans="1:5" ht="15" customHeight="1">
      <c r="A247">
        <v>245</v>
      </c>
      <c r="B247" t="s">
        <v>4189</v>
      </c>
      <c r="C247" t="s">
        <v>9</v>
      </c>
      <c r="D247" t="s">
        <v>1570</v>
      </c>
      <c r="E247" t="s">
        <v>5867</v>
      </c>
    </row>
    <row r="248" spans="1:5" ht="15" customHeight="1">
      <c r="A248">
        <v>246</v>
      </c>
      <c r="B248" t="s">
        <v>3955</v>
      </c>
      <c r="C248" t="s">
        <v>9</v>
      </c>
      <c r="D248" t="s">
        <v>1570</v>
      </c>
      <c r="E248" t="s">
        <v>5867</v>
      </c>
    </row>
    <row r="249" spans="1:5" ht="15" customHeight="1">
      <c r="A249">
        <v>247</v>
      </c>
      <c r="B249" t="s">
        <v>3958</v>
      </c>
      <c r="C249" t="s">
        <v>9</v>
      </c>
      <c r="D249" t="s">
        <v>1570</v>
      </c>
      <c r="E249" t="s">
        <v>5867</v>
      </c>
    </row>
    <row r="250" spans="1:5" ht="15" customHeight="1">
      <c r="A250">
        <v>248</v>
      </c>
      <c r="B250" t="s">
        <v>3965</v>
      </c>
      <c r="C250" t="s">
        <v>9</v>
      </c>
      <c r="D250" t="s">
        <v>1570</v>
      </c>
      <c r="E250" t="s">
        <v>5867</v>
      </c>
    </row>
    <row r="251" spans="1:5" ht="15" customHeight="1">
      <c r="A251">
        <v>249</v>
      </c>
      <c r="B251" t="s">
        <v>4182</v>
      </c>
      <c r="C251" t="s">
        <v>9</v>
      </c>
      <c r="D251" t="s">
        <v>1570</v>
      </c>
      <c r="E251" t="s">
        <v>5867</v>
      </c>
    </row>
    <row r="252" spans="1:5" ht="15" customHeight="1">
      <c r="A252">
        <v>250</v>
      </c>
      <c r="B252" t="s">
        <v>3971</v>
      </c>
      <c r="C252" t="s">
        <v>9</v>
      </c>
      <c r="D252" t="s">
        <v>1570</v>
      </c>
      <c r="E252" t="s">
        <v>5867</v>
      </c>
    </row>
    <row r="253" spans="1:5" ht="15" customHeight="1">
      <c r="A253">
        <v>251</v>
      </c>
      <c r="B253" t="s">
        <v>4175</v>
      </c>
      <c r="C253" t="s">
        <v>9</v>
      </c>
      <c r="D253" t="s">
        <v>1570</v>
      </c>
      <c r="E253" t="s">
        <v>5867</v>
      </c>
    </row>
    <row r="254" spans="1:5" ht="15" customHeight="1">
      <c r="A254">
        <v>252</v>
      </c>
      <c r="B254" t="s">
        <v>3979</v>
      </c>
      <c r="C254" t="s">
        <v>9</v>
      </c>
      <c r="D254" t="s">
        <v>1570</v>
      </c>
      <c r="E254" t="s">
        <v>5867</v>
      </c>
    </row>
    <row r="255" spans="1:5" ht="15" customHeight="1">
      <c r="A255">
        <v>253</v>
      </c>
      <c r="B255" t="s">
        <v>4196</v>
      </c>
      <c r="C255" t="s">
        <v>9</v>
      </c>
      <c r="D255" t="s">
        <v>1570</v>
      </c>
      <c r="E255" t="s">
        <v>5867</v>
      </c>
    </row>
    <row r="256" spans="1:5" ht="15" customHeight="1">
      <c r="A256">
        <v>254</v>
      </c>
      <c r="B256" t="s">
        <v>3732</v>
      </c>
      <c r="C256" t="s">
        <v>9</v>
      </c>
      <c r="D256" t="s">
        <v>1570</v>
      </c>
      <c r="E256" t="s">
        <v>5867</v>
      </c>
    </row>
    <row r="257" spans="1:5" ht="15" customHeight="1">
      <c r="A257">
        <v>255</v>
      </c>
      <c r="B257" t="s">
        <v>3729</v>
      </c>
      <c r="C257" t="s">
        <v>9</v>
      </c>
      <c r="D257" t="s">
        <v>1570</v>
      </c>
      <c r="E257" t="s">
        <v>5867</v>
      </c>
    </row>
    <row r="258" spans="1:5" ht="15" customHeight="1">
      <c r="A258">
        <v>256</v>
      </c>
      <c r="B258" t="s">
        <v>4316</v>
      </c>
      <c r="C258" t="s">
        <v>9</v>
      </c>
      <c r="D258" t="s">
        <v>1570</v>
      </c>
      <c r="E258" t="s">
        <v>5867</v>
      </c>
    </row>
    <row r="259" spans="1:5" ht="15" customHeight="1">
      <c r="A259">
        <v>257</v>
      </c>
      <c r="B259" t="s">
        <v>3508</v>
      </c>
      <c r="C259" t="s">
        <v>9</v>
      </c>
      <c r="D259" t="s">
        <v>1570</v>
      </c>
      <c r="E259" t="s">
        <v>5867</v>
      </c>
    </row>
    <row r="260" spans="1:5" ht="15" customHeight="1">
      <c r="A260">
        <v>258</v>
      </c>
      <c r="B260" t="s">
        <v>3514</v>
      </c>
      <c r="C260" t="s">
        <v>9</v>
      </c>
      <c r="D260" t="s">
        <v>1570</v>
      </c>
      <c r="E260" t="s">
        <v>5867</v>
      </c>
    </row>
    <row r="261" spans="1:5" ht="15" customHeight="1">
      <c r="A261">
        <v>259</v>
      </c>
      <c r="B261" t="s">
        <v>3516</v>
      </c>
      <c r="C261" t="s">
        <v>9</v>
      </c>
      <c r="D261" t="s">
        <v>1570</v>
      </c>
      <c r="E261" t="s">
        <v>5867</v>
      </c>
    </row>
    <row r="262" spans="1:5" ht="15" customHeight="1">
      <c r="A262">
        <v>260</v>
      </c>
      <c r="B262" t="s">
        <v>4379</v>
      </c>
      <c r="C262" t="s">
        <v>9</v>
      </c>
      <c r="D262" t="s">
        <v>1570</v>
      </c>
      <c r="E262" t="s">
        <v>5867</v>
      </c>
    </row>
    <row r="263" spans="1:5" ht="15" customHeight="1">
      <c r="A263">
        <v>261</v>
      </c>
      <c r="B263" t="s">
        <v>3523</v>
      </c>
      <c r="C263" t="s">
        <v>9</v>
      </c>
      <c r="D263" t="s">
        <v>1570</v>
      </c>
      <c r="E263" t="s">
        <v>5867</v>
      </c>
    </row>
    <row r="264" spans="1:5" ht="15" customHeight="1">
      <c r="A264">
        <v>262</v>
      </c>
      <c r="B264" t="s">
        <v>3526</v>
      </c>
      <c r="C264" t="s">
        <v>9</v>
      </c>
      <c r="D264" t="s">
        <v>1570</v>
      </c>
      <c r="E264" t="s">
        <v>5867</v>
      </c>
    </row>
    <row r="265" spans="1:5" ht="15" customHeight="1">
      <c r="A265">
        <v>263</v>
      </c>
      <c r="B265" t="s">
        <v>3529</v>
      </c>
      <c r="C265" t="s">
        <v>9</v>
      </c>
      <c r="D265" t="s">
        <v>1570</v>
      </c>
      <c r="E265" t="s">
        <v>5867</v>
      </c>
    </row>
    <row r="266" spans="1:5" ht="15" customHeight="1">
      <c r="A266">
        <v>264</v>
      </c>
      <c r="B266" t="s">
        <v>4376</v>
      </c>
      <c r="C266" t="s">
        <v>9</v>
      </c>
      <c r="D266" t="s">
        <v>1570</v>
      </c>
      <c r="E266" t="s">
        <v>5867</v>
      </c>
    </row>
    <row r="267" spans="1:5" ht="15" customHeight="1">
      <c r="A267">
        <v>265</v>
      </c>
      <c r="B267" t="s">
        <v>3535</v>
      </c>
      <c r="C267" t="s">
        <v>9</v>
      </c>
      <c r="D267" t="s">
        <v>1570</v>
      </c>
      <c r="E267" t="s">
        <v>5867</v>
      </c>
    </row>
    <row r="268" spans="1:5" ht="15" customHeight="1">
      <c r="A268">
        <v>266</v>
      </c>
      <c r="B268" t="s">
        <v>3538</v>
      </c>
      <c r="C268" t="s">
        <v>9</v>
      </c>
      <c r="D268" t="s">
        <v>1570</v>
      </c>
      <c r="E268" t="s">
        <v>5867</v>
      </c>
    </row>
    <row r="269" spans="1:5" ht="15" customHeight="1">
      <c r="A269">
        <v>267</v>
      </c>
      <c r="B269" t="s">
        <v>3541</v>
      </c>
      <c r="C269" t="s">
        <v>9</v>
      </c>
      <c r="D269" t="s">
        <v>1570</v>
      </c>
      <c r="E269" t="s">
        <v>5867</v>
      </c>
    </row>
    <row r="270" spans="1:5" ht="15" customHeight="1">
      <c r="A270">
        <v>268</v>
      </c>
      <c r="B270" t="s">
        <v>3545</v>
      </c>
      <c r="C270" t="s">
        <v>9</v>
      </c>
      <c r="D270" t="s">
        <v>1570</v>
      </c>
      <c r="E270" t="s">
        <v>5867</v>
      </c>
    </row>
    <row r="271" spans="1:5" ht="15" customHeight="1">
      <c r="A271">
        <v>269</v>
      </c>
      <c r="B271" t="s">
        <v>4373</v>
      </c>
      <c r="C271" t="s">
        <v>9</v>
      </c>
      <c r="D271" t="s">
        <v>1570</v>
      </c>
      <c r="E271" t="s">
        <v>5867</v>
      </c>
    </row>
    <row r="272" spans="1:5" ht="15" customHeight="1">
      <c r="A272">
        <v>270</v>
      </c>
      <c r="B272" t="s">
        <v>3553</v>
      </c>
      <c r="C272" t="s">
        <v>9</v>
      </c>
      <c r="D272" t="s">
        <v>1570</v>
      </c>
      <c r="E272" t="s">
        <v>5867</v>
      </c>
    </row>
    <row r="273" spans="1:5" ht="15" customHeight="1">
      <c r="A273">
        <v>271</v>
      </c>
      <c r="B273" t="s">
        <v>3556</v>
      </c>
      <c r="C273" t="s">
        <v>9</v>
      </c>
      <c r="D273" t="s">
        <v>1570</v>
      </c>
      <c r="E273" t="s">
        <v>5867</v>
      </c>
    </row>
    <row r="274" spans="1:5" ht="15" customHeight="1">
      <c r="A274">
        <v>272</v>
      </c>
      <c r="B274" t="s">
        <v>3559</v>
      </c>
      <c r="C274" t="s">
        <v>9</v>
      </c>
      <c r="D274" t="s">
        <v>1570</v>
      </c>
      <c r="E274" t="s">
        <v>5867</v>
      </c>
    </row>
    <row r="275" spans="1:5" ht="15" customHeight="1">
      <c r="A275">
        <v>273</v>
      </c>
      <c r="B275" t="s">
        <v>3563</v>
      </c>
      <c r="C275" t="s">
        <v>9</v>
      </c>
      <c r="D275" t="s">
        <v>1570</v>
      </c>
      <c r="E275" t="s">
        <v>5867</v>
      </c>
    </row>
    <row r="276" spans="1:5" ht="15" customHeight="1">
      <c r="A276">
        <v>274</v>
      </c>
      <c r="B276" t="s">
        <v>3504</v>
      </c>
      <c r="C276" t="s">
        <v>9</v>
      </c>
      <c r="D276" t="s">
        <v>1570</v>
      </c>
      <c r="E276" t="s">
        <v>5867</v>
      </c>
    </row>
    <row r="277" spans="1:5" ht="15" customHeight="1">
      <c r="A277">
        <v>275</v>
      </c>
      <c r="B277" t="s">
        <v>4386</v>
      </c>
      <c r="C277" t="s">
        <v>9</v>
      </c>
      <c r="D277" t="s">
        <v>1570</v>
      </c>
      <c r="E277" t="s">
        <v>5867</v>
      </c>
    </row>
    <row r="278" spans="1:5" ht="15" customHeight="1">
      <c r="A278">
        <v>276</v>
      </c>
      <c r="B278" t="s">
        <v>4394</v>
      </c>
      <c r="C278" t="s">
        <v>9</v>
      </c>
      <c r="D278" t="s">
        <v>1570</v>
      </c>
      <c r="E278" t="s">
        <v>5867</v>
      </c>
    </row>
    <row r="279" spans="1:5" ht="15" customHeight="1">
      <c r="A279">
        <v>277</v>
      </c>
      <c r="B279" t="s">
        <v>3491</v>
      </c>
      <c r="C279" t="s">
        <v>9</v>
      </c>
      <c r="D279" t="s">
        <v>1570</v>
      </c>
      <c r="E279" t="s">
        <v>5867</v>
      </c>
    </row>
    <row r="280" spans="1:5" ht="15" customHeight="1">
      <c r="A280">
        <v>278</v>
      </c>
      <c r="B280" t="s">
        <v>3420</v>
      </c>
      <c r="C280" t="s">
        <v>9</v>
      </c>
      <c r="D280" t="s">
        <v>1570</v>
      </c>
      <c r="E280" t="s">
        <v>5867</v>
      </c>
    </row>
    <row r="281" spans="1:5" ht="15" customHeight="1">
      <c r="A281">
        <v>279</v>
      </c>
      <c r="B281" t="s">
        <v>4442</v>
      </c>
      <c r="C281" t="s">
        <v>9</v>
      </c>
      <c r="D281" t="s">
        <v>1570</v>
      </c>
      <c r="E281" t="s">
        <v>5867</v>
      </c>
    </row>
    <row r="282" spans="1:5" ht="15" customHeight="1">
      <c r="A282">
        <v>280</v>
      </c>
      <c r="B282" t="s">
        <v>3426</v>
      </c>
      <c r="C282" t="s">
        <v>9</v>
      </c>
      <c r="D282" t="s">
        <v>1570</v>
      </c>
      <c r="E282" t="s">
        <v>5867</v>
      </c>
    </row>
    <row r="283" spans="1:5" ht="15" customHeight="1">
      <c r="A283">
        <v>281</v>
      </c>
      <c r="B283" t="s">
        <v>4439</v>
      </c>
      <c r="C283" t="s">
        <v>9</v>
      </c>
      <c r="D283" t="s">
        <v>1570</v>
      </c>
      <c r="E283" t="s">
        <v>5867</v>
      </c>
    </row>
    <row r="284" spans="1:5" ht="15" customHeight="1">
      <c r="A284">
        <v>282</v>
      </c>
      <c r="B284" t="s">
        <v>3434</v>
      </c>
      <c r="C284" t="s">
        <v>9</v>
      </c>
      <c r="D284" t="s">
        <v>1570</v>
      </c>
      <c r="E284" t="s">
        <v>5867</v>
      </c>
    </row>
    <row r="285" spans="1:5" ht="15" customHeight="1">
      <c r="A285">
        <v>283</v>
      </c>
      <c r="B285" t="s">
        <v>3438</v>
      </c>
      <c r="C285" t="s">
        <v>9</v>
      </c>
      <c r="D285" t="s">
        <v>1570</v>
      </c>
      <c r="E285" t="s">
        <v>5867</v>
      </c>
    </row>
    <row r="286" spans="1:5" ht="15" customHeight="1">
      <c r="A286">
        <v>284</v>
      </c>
      <c r="B286" t="s">
        <v>3445</v>
      </c>
      <c r="C286" t="s">
        <v>9</v>
      </c>
      <c r="D286" t="s">
        <v>1570</v>
      </c>
      <c r="E286" t="s">
        <v>5867</v>
      </c>
    </row>
    <row r="287" spans="1:5" ht="15" customHeight="1">
      <c r="A287">
        <v>285</v>
      </c>
      <c r="B287" t="s">
        <v>3448</v>
      </c>
      <c r="C287" t="s">
        <v>9</v>
      </c>
      <c r="D287" t="s">
        <v>1570</v>
      </c>
      <c r="E287" t="s">
        <v>5867</v>
      </c>
    </row>
    <row r="288" spans="1:5" ht="15" customHeight="1">
      <c r="A288">
        <v>286</v>
      </c>
      <c r="B288" t="s">
        <v>3567</v>
      </c>
      <c r="C288" t="s">
        <v>9</v>
      </c>
      <c r="D288" t="s">
        <v>1570</v>
      </c>
      <c r="E288" t="s">
        <v>5867</v>
      </c>
    </row>
    <row r="289" spans="1:5" ht="15" customHeight="1">
      <c r="A289">
        <v>287</v>
      </c>
      <c r="B289" t="s">
        <v>4426</v>
      </c>
      <c r="C289" t="s">
        <v>9</v>
      </c>
      <c r="D289" t="s">
        <v>1570</v>
      </c>
      <c r="E289" t="s">
        <v>5867</v>
      </c>
    </row>
    <row r="290" spans="1:5" ht="15" customHeight="1">
      <c r="A290">
        <v>288</v>
      </c>
      <c r="B290" t="s">
        <v>3462</v>
      </c>
      <c r="C290" t="s">
        <v>9</v>
      </c>
      <c r="D290" t="s">
        <v>1570</v>
      </c>
      <c r="E290" t="s">
        <v>5867</v>
      </c>
    </row>
    <row r="291" spans="1:5" ht="15" customHeight="1">
      <c r="A291">
        <v>289</v>
      </c>
      <c r="B291" t="s">
        <v>3466</v>
      </c>
      <c r="C291" t="s">
        <v>9</v>
      </c>
      <c r="D291" t="s">
        <v>1570</v>
      </c>
      <c r="E291" t="s">
        <v>5867</v>
      </c>
    </row>
    <row r="292" spans="1:5" ht="15" customHeight="1">
      <c r="A292">
        <v>290</v>
      </c>
      <c r="B292" t="s">
        <v>3469</v>
      </c>
      <c r="C292" t="s">
        <v>9</v>
      </c>
      <c r="D292" t="s">
        <v>1570</v>
      </c>
      <c r="E292" t="s">
        <v>5867</v>
      </c>
    </row>
    <row r="293" spans="1:5" ht="15" customHeight="1">
      <c r="A293">
        <v>291</v>
      </c>
      <c r="B293" t="s">
        <v>3473</v>
      </c>
      <c r="C293" t="s">
        <v>9</v>
      </c>
      <c r="D293" t="s">
        <v>1570</v>
      </c>
      <c r="E293" t="s">
        <v>5867</v>
      </c>
    </row>
    <row r="294" spans="1:5" ht="15" customHeight="1">
      <c r="A294">
        <v>292</v>
      </c>
      <c r="B294" t="s">
        <v>3476</v>
      </c>
      <c r="C294" t="s">
        <v>9</v>
      </c>
      <c r="D294" t="s">
        <v>1570</v>
      </c>
      <c r="E294" t="s">
        <v>5867</v>
      </c>
    </row>
    <row r="295" spans="1:5" ht="15" customHeight="1">
      <c r="A295">
        <v>293</v>
      </c>
      <c r="B295" t="s">
        <v>3479</v>
      </c>
      <c r="C295" t="s">
        <v>9</v>
      </c>
      <c r="D295" t="s">
        <v>1570</v>
      </c>
      <c r="E295" t="s">
        <v>5867</v>
      </c>
    </row>
    <row r="296" spans="1:5" ht="15" customHeight="1">
      <c r="A296">
        <v>294</v>
      </c>
      <c r="B296" t="s">
        <v>3482</v>
      </c>
      <c r="C296" t="s">
        <v>9</v>
      </c>
      <c r="D296" t="s">
        <v>1570</v>
      </c>
      <c r="E296" t="s">
        <v>5867</v>
      </c>
    </row>
    <row r="297" spans="1:5" ht="15" customHeight="1">
      <c r="A297">
        <v>295</v>
      </c>
      <c r="B297" t="s">
        <v>4406</v>
      </c>
      <c r="C297" t="s">
        <v>9</v>
      </c>
      <c r="D297" t="s">
        <v>1570</v>
      </c>
      <c r="E297" t="s">
        <v>5867</v>
      </c>
    </row>
    <row r="298" spans="1:5" ht="15" customHeight="1">
      <c r="A298">
        <v>296</v>
      </c>
      <c r="B298" t="s">
        <v>3458</v>
      </c>
      <c r="C298" t="s">
        <v>9</v>
      </c>
      <c r="D298" t="s">
        <v>1570</v>
      </c>
      <c r="E298" t="s">
        <v>5867</v>
      </c>
    </row>
    <row r="299" spans="1:5" ht="15" customHeight="1">
      <c r="A299">
        <v>297</v>
      </c>
      <c r="B299" t="s">
        <v>2774</v>
      </c>
      <c r="C299" t="s">
        <v>9</v>
      </c>
      <c r="D299" t="s">
        <v>1570</v>
      </c>
      <c r="E299" t="s">
        <v>5867</v>
      </c>
    </row>
    <row r="300" spans="1:5" ht="15" customHeight="1">
      <c r="A300">
        <v>298</v>
      </c>
      <c r="B300" t="s">
        <v>3571</v>
      </c>
      <c r="C300" t="s">
        <v>9</v>
      </c>
      <c r="D300" t="s">
        <v>1570</v>
      </c>
      <c r="E300" t="s">
        <v>5867</v>
      </c>
    </row>
    <row r="301" spans="1:5" ht="15" customHeight="1">
      <c r="A301">
        <v>299</v>
      </c>
      <c r="B301" t="s">
        <v>3577</v>
      </c>
      <c r="C301" t="s">
        <v>9</v>
      </c>
      <c r="D301" t="s">
        <v>1570</v>
      </c>
      <c r="E301" t="s">
        <v>5867</v>
      </c>
    </row>
    <row r="302" spans="1:5" ht="15" customHeight="1">
      <c r="A302">
        <v>300</v>
      </c>
      <c r="B302" t="s">
        <v>3659</v>
      </c>
      <c r="C302" t="s">
        <v>9</v>
      </c>
      <c r="D302" t="s">
        <v>1570</v>
      </c>
      <c r="E302" t="s">
        <v>5867</v>
      </c>
    </row>
    <row r="303" spans="1:5" ht="15" customHeight="1">
      <c r="A303">
        <v>301</v>
      </c>
      <c r="B303" t="s">
        <v>3663</v>
      </c>
      <c r="C303" t="s">
        <v>9</v>
      </c>
      <c r="D303" t="s">
        <v>1570</v>
      </c>
      <c r="E303" t="s">
        <v>5867</v>
      </c>
    </row>
    <row r="304" spans="1:5" ht="15" customHeight="1">
      <c r="A304">
        <v>302</v>
      </c>
      <c r="B304" t="s">
        <v>3667</v>
      </c>
      <c r="C304" t="s">
        <v>9</v>
      </c>
      <c r="D304" t="s">
        <v>1570</v>
      </c>
      <c r="E304" t="s">
        <v>5867</v>
      </c>
    </row>
    <row r="305" spans="1:5" ht="15" customHeight="1">
      <c r="A305">
        <v>303</v>
      </c>
      <c r="B305" t="s">
        <v>4337</v>
      </c>
      <c r="C305" t="s">
        <v>9</v>
      </c>
      <c r="D305" t="s">
        <v>1570</v>
      </c>
      <c r="E305" t="s">
        <v>5867</v>
      </c>
    </row>
    <row r="306" spans="1:5" ht="15" customHeight="1">
      <c r="A306">
        <v>304</v>
      </c>
      <c r="B306" t="s">
        <v>3677</v>
      </c>
      <c r="C306" t="s">
        <v>9</v>
      </c>
      <c r="D306" t="s">
        <v>1570</v>
      </c>
      <c r="E306" t="s">
        <v>5867</v>
      </c>
    </row>
    <row r="307" spans="1:5" ht="15" customHeight="1">
      <c r="A307">
        <v>305</v>
      </c>
      <c r="B307" t="s">
        <v>3680</v>
      </c>
      <c r="C307" t="s">
        <v>9</v>
      </c>
      <c r="D307" t="s">
        <v>1570</v>
      </c>
      <c r="E307" t="s">
        <v>5867</v>
      </c>
    </row>
    <row r="308" spans="1:5" ht="15" customHeight="1">
      <c r="A308">
        <v>306</v>
      </c>
      <c r="B308" t="s">
        <v>3683</v>
      </c>
      <c r="C308" t="s">
        <v>9</v>
      </c>
      <c r="D308" t="s">
        <v>1570</v>
      </c>
      <c r="E308" t="s">
        <v>5867</v>
      </c>
    </row>
    <row r="309" spans="1:5" ht="15" customHeight="1">
      <c r="A309">
        <v>307</v>
      </c>
      <c r="B309" t="s">
        <v>3686</v>
      </c>
      <c r="C309" t="s">
        <v>9</v>
      </c>
      <c r="D309" t="s">
        <v>1570</v>
      </c>
      <c r="E309" t="s">
        <v>5867</v>
      </c>
    </row>
    <row r="310" spans="1:5" ht="15" customHeight="1">
      <c r="A310">
        <v>308</v>
      </c>
      <c r="B310" t="s">
        <v>3689</v>
      </c>
      <c r="C310" t="s">
        <v>9</v>
      </c>
      <c r="D310" t="s">
        <v>1570</v>
      </c>
      <c r="E310" t="s">
        <v>5867</v>
      </c>
    </row>
    <row r="311" spans="1:5" ht="15" customHeight="1">
      <c r="A311">
        <v>309</v>
      </c>
      <c r="B311" t="s">
        <v>3693</v>
      </c>
      <c r="C311" t="s">
        <v>9</v>
      </c>
      <c r="D311" t="s">
        <v>1570</v>
      </c>
      <c r="E311" t="s">
        <v>5867</v>
      </c>
    </row>
    <row r="312" spans="1:5" ht="15" customHeight="1">
      <c r="A312">
        <v>310</v>
      </c>
      <c r="B312" t="s">
        <v>3697</v>
      </c>
      <c r="C312" t="s">
        <v>9</v>
      </c>
      <c r="D312" t="s">
        <v>1570</v>
      </c>
      <c r="E312" t="s">
        <v>5867</v>
      </c>
    </row>
    <row r="313" spans="1:5" ht="15" customHeight="1">
      <c r="A313">
        <v>311</v>
      </c>
      <c r="B313" t="s">
        <v>3700</v>
      </c>
      <c r="C313" t="s">
        <v>9</v>
      </c>
      <c r="D313" t="s">
        <v>1570</v>
      </c>
      <c r="E313" t="s">
        <v>5867</v>
      </c>
    </row>
    <row r="314" spans="1:5" ht="15" customHeight="1">
      <c r="A314">
        <v>312</v>
      </c>
      <c r="B314" t="s">
        <v>3703</v>
      </c>
      <c r="C314" t="s">
        <v>9</v>
      </c>
      <c r="D314" t="s">
        <v>1570</v>
      </c>
      <c r="E314" t="s">
        <v>5867</v>
      </c>
    </row>
    <row r="315" spans="1:5" ht="15" customHeight="1">
      <c r="A315">
        <v>313</v>
      </c>
      <c r="B315" t="s">
        <v>4326</v>
      </c>
      <c r="C315" t="s">
        <v>9</v>
      </c>
      <c r="D315" t="s">
        <v>1570</v>
      </c>
      <c r="E315" t="s">
        <v>5867</v>
      </c>
    </row>
    <row r="316" spans="1:5" ht="15" customHeight="1">
      <c r="A316">
        <v>314</v>
      </c>
      <c r="B316" t="s">
        <v>4323</v>
      </c>
      <c r="C316" t="s">
        <v>9</v>
      </c>
      <c r="D316" t="s">
        <v>1570</v>
      </c>
      <c r="E316" t="s">
        <v>5867</v>
      </c>
    </row>
    <row r="317" spans="1:5" ht="15" customHeight="1">
      <c r="A317">
        <v>315</v>
      </c>
      <c r="B317" t="s">
        <v>3717</v>
      </c>
      <c r="C317" t="s">
        <v>9</v>
      </c>
      <c r="D317" t="s">
        <v>1570</v>
      </c>
      <c r="E317" t="s">
        <v>5867</v>
      </c>
    </row>
    <row r="318" spans="1:5" ht="15" customHeight="1">
      <c r="A318">
        <v>316</v>
      </c>
      <c r="B318" t="s">
        <v>3721</v>
      </c>
      <c r="C318" t="s">
        <v>9</v>
      </c>
      <c r="D318" t="s">
        <v>1570</v>
      </c>
      <c r="E318" t="s">
        <v>5867</v>
      </c>
    </row>
    <row r="319" spans="1:5" ht="15" customHeight="1">
      <c r="A319">
        <v>317</v>
      </c>
      <c r="B319" t="s">
        <v>3656</v>
      </c>
      <c r="C319" t="s">
        <v>9</v>
      </c>
      <c r="D319" t="s">
        <v>1570</v>
      </c>
      <c r="E319" t="s">
        <v>5867</v>
      </c>
    </row>
    <row r="320" spans="1:5" ht="15" customHeight="1">
      <c r="A320">
        <v>318</v>
      </c>
      <c r="B320" t="s">
        <v>4344</v>
      </c>
      <c r="C320" t="s">
        <v>9</v>
      </c>
      <c r="D320" t="s">
        <v>1570</v>
      </c>
      <c r="E320" t="s">
        <v>5867</v>
      </c>
    </row>
    <row r="321" spans="1:5" ht="15" customHeight="1">
      <c r="A321">
        <v>319</v>
      </c>
      <c r="B321" t="s">
        <v>3649</v>
      </c>
      <c r="C321" t="s">
        <v>9</v>
      </c>
      <c r="D321" t="s">
        <v>1570</v>
      </c>
      <c r="E321" t="s">
        <v>5867</v>
      </c>
    </row>
    <row r="322" spans="1:5" ht="15" customHeight="1">
      <c r="A322">
        <v>320</v>
      </c>
      <c r="B322" t="s">
        <v>4347</v>
      </c>
      <c r="C322" t="s">
        <v>9</v>
      </c>
      <c r="D322" t="s">
        <v>1570</v>
      </c>
      <c r="E322" t="s">
        <v>5867</v>
      </c>
    </row>
    <row r="323" spans="1:5" ht="15" customHeight="1">
      <c r="A323">
        <v>321</v>
      </c>
      <c r="B323" t="s">
        <v>3580</v>
      </c>
      <c r="C323" t="s">
        <v>9</v>
      </c>
      <c r="D323" t="s">
        <v>1570</v>
      </c>
      <c r="E323" t="s">
        <v>5867</v>
      </c>
    </row>
    <row r="324" spans="1:5" ht="15" customHeight="1">
      <c r="A324">
        <v>322</v>
      </c>
      <c r="B324" t="s">
        <v>3583</v>
      </c>
      <c r="C324" t="s">
        <v>9</v>
      </c>
      <c r="D324" t="s">
        <v>1570</v>
      </c>
      <c r="E324" t="s">
        <v>5867</v>
      </c>
    </row>
    <row r="325" spans="1:5" ht="15" customHeight="1">
      <c r="A325">
        <v>323</v>
      </c>
      <c r="B325" t="s">
        <v>3586</v>
      </c>
      <c r="C325" t="s">
        <v>9</v>
      </c>
      <c r="D325" t="s">
        <v>1570</v>
      </c>
      <c r="E325" t="s">
        <v>5867</v>
      </c>
    </row>
    <row r="326" spans="1:5" ht="15" customHeight="1">
      <c r="A326">
        <v>324</v>
      </c>
      <c r="B326" t="s">
        <v>3589</v>
      </c>
      <c r="C326" t="s">
        <v>9</v>
      </c>
      <c r="D326" t="s">
        <v>1570</v>
      </c>
      <c r="E326" t="s">
        <v>5867</v>
      </c>
    </row>
    <row r="327" spans="1:5" ht="15" customHeight="1">
      <c r="A327">
        <v>325</v>
      </c>
      <c r="B327" t="s">
        <v>3593</v>
      </c>
      <c r="C327" t="s">
        <v>9</v>
      </c>
      <c r="D327" t="s">
        <v>1570</v>
      </c>
      <c r="E327" t="s">
        <v>5867</v>
      </c>
    </row>
    <row r="328" spans="1:5" ht="15" customHeight="1">
      <c r="A328">
        <v>326</v>
      </c>
      <c r="B328" t="s">
        <v>3596</v>
      </c>
      <c r="C328" t="s">
        <v>9</v>
      </c>
      <c r="D328" t="s">
        <v>1570</v>
      </c>
      <c r="E328" t="s">
        <v>5867</v>
      </c>
    </row>
    <row r="329" spans="1:5" ht="15" customHeight="1">
      <c r="A329">
        <v>327</v>
      </c>
      <c r="B329" t="s">
        <v>3603</v>
      </c>
      <c r="C329" t="s">
        <v>9</v>
      </c>
      <c r="D329" t="s">
        <v>1570</v>
      </c>
      <c r="E329" t="s">
        <v>5867</v>
      </c>
    </row>
    <row r="330" spans="1:5" ht="15" customHeight="1">
      <c r="A330">
        <v>328</v>
      </c>
      <c r="B330" t="s">
        <v>4363</v>
      </c>
      <c r="C330" t="s">
        <v>9</v>
      </c>
      <c r="D330" t="s">
        <v>1570</v>
      </c>
      <c r="E330" t="s">
        <v>5867</v>
      </c>
    </row>
    <row r="331" spans="1:5" ht="15" customHeight="1">
      <c r="A331">
        <v>329</v>
      </c>
      <c r="B331" t="s">
        <v>4369</v>
      </c>
      <c r="C331" t="s">
        <v>9</v>
      </c>
      <c r="D331" t="s">
        <v>1570</v>
      </c>
      <c r="E331" t="s">
        <v>5867</v>
      </c>
    </row>
    <row r="332" spans="1:5" ht="15" customHeight="1">
      <c r="A332">
        <v>330</v>
      </c>
      <c r="B332" t="s">
        <v>3610</v>
      </c>
      <c r="C332" t="s">
        <v>9</v>
      </c>
      <c r="D332" t="s">
        <v>1570</v>
      </c>
      <c r="E332" t="s">
        <v>5867</v>
      </c>
    </row>
    <row r="333" spans="1:5" ht="15" customHeight="1">
      <c r="A333">
        <v>331</v>
      </c>
      <c r="B333" t="s">
        <v>3618</v>
      </c>
      <c r="C333" t="s">
        <v>9</v>
      </c>
      <c r="D333" t="s">
        <v>1570</v>
      </c>
      <c r="E333" t="s">
        <v>5867</v>
      </c>
    </row>
    <row r="334" spans="1:5" ht="15" customHeight="1">
      <c r="A334">
        <v>332</v>
      </c>
      <c r="B334" t="s">
        <v>3621</v>
      </c>
      <c r="C334" t="s">
        <v>9</v>
      </c>
      <c r="D334" t="s">
        <v>1570</v>
      </c>
      <c r="E334" t="s">
        <v>5867</v>
      </c>
    </row>
    <row r="335" spans="1:5" ht="15" customHeight="1">
      <c r="A335">
        <v>333</v>
      </c>
      <c r="B335" t="s">
        <v>3625</v>
      </c>
      <c r="C335" t="s">
        <v>9</v>
      </c>
      <c r="D335" t="s">
        <v>1570</v>
      </c>
      <c r="E335" t="s">
        <v>5867</v>
      </c>
    </row>
    <row r="336" spans="1:5" ht="15" customHeight="1">
      <c r="A336">
        <v>334</v>
      </c>
      <c r="B336" t="s">
        <v>3628</v>
      </c>
      <c r="C336" t="s">
        <v>9</v>
      </c>
      <c r="D336" t="s">
        <v>1570</v>
      </c>
      <c r="E336" t="s">
        <v>5867</v>
      </c>
    </row>
    <row r="337" spans="1:5" ht="15" customHeight="1">
      <c r="A337">
        <v>335</v>
      </c>
      <c r="B337" t="s">
        <v>4357</v>
      </c>
      <c r="C337" t="s">
        <v>9</v>
      </c>
      <c r="D337" t="s">
        <v>1570</v>
      </c>
      <c r="E337" t="s">
        <v>5867</v>
      </c>
    </row>
    <row r="338" spans="1:5" ht="15" customHeight="1">
      <c r="A338">
        <v>336</v>
      </c>
      <c r="B338" t="s">
        <v>3635</v>
      </c>
      <c r="C338" t="s">
        <v>9</v>
      </c>
      <c r="D338" t="s">
        <v>1570</v>
      </c>
      <c r="E338" t="s">
        <v>5867</v>
      </c>
    </row>
    <row r="339" spans="1:5" ht="15" customHeight="1">
      <c r="A339">
        <v>337</v>
      </c>
      <c r="B339" t="s">
        <v>3638</v>
      </c>
      <c r="C339" t="s">
        <v>9</v>
      </c>
      <c r="D339" t="s">
        <v>1570</v>
      </c>
      <c r="E339" t="s">
        <v>5867</v>
      </c>
    </row>
    <row r="340" spans="1:5" ht="15" customHeight="1">
      <c r="A340">
        <v>338</v>
      </c>
      <c r="B340" t="s">
        <v>3642</v>
      </c>
      <c r="C340" t="s">
        <v>9</v>
      </c>
      <c r="D340" t="s">
        <v>1570</v>
      </c>
      <c r="E340" t="s">
        <v>5867</v>
      </c>
    </row>
    <row r="341" spans="1:5" ht="15" customHeight="1">
      <c r="A341">
        <v>339</v>
      </c>
      <c r="B341" t="s">
        <v>4360</v>
      </c>
      <c r="C341" t="s">
        <v>9</v>
      </c>
      <c r="D341" t="s">
        <v>1570</v>
      </c>
      <c r="E341" t="s">
        <v>5867</v>
      </c>
    </row>
    <row r="342" spans="1:5" ht="15" customHeight="1">
      <c r="A342">
        <v>340</v>
      </c>
      <c r="B342" t="s">
        <v>2771</v>
      </c>
      <c r="C342" t="s">
        <v>9</v>
      </c>
      <c r="D342" t="s">
        <v>1570</v>
      </c>
      <c r="E342" t="s">
        <v>5867</v>
      </c>
    </row>
    <row r="343" spans="1:5" ht="15" customHeight="1">
      <c r="A343">
        <v>341</v>
      </c>
      <c r="B343" t="s">
        <v>2840</v>
      </c>
      <c r="C343" t="s">
        <v>9</v>
      </c>
      <c r="D343" t="s">
        <v>1570</v>
      </c>
      <c r="E343" t="s">
        <v>5867</v>
      </c>
    </row>
    <row r="344" spans="1:5" ht="15" customHeight="1">
      <c r="A344">
        <v>342</v>
      </c>
      <c r="B344" t="s">
        <v>2764</v>
      </c>
      <c r="C344" t="s">
        <v>9</v>
      </c>
      <c r="D344" t="s">
        <v>1570</v>
      </c>
      <c r="E344" t="s">
        <v>5867</v>
      </c>
    </row>
    <row r="345" spans="1:5" ht="15" customHeight="1">
      <c r="A345">
        <v>343</v>
      </c>
      <c r="B345" t="s">
        <v>535</v>
      </c>
      <c r="C345" t="s">
        <v>10</v>
      </c>
      <c r="D345" t="s">
        <v>5868</v>
      </c>
      <c r="E345" t="s">
        <v>5867</v>
      </c>
    </row>
    <row r="346" spans="1:5" ht="15" customHeight="1">
      <c r="A346">
        <v>344</v>
      </c>
      <c r="B346" t="s">
        <v>1971</v>
      </c>
      <c r="C346" t="s">
        <v>9</v>
      </c>
      <c r="D346" t="s">
        <v>1570</v>
      </c>
      <c r="E346" t="s">
        <v>5867</v>
      </c>
    </row>
    <row r="347" spans="1:5" ht="15" customHeight="1">
      <c r="A347">
        <v>345</v>
      </c>
      <c r="B347" t="s">
        <v>534</v>
      </c>
      <c r="C347" t="s">
        <v>10</v>
      </c>
      <c r="D347" t="s">
        <v>5869</v>
      </c>
      <c r="E347" t="s">
        <v>5867</v>
      </c>
    </row>
    <row r="348" spans="1:5" ht="15" customHeight="1">
      <c r="A348">
        <v>346</v>
      </c>
      <c r="B348" t="s">
        <v>533</v>
      </c>
      <c r="C348" t="s">
        <v>10</v>
      </c>
      <c r="D348" t="s">
        <v>5868</v>
      </c>
      <c r="E348" t="s">
        <v>5867</v>
      </c>
    </row>
    <row r="349" spans="1:5" ht="15" customHeight="1">
      <c r="A349">
        <v>347</v>
      </c>
      <c r="B349" t="s">
        <v>1981</v>
      </c>
      <c r="C349" t="s">
        <v>9</v>
      </c>
      <c r="D349" t="s">
        <v>1570</v>
      </c>
      <c r="E349" t="s">
        <v>5867</v>
      </c>
    </row>
    <row r="350" spans="1:5" ht="15" customHeight="1">
      <c r="A350">
        <v>348</v>
      </c>
      <c r="B350" t="s">
        <v>1984</v>
      </c>
      <c r="C350" t="s">
        <v>9</v>
      </c>
      <c r="D350" t="s">
        <v>1570</v>
      </c>
      <c r="E350" t="s">
        <v>5867</v>
      </c>
    </row>
    <row r="351" spans="1:5" ht="15" customHeight="1">
      <c r="A351">
        <v>349</v>
      </c>
      <c r="B351" t="s">
        <v>1987</v>
      </c>
      <c r="C351" t="s">
        <v>9</v>
      </c>
      <c r="D351" t="s">
        <v>1570</v>
      </c>
      <c r="E351" t="s">
        <v>5867</v>
      </c>
    </row>
    <row r="352" spans="1:5" ht="15" customHeight="1">
      <c r="A352">
        <v>350</v>
      </c>
      <c r="B352" t="s">
        <v>1991</v>
      </c>
      <c r="C352" t="s">
        <v>9</v>
      </c>
      <c r="D352" t="s">
        <v>1570</v>
      </c>
      <c r="E352" t="s">
        <v>5867</v>
      </c>
    </row>
    <row r="353" spans="1:5" ht="15" customHeight="1">
      <c r="A353">
        <v>351</v>
      </c>
      <c r="B353" t="s">
        <v>1963</v>
      </c>
      <c r="C353" t="s">
        <v>9</v>
      </c>
      <c r="D353" t="s">
        <v>1570</v>
      </c>
      <c r="E353" t="s">
        <v>5867</v>
      </c>
    </row>
    <row r="354" spans="1:5" ht="15" customHeight="1">
      <c r="A354">
        <v>352</v>
      </c>
      <c r="B354" t="s">
        <v>1994</v>
      </c>
      <c r="C354" t="s">
        <v>9</v>
      </c>
      <c r="D354" t="s">
        <v>1570</v>
      </c>
      <c r="E354" t="s">
        <v>5867</v>
      </c>
    </row>
    <row r="355" spans="1:5" ht="15" customHeight="1">
      <c r="A355">
        <v>353</v>
      </c>
      <c r="B355" t="s">
        <v>529</v>
      </c>
      <c r="C355" t="s">
        <v>10</v>
      </c>
      <c r="D355" t="s">
        <v>5869</v>
      </c>
      <c r="E355" t="s">
        <v>5867</v>
      </c>
    </row>
    <row r="356" spans="1:5" ht="15" customHeight="1">
      <c r="A356">
        <v>354</v>
      </c>
      <c r="B356" t="s">
        <v>528</v>
      </c>
      <c r="C356" t="s">
        <v>10</v>
      </c>
      <c r="D356" t="s">
        <v>5868</v>
      </c>
      <c r="E356" t="s">
        <v>5867</v>
      </c>
    </row>
    <row r="357" spans="1:5" ht="15" customHeight="1">
      <c r="A357">
        <v>355</v>
      </c>
      <c r="B357" t="s">
        <v>527</v>
      </c>
      <c r="C357" t="s">
        <v>10</v>
      </c>
      <c r="D357" t="s">
        <v>5869</v>
      </c>
      <c r="E357" t="s">
        <v>5867</v>
      </c>
    </row>
    <row r="358" spans="1:5" ht="15" customHeight="1">
      <c r="A358">
        <v>356</v>
      </c>
      <c r="B358" t="s">
        <v>526</v>
      </c>
      <c r="C358" t="s">
        <v>10</v>
      </c>
      <c r="D358" t="s">
        <v>5868</v>
      </c>
      <c r="E358" t="s">
        <v>5867</v>
      </c>
    </row>
    <row r="359" spans="1:5" ht="15" customHeight="1">
      <c r="A359">
        <v>357</v>
      </c>
      <c r="B359" t="s">
        <v>2015</v>
      </c>
      <c r="C359" t="s">
        <v>9</v>
      </c>
      <c r="D359" t="s">
        <v>1570</v>
      </c>
      <c r="E359" t="s">
        <v>5867</v>
      </c>
    </row>
    <row r="360" spans="1:5" ht="15" customHeight="1">
      <c r="A360">
        <v>358</v>
      </c>
      <c r="B360" t="s">
        <v>2018</v>
      </c>
      <c r="C360" t="s">
        <v>9</v>
      </c>
      <c r="D360" t="s">
        <v>1570</v>
      </c>
      <c r="E360" t="s">
        <v>5867</v>
      </c>
    </row>
    <row r="361" spans="1:5" ht="15" customHeight="1">
      <c r="A361">
        <v>359</v>
      </c>
      <c r="B361" t="s">
        <v>2025</v>
      </c>
      <c r="C361" t="s">
        <v>9</v>
      </c>
      <c r="D361" t="s">
        <v>1570</v>
      </c>
      <c r="E361" t="s">
        <v>5867</v>
      </c>
    </row>
    <row r="362" spans="1:5" ht="15" customHeight="1">
      <c r="A362">
        <v>360</v>
      </c>
      <c r="B362" t="s">
        <v>521</v>
      </c>
      <c r="C362" t="s">
        <v>10</v>
      </c>
      <c r="D362" t="s">
        <v>5868</v>
      </c>
      <c r="E362" t="s">
        <v>5867</v>
      </c>
    </row>
    <row r="363" spans="1:5" ht="15" customHeight="1">
      <c r="A363">
        <v>361</v>
      </c>
      <c r="B363" t="s">
        <v>530</v>
      </c>
      <c r="C363" t="s">
        <v>10</v>
      </c>
      <c r="D363" t="s">
        <v>5869</v>
      </c>
      <c r="E363" t="s">
        <v>5867</v>
      </c>
    </row>
    <row r="364" spans="1:5" ht="15" customHeight="1">
      <c r="A364">
        <v>362</v>
      </c>
      <c r="B364" t="s">
        <v>520</v>
      </c>
      <c r="C364" t="s">
        <v>10</v>
      </c>
      <c r="D364" t="s">
        <v>5869</v>
      </c>
      <c r="E364" t="s">
        <v>5867</v>
      </c>
    </row>
    <row r="365" spans="1:5" ht="15" customHeight="1">
      <c r="A365">
        <v>363</v>
      </c>
      <c r="B365" t="s">
        <v>536</v>
      </c>
      <c r="C365" t="s">
        <v>10</v>
      </c>
      <c r="D365" t="s">
        <v>5868</v>
      </c>
      <c r="E365" t="s">
        <v>5867</v>
      </c>
    </row>
    <row r="366" spans="1:5" ht="15" customHeight="1">
      <c r="A366">
        <v>364</v>
      </c>
      <c r="B366" t="s">
        <v>538</v>
      </c>
      <c r="C366" t="s">
        <v>10</v>
      </c>
      <c r="D366" t="s">
        <v>5869</v>
      </c>
      <c r="E366" t="s">
        <v>5867</v>
      </c>
    </row>
    <row r="367" spans="1:5" ht="15" customHeight="1">
      <c r="A367">
        <v>365</v>
      </c>
      <c r="B367" t="s">
        <v>1894</v>
      </c>
      <c r="C367" t="s">
        <v>9</v>
      </c>
      <c r="D367" t="s">
        <v>1570</v>
      </c>
      <c r="E367" t="s">
        <v>5867</v>
      </c>
    </row>
    <row r="368" spans="1:5" ht="15" customHeight="1">
      <c r="A368">
        <v>366</v>
      </c>
      <c r="B368" t="s">
        <v>1897</v>
      </c>
      <c r="C368" t="s">
        <v>9</v>
      </c>
      <c r="D368" t="s">
        <v>1570</v>
      </c>
      <c r="E368" t="s">
        <v>5867</v>
      </c>
    </row>
    <row r="369" spans="1:5" ht="15" customHeight="1">
      <c r="A369">
        <v>367</v>
      </c>
      <c r="B369" t="s">
        <v>1901</v>
      </c>
      <c r="C369" t="s">
        <v>9</v>
      </c>
      <c r="D369" t="s">
        <v>1570</v>
      </c>
      <c r="E369" t="s">
        <v>5867</v>
      </c>
    </row>
    <row r="370" spans="1:5" ht="15" customHeight="1">
      <c r="A370">
        <v>368</v>
      </c>
      <c r="B370" t="s">
        <v>543</v>
      </c>
      <c r="C370" t="s">
        <v>10</v>
      </c>
      <c r="D370" t="s">
        <v>5869</v>
      </c>
      <c r="E370" t="s">
        <v>5867</v>
      </c>
    </row>
    <row r="371" spans="1:5" ht="15" customHeight="1">
      <c r="A371">
        <v>369</v>
      </c>
      <c r="B371" t="s">
        <v>1908</v>
      </c>
      <c r="C371" t="s">
        <v>9</v>
      </c>
      <c r="D371" t="s">
        <v>1570</v>
      </c>
      <c r="E371" t="s">
        <v>5867</v>
      </c>
    </row>
    <row r="372" spans="1:5" ht="15" customHeight="1">
      <c r="A372">
        <v>370</v>
      </c>
      <c r="B372" t="s">
        <v>542</v>
      </c>
      <c r="C372" t="s">
        <v>10</v>
      </c>
      <c r="D372" t="s">
        <v>5869</v>
      </c>
      <c r="E372" t="s">
        <v>5867</v>
      </c>
    </row>
    <row r="373" spans="1:5" ht="15" customHeight="1">
      <c r="A373">
        <v>371</v>
      </c>
      <c r="B373" t="s">
        <v>1914</v>
      </c>
      <c r="C373" t="s">
        <v>9</v>
      </c>
      <c r="D373" t="s">
        <v>1570</v>
      </c>
      <c r="E373" t="s">
        <v>5867</v>
      </c>
    </row>
    <row r="374" spans="1:5" ht="15" customHeight="1">
      <c r="A374">
        <v>372</v>
      </c>
      <c r="B374" t="s">
        <v>1917</v>
      </c>
      <c r="C374" t="s">
        <v>9</v>
      </c>
      <c r="D374" t="s">
        <v>1570</v>
      </c>
      <c r="E374" t="s">
        <v>5867</v>
      </c>
    </row>
    <row r="375" spans="1:5" ht="15" customHeight="1">
      <c r="A375">
        <v>373</v>
      </c>
      <c r="B375" t="s">
        <v>1957</v>
      </c>
      <c r="C375" t="s">
        <v>9</v>
      </c>
      <c r="D375" t="s">
        <v>1570</v>
      </c>
      <c r="E375" t="s">
        <v>5867</v>
      </c>
    </row>
    <row r="376" spans="1:5" ht="15" customHeight="1">
      <c r="A376">
        <v>374</v>
      </c>
      <c r="B376" t="s">
        <v>1920</v>
      </c>
      <c r="C376" t="s">
        <v>9</v>
      </c>
      <c r="D376" t="s">
        <v>1570</v>
      </c>
      <c r="E376" t="s">
        <v>5867</v>
      </c>
    </row>
    <row r="377" spans="1:5" ht="15" customHeight="1">
      <c r="A377">
        <v>375</v>
      </c>
      <c r="B377" t="s">
        <v>1926</v>
      </c>
      <c r="C377" t="s">
        <v>9</v>
      </c>
      <c r="D377" t="s">
        <v>1570</v>
      </c>
      <c r="E377" t="s">
        <v>5867</v>
      </c>
    </row>
    <row r="378" spans="1:5" ht="15" customHeight="1">
      <c r="A378">
        <v>376</v>
      </c>
      <c r="B378" t="s">
        <v>1929</v>
      </c>
      <c r="C378" t="s">
        <v>9</v>
      </c>
      <c r="D378" t="s">
        <v>1570</v>
      </c>
      <c r="E378" t="s">
        <v>5867</v>
      </c>
    </row>
    <row r="379" spans="1:5" ht="15" customHeight="1">
      <c r="A379">
        <v>377</v>
      </c>
      <c r="B379" t="s">
        <v>539</v>
      </c>
      <c r="C379" t="s">
        <v>10</v>
      </c>
      <c r="D379" t="s">
        <v>5868</v>
      </c>
      <c r="E379" t="s">
        <v>5867</v>
      </c>
    </row>
    <row r="380" spans="1:5" ht="15" customHeight="1">
      <c r="A380">
        <v>378</v>
      </c>
      <c r="B380" t="s">
        <v>1937</v>
      </c>
      <c r="C380" t="s">
        <v>9</v>
      </c>
      <c r="D380" t="s">
        <v>1570</v>
      </c>
      <c r="E380" t="s">
        <v>5867</v>
      </c>
    </row>
    <row r="381" spans="1:5" ht="15" customHeight="1">
      <c r="A381">
        <v>379</v>
      </c>
      <c r="B381" t="s">
        <v>1940</v>
      </c>
      <c r="C381" t="s">
        <v>9</v>
      </c>
      <c r="D381" t="s">
        <v>1570</v>
      </c>
      <c r="E381" t="s">
        <v>5867</v>
      </c>
    </row>
    <row r="382" spans="1:5" ht="15" customHeight="1">
      <c r="A382">
        <v>380</v>
      </c>
      <c r="B382" t="s">
        <v>1944</v>
      </c>
      <c r="C382" t="s">
        <v>9</v>
      </c>
      <c r="D382" t="s">
        <v>1570</v>
      </c>
      <c r="E382" t="s">
        <v>5867</v>
      </c>
    </row>
    <row r="383" spans="1:5" ht="15" customHeight="1">
      <c r="A383">
        <v>381</v>
      </c>
      <c r="B383" t="s">
        <v>1947</v>
      </c>
      <c r="C383" t="s">
        <v>9</v>
      </c>
      <c r="D383" t="s">
        <v>1570</v>
      </c>
      <c r="E383" t="s">
        <v>5867</v>
      </c>
    </row>
    <row r="384" spans="1:5" ht="15" customHeight="1">
      <c r="A384">
        <v>382</v>
      </c>
      <c r="B384" t="s">
        <v>1951</v>
      </c>
      <c r="C384" t="s">
        <v>9</v>
      </c>
      <c r="D384" t="s">
        <v>1570</v>
      </c>
      <c r="E384" t="s">
        <v>5867</v>
      </c>
    </row>
    <row r="385" spans="1:5" ht="15" customHeight="1">
      <c r="A385">
        <v>383</v>
      </c>
      <c r="B385" t="s">
        <v>1923</v>
      </c>
      <c r="C385" t="s">
        <v>9</v>
      </c>
      <c r="D385" t="s">
        <v>1570</v>
      </c>
      <c r="E385" t="s">
        <v>5867</v>
      </c>
    </row>
    <row r="386" spans="1:5" ht="15" customHeight="1">
      <c r="A386">
        <v>384</v>
      </c>
      <c r="B386" t="s">
        <v>1891</v>
      </c>
      <c r="C386" t="s">
        <v>9</v>
      </c>
      <c r="D386" t="s">
        <v>1570</v>
      </c>
      <c r="E386" t="s">
        <v>5867</v>
      </c>
    </row>
    <row r="387" spans="1:5" ht="15" customHeight="1">
      <c r="A387">
        <v>385</v>
      </c>
      <c r="B387" t="s">
        <v>518</v>
      </c>
      <c r="C387" t="s">
        <v>10</v>
      </c>
      <c r="D387" t="s">
        <v>5869</v>
      </c>
      <c r="E387" t="s">
        <v>5867</v>
      </c>
    </row>
    <row r="388" spans="1:5" ht="15" customHeight="1">
      <c r="A388">
        <v>386</v>
      </c>
      <c r="B388" t="s">
        <v>2042</v>
      </c>
      <c r="C388" t="s">
        <v>9</v>
      </c>
      <c r="D388" t="s">
        <v>1570</v>
      </c>
      <c r="E388" t="s">
        <v>5867</v>
      </c>
    </row>
    <row r="389" spans="1:5" ht="15" customHeight="1">
      <c r="A389">
        <v>387</v>
      </c>
      <c r="B389" t="s">
        <v>2121</v>
      </c>
      <c r="C389" t="s">
        <v>9</v>
      </c>
      <c r="D389" t="s">
        <v>1570</v>
      </c>
      <c r="E389" t="s">
        <v>5867</v>
      </c>
    </row>
    <row r="390" spans="1:5" ht="15" customHeight="1">
      <c r="A390">
        <v>388</v>
      </c>
      <c r="B390" t="s">
        <v>2124</v>
      </c>
      <c r="C390" t="s">
        <v>9</v>
      </c>
      <c r="D390" t="s">
        <v>1570</v>
      </c>
      <c r="E390" t="s">
        <v>5867</v>
      </c>
    </row>
    <row r="391" spans="1:5" ht="15" customHeight="1">
      <c r="A391">
        <v>389</v>
      </c>
      <c r="B391" t="s">
        <v>2127</v>
      </c>
      <c r="C391" t="s">
        <v>9</v>
      </c>
      <c r="D391" t="s">
        <v>1570</v>
      </c>
      <c r="E391" t="s">
        <v>5867</v>
      </c>
    </row>
    <row r="392" spans="1:5" ht="15" customHeight="1">
      <c r="A392">
        <v>390</v>
      </c>
      <c r="B392" t="s">
        <v>2131</v>
      </c>
      <c r="C392" t="s">
        <v>9</v>
      </c>
      <c r="D392" t="s">
        <v>1570</v>
      </c>
      <c r="E392" t="s">
        <v>5867</v>
      </c>
    </row>
    <row r="393" spans="1:5" ht="15" customHeight="1">
      <c r="A393">
        <v>391</v>
      </c>
      <c r="B393" t="s">
        <v>2135</v>
      </c>
      <c r="C393" t="s">
        <v>9</v>
      </c>
      <c r="D393" t="s">
        <v>1570</v>
      </c>
      <c r="E393" t="s">
        <v>5867</v>
      </c>
    </row>
    <row r="394" spans="1:5" ht="15" customHeight="1">
      <c r="A394">
        <v>392</v>
      </c>
      <c r="B394" t="s">
        <v>508</v>
      </c>
      <c r="C394" t="s">
        <v>10</v>
      </c>
      <c r="D394" t="s">
        <v>5868</v>
      </c>
      <c r="E394" t="s">
        <v>5867</v>
      </c>
    </row>
    <row r="395" spans="1:5" ht="15" customHeight="1">
      <c r="A395">
        <v>393</v>
      </c>
      <c r="B395" t="s">
        <v>2768</v>
      </c>
      <c r="C395" t="s">
        <v>9</v>
      </c>
      <c r="D395" t="s">
        <v>1570</v>
      </c>
      <c r="E395" t="s">
        <v>5867</v>
      </c>
    </row>
    <row r="396" spans="1:5" ht="15" customHeight="1">
      <c r="A396">
        <v>394</v>
      </c>
      <c r="B396" t="s">
        <v>2145</v>
      </c>
      <c r="C396" t="s">
        <v>9</v>
      </c>
      <c r="D396" t="s">
        <v>1570</v>
      </c>
      <c r="E396" t="s">
        <v>5867</v>
      </c>
    </row>
    <row r="397" spans="1:5" ht="15" customHeight="1">
      <c r="A397">
        <v>395</v>
      </c>
      <c r="B397" t="s">
        <v>2118</v>
      </c>
      <c r="C397" t="s">
        <v>9</v>
      </c>
      <c r="D397" t="s">
        <v>1570</v>
      </c>
      <c r="E397" t="s">
        <v>5867</v>
      </c>
    </row>
    <row r="398" spans="1:5" ht="15" customHeight="1">
      <c r="A398">
        <v>396</v>
      </c>
      <c r="B398" t="s">
        <v>2148</v>
      </c>
      <c r="C398" t="s">
        <v>9</v>
      </c>
      <c r="D398" t="s">
        <v>1570</v>
      </c>
      <c r="E398" t="s">
        <v>5867</v>
      </c>
    </row>
    <row r="399" spans="1:5" ht="15" customHeight="1">
      <c r="A399">
        <v>397</v>
      </c>
      <c r="B399" t="s">
        <v>2155</v>
      </c>
      <c r="C399" t="s">
        <v>9</v>
      </c>
      <c r="D399" t="s">
        <v>1570</v>
      </c>
      <c r="E399" t="s">
        <v>5867</v>
      </c>
    </row>
    <row r="400" spans="1:5" ht="15" customHeight="1">
      <c r="A400">
        <v>398</v>
      </c>
      <c r="B400" t="s">
        <v>505</v>
      </c>
      <c r="C400" t="s">
        <v>10</v>
      </c>
      <c r="D400" t="s">
        <v>5869</v>
      </c>
      <c r="E400" t="s">
        <v>5867</v>
      </c>
    </row>
    <row r="401" spans="1:5" ht="15" customHeight="1">
      <c r="A401">
        <v>399</v>
      </c>
      <c r="B401" t="s">
        <v>2163</v>
      </c>
      <c r="C401" t="s">
        <v>9</v>
      </c>
      <c r="D401" t="s">
        <v>1570</v>
      </c>
      <c r="E401" t="s">
        <v>5867</v>
      </c>
    </row>
    <row r="402" spans="1:5" ht="15" customHeight="1">
      <c r="A402">
        <v>400</v>
      </c>
      <c r="B402" t="s">
        <v>2167</v>
      </c>
      <c r="C402" t="s">
        <v>9</v>
      </c>
      <c r="D402" t="s">
        <v>1570</v>
      </c>
      <c r="E402" t="s">
        <v>5867</v>
      </c>
    </row>
    <row r="403" spans="1:5" ht="15" customHeight="1">
      <c r="A403">
        <v>401</v>
      </c>
      <c r="B403" t="s">
        <v>2170</v>
      </c>
      <c r="C403" t="s">
        <v>9</v>
      </c>
      <c r="D403" t="s">
        <v>1570</v>
      </c>
      <c r="E403" t="s">
        <v>5867</v>
      </c>
    </row>
    <row r="404" spans="1:5" ht="15" customHeight="1">
      <c r="A404">
        <v>402</v>
      </c>
      <c r="B404" t="s">
        <v>502</v>
      </c>
      <c r="C404" t="s">
        <v>10</v>
      </c>
      <c r="D404" t="s">
        <v>5868</v>
      </c>
      <c r="E404" t="s">
        <v>5867</v>
      </c>
    </row>
    <row r="405" spans="1:5" ht="15" customHeight="1">
      <c r="A405">
        <v>403</v>
      </c>
      <c r="B405" t="s">
        <v>2177</v>
      </c>
      <c r="C405" t="s">
        <v>9</v>
      </c>
      <c r="D405" t="s">
        <v>1570</v>
      </c>
      <c r="E405" t="s">
        <v>5867</v>
      </c>
    </row>
    <row r="406" spans="1:5" ht="15" customHeight="1">
      <c r="A406">
        <v>404</v>
      </c>
      <c r="B406" t="s">
        <v>2181</v>
      </c>
      <c r="C406" t="s">
        <v>9</v>
      </c>
      <c r="D406" t="s">
        <v>1570</v>
      </c>
      <c r="E406" t="s">
        <v>5867</v>
      </c>
    </row>
    <row r="407" spans="1:5" ht="15" customHeight="1">
      <c r="A407">
        <v>405</v>
      </c>
      <c r="B407" t="s">
        <v>2152</v>
      </c>
      <c r="C407" t="s">
        <v>9</v>
      </c>
      <c r="D407" t="s">
        <v>1570</v>
      </c>
      <c r="E407" t="s">
        <v>5867</v>
      </c>
    </row>
    <row r="408" spans="1:5" ht="15" customHeight="1">
      <c r="A408">
        <v>406</v>
      </c>
      <c r="B408" t="s">
        <v>517</v>
      </c>
      <c r="C408" t="s">
        <v>10</v>
      </c>
      <c r="D408" t="s">
        <v>5869</v>
      </c>
      <c r="E408" t="s">
        <v>5867</v>
      </c>
    </row>
    <row r="409" spans="1:5" ht="15" customHeight="1">
      <c r="A409">
        <v>407</v>
      </c>
      <c r="B409" t="s">
        <v>509</v>
      </c>
      <c r="C409" t="s">
        <v>10</v>
      </c>
      <c r="D409" t="s">
        <v>5869</v>
      </c>
      <c r="E409" t="s">
        <v>5867</v>
      </c>
    </row>
    <row r="410" spans="1:5" ht="15" customHeight="1">
      <c r="A410">
        <v>408</v>
      </c>
      <c r="B410" t="s">
        <v>2109</v>
      </c>
      <c r="C410" t="s">
        <v>9</v>
      </c>
      <c r="D410" t="s">
        <v>1570</v>
      </c>
      <c r="E410" t="s">
        <v>5867</v>
      </c>
    </row>
    <row r="411" spans="1:5" ht="15" customHeight="1">
      <c r="A411">
        <v>409</v>
      </c>
      <c r="B411" t="s">
        <v>516</v>
      </c>
      <c r="C411" t="s">
        <v>10</v>
      </c>
      <c r="D411" t="s">
        <v>5869</v>
      </c>
      <c r="E411" t="s">
        <v>5867</v>
      </c>
    </row>
    <row r="412" spans="1:5" ht="15" customHeight="1">
      <c r="A412">
        <v>410</v>
      </c>
      <c r="B412" t="s">
        <v>515</v>
      </c>
      <c r="C412" t="s">
        <v>10</v>
      </c>
      <c r="D412" t="s">
        <v>5869</v>
      </c>
      <c r="E412" t="s">
        <v>5867</v>
      </c>
    </row>
    <row r="413" spans="1:5" ht="15" customHeight="1">
      <c r="A413">
        <v>411</v>
      </c>
      <c r="B413" t="s">
        <v>514</v>
      </c>
      <c r="C413" t="s">
        <v>10</v>
      </c>
      <c r="D413" t="s">
        <v>5869</v>
      </c>
      <c r="E413" t="s">
        <v>5867</v>
      </c>
    </row>
    <row r="414" spans="1:5" ht="15" customHeight="1">
      <c r="A414">
        <v>412</v>
      </c>
      <c r="B414" t="s">
        <v>2055</v>
      </c>
      <c r="C414" t="s">
        <v>9</v>
      </c>
      <c r="D414" t="s">
        <v>1570</v>
      </c>
      <c r="E414" t="s">
        <v>5867</v>
      </c>
    </row>
    <row r="415" spans="1:5" ht="15" customHeight="1">
      <c r="A415">
        <v>413</v>
      </c>
      <c r="B415" t="s">
        <v>2058</v>
      </c>
      <c r="C415" t="s">
        <v>9</v>
      </c>
      <c r="D415" t="s">
        <v>1570</v>
      </c>
      <c r="E415" t="s">
        <v>5867</v>
      </c>
    </row>
    <row r="416" spans="1:5" ht="15" customHeight="1">
      <c r="A416">
        <v>414</v>
      </c>
      <c r="B416" t="s">
        <v>513</v>
      </c>
      <c r="C416" t="s">
        <v>10</v>
      </c>
      <c r="D416" t="s">
        <v>5869</v>
      </c>
      <c r="E416" t="s">
        <v>5867</v>
      </c>
    </row>
    <row r="417" spans="1:5" ht="15" customHeight="1">
      <c r="A417">
        <v>415</v>
      </c>
      <c r="B417" t="s">
        <v>2065</v>
      </c>
      <c r="C417" t="s">
        <v>9</v>
      </c>
      <c r="D417" t="s">
        <v>1570</v>
      </c>
      <c r="E417" t="s">
        <v>5867</v>
      </c>
    </row>
    <row r="418" spans="1:5" ht="15" customHeight="1">
      <c r="A418">
        <v>416</v>
      </c>
      <c r="B418" t="s">
        <v>2069</v>
      </c>
      <c r="C418" t="s">
        <v>9</v>
      </c>
      <c r="D418" t="s">
        <v>1570</v>
      </c>
      <c r="E418" t="s">
        <v>5867</v>
      </c>
    </row>
    <row r="419" spans="1:5" ht="15" customHeight="1">
      <c r="A419">
        <v>417</v>
      </c>
      <c r="B419" t="s">
        <v>2112</v>
      </c>
      <c r="C419" t="s">
        <v>9</v>
      </c>
      <c r="D419" t="s">
        <v>1570</v>
      </c>
      <c r="E419" t="s">
        <v>5867</v>
      </c>
    </row>
    <row r="420" spans="1:5" ht="15" customHeight="1">
      <c r="A420">
        <v>418</v>
      </c>
      <c r="B420" t="s">
        <v>512</v>
      </c>
      <c r="C420" t="s">
        <v>10</v>
      </c>
      <c r="D420" t="s">
        <v>5869</v>
      </c>
      <c r="E420" t="s">
        <v>5867</v>
      </c>
    </row>
    <row r="421" spans="1:5" ht="15" customHeight="1">
      <c r="A421">
        <v>419</v>
      </c>
      <c r="B421" t="s">
        <v>2080</v>
      </c>
      <c r="C421" t="s">
        <v>9</v>
      </c>
      <c r="D421" t="s">
        <v>1570</v>
      </c>
      <c r="E421" t="s">
        <v>5867</v>
      </c>
    </row>
    <row r="422" spans="1:5" ht="15" customHeight="1">
      <c r="A422">
        <v>420</v>
      </c>
      <c r="B422" t="s">
        <v>511</v>
      </c>
      <c r="C422" t="s">
        <v>10</v>
      </c>
      <c r="D422" t="s">
        <v>5869</v>
      </c>
      <c r="E422" t="s">
        <v>5867</v>
      </c>
    </row>
    <row r="423" spans="1:5" ht="15" customHeight="1">
      <c r="A423">
        <v>421</v>
      </c>
      <c r="B423" t="s">
        <v>2088</v>
      </c>
      <c r="C423" t="s">
        <v>9</v>
      </c>
      <c r="D423" t="s">
        <v>1570</v>
      </c>
      <c r="E423" t="s">
        <v>5867</v>
      </c>
    </row>
    <row r="424" spans="1:5" ht="15" customHeight="1">
      <c r="A424">
        <v>422</v>
      </c>
      <c r="B424" t="s">
        <v>2091</v>
      </c>
      <c r="C424" t="s">
        <v>9</v>
      </c>
      <c r="D424" t="s">
        <v>1570</v>
      </c>
      <c r="E424" t="s">
        <v>5867</v>
      </c>
    </row>
    <row r="425" spans="1:5" ht="15" customHeight="1">
      <c r="A425">
        <v>423</v>
      </c>
      <c r="B425" t="s">
        <v>510</v>
      </c>
      <c r="C425" t="s">
        <v>10</v>
      </c>
      <c r="D425" t="s">
        <v>5869</v>
      </c>
      <c r="E425" t="s">
        <v>5867</v>
      </c>
    </row>
    <row r="426" spans="1:5" ht="15" customHeight="1">
      <c r="A426">
        <v>424</v>
      </c>
      <c r="B426" t="s">
        <v>2098</v>
      </c>
      <c r="C426" t="s">
        <v>9</v>
      </c>
      <c r="D426" t="s">
        <v>1570</v>
      </c>
      <c r="E426" t="s">
        <v>5867</v>
      </c>
    </row>
    <row r="427" spans="1:5" ht="15" customHeight="1">
      <c r="A427">
        <v>425</v>
      </c>
      <c r="B427" t="s">
        <v>2102</v>
      </c>
      <c r="C427" t="s">
        <v>9</v>
      </c>
      <c r="D427" t="s">
        <v>1570</v>
      </c>
      <c r="E427" t="s">
        <v>5867</v>
      </c>
    </row>
    <row r="428" spans="1:5" ht="15" customHeight="1">
      <c r="A428">
        <v>426</v>
      </c>
      <c r="B428" t="s">
        <v>2106</v>
      </c>
      <c r="C428" t="s">
        <v>9</v>
      </c>
      <c r="D428" t="s">
        <v>1570</v>
      </c>
      <c r="E428" t="s">
        <v>5867</v>
      </c>
    </row>
    <row r="429" spans="1:5" ht="15" customHeight="1">
      <c r="A429">
        <v>427</v>
      </c>
      <c r="B429" t="s">
        <v>2076</v>
      </c>
      <c r="C429" t="s">
        <v>9</v>
      </c>
      <c r="D429" t="s">
        <v>1570</v>
      </c>
      <c r="E429" t="s">
        <v>5867</v>
      </c>
    </row>
    <row r="430" spans="1:5" ht="15" customHeight="1">
      <c r="A430">
        <v>428</v>
      </c>
      <c r="B430" t="s">
        <v>2184</v>
      </c>
      <c r="C430" t="s">
        <v>9</v>
      </c>
      <c r="D430" t="s">
        <v>1570</v>
      </c>
      <c r="E430" t="s">
        <v>5867</v>
      </c>
    </row>
    <row r="431" spans="1:5" ht="15" customHeight="1">
      <c r="A431">
        <v>429</v>
      </c>
      <c r="B431" t="s">
        <v>544</v>
      </c>
      <c r="C431" t="s">
        <v>10</v>
      </c>
      <c r="D431" t="s">
        <v>5869</v>
      </c>
      <c r="E431" t="s">
        <v>5867</v>
      </c>
    </row>
    <row r="432" spans="1:5" ht="15" customHeight="1">
      <c r="A432">
        <v>430</v>
      </c>
      <c r="B432" t="s">
        <v>1879</v>
      </c>
      <c r="C432" t="s">
        <v>9</v>
      </c>
      <c r="D432" t="s">
        <v>1570</v>
      </c>
      <c r="E432" t="s">
        <v>5867</v>
      </c>
    </row>
    <row r="433" spans="1:5" ht="15" customHeight="1">
      <c r="A433">
        <v>431</v>
      </c>
      <c r="B433" t="s">
        <v>1610</v>
      </c>
      <c r="C433" t="s">
        <v>9</v>
      </c>
      <c r="D433" t="s">
        <v>1570</v>
      </c>
      <c r="E433" t="s">
        <v>5867</v>
      </c>
    </row>
    <row r="434" spans="1:5" ht="15" customHeight="1">
      <c r="A434">
        <v>432</v>
      </c>
      <c r="B434" t="s">
        <v>588</v>
      </c>
      <c r="C434" t="s">
        <v>10</v>
      </c>
      <c r="D434" t="s">
        <v>5869</v>
      </c>
      <c r="E434" t="s">
        <v>5867</v>
      </c>
    </row>
    <row r="435" spans="1:5" ht="15" customHeight="1">
      <c r="A435">
        <v>433</v>
      </c>
      <c r="B435" t="s">
        <v>1620</v>
      </c>
      <c r="C435" t="s">
        <v>9</v>
      </c>
      <c r="D435" t="s">
        <v>1570</v>
      </c>
      <c r="E435" t="s">
        <v>5867</v>
      </c>
    </row>
    <row r="436" spans="1:5" ht="15" customHeight="1">
      <c r="A436">
        <v>434</v>
      </c>
      <c r="B436" t="s">
        <v>584</v>
      </c>
      <c r="C436" t="s">
        <v>10</v>
      </c>
      <c r="D436" t="s">
        <v>5869</v>
      </c>
      <c r="E436" t="s">
        <v>5867</v>
      </c>
    </row>
    <row r="437" spans="1:5" ht="15" customHeight="1">
      <c r="A437">
        <v>435</v>
      </c>
      <c r="B437" t="s">
        <v>1639</v>
      </c>
      <c r="C437" t="s">
        <v>9</v>
      </c>
      <c r="D437" t="s">
        <v>1570</v>
      </c>
      <c r="E437" t="s">
        <v>5867</v>
      </c>
    </row>
    <row r="438" spans="1:5" ht="15" customHeight="1">
      <c r="A438">
        <v>436</v>
      </c>
      <c r="B438" t="s">
        <v>582</v>
      </c>
      <c r="C438" t="s">
        <v>10</v>
      </c>
      <c r="D438" t="s">
        <v>5870</v>
      </c>
      <c r="E438" t="s">
        <v>5867</v>
      </c>
    </row>
    <row r="439" spans="1:5" ht="15" customHeight="1">
      <c r="A439">
        <v>437</v>
      </c>
      <c r="B439" t="s">
        <v>581</v>
      </c>
      <c r="C439" t="s">
        <v>10</v>
      </c>
      <c r="D439" t="s">
        <v>5869</v>
      </c>
      <c r="E439" t="s">
        <v>5867</v>
      </c>
    </row>
    <row r="440" spans="1:5" ht="15" customHeight="1">
      <c r="A440">
        <v>438</v>
      </c>
      <c r="B440" t="s">
        <v>580</v>
      </c>
      <c r="C440" t="s">
        <v>10</v>
      </c>
      <c r="D440" t="s">
        <v>5869</v>
      </c>
      <c r="E440" t="s">
        <v>5867</v>
      </c>
    </row>
    <row r="441" spans="1:5" ht="15" customHeight="1">
      <c r="A441">
        <v>439</v>
      </c>
      <c r="B441" t="s">
        <v>589</v>
      </c>
      <c r="C441" t="s">
        <v>10</v>
      </c>
      <c r="D441" t="s">
        <v>5869</v>
      </c>
      <c r="E441" t="s">
        <v>5867</v>
      </c>
    </row>
    <row r="442" spans="1:5" ht="15" customHeight="1">
      <c r="A442">
        <v>440</v>
      </c>
      <c r="B442" t="s">
        <v>1657</v>
      </c>
      <c r="C442" t="s">
        <v>9</v>
      </c>
      <c r="D442" t="s">
        <v>1570</v>
      </c>
      <c r="E442" t="s">
        <v>5867</v>
      </c>
    </row>
    <row r="443" spans="1:5" ht="15" customHeight="1">
      <c r="A443">
        <v>441</v>
      </c>
      <c r="B443" t="s">
        <v>577</v>
      </c>
      <c r="C443" t="s">
        <v>10</v>
      </c>
      <c r="D443" t="s">
        <v>5871</v>
      </c>
      <c r="E443" t="s">
        <v>5867</v>
      </c>
    </row>
    <row r="444" spans="1:5" ht="15" customHeight="1">
      <c r="A444">
        <v>442</v>
      </c>
      <c r="B444" t="s">
        <v>1670</v>
      </c>
      <c r="C444" t="s">
        <v>9</v>
      </c>
      <c r="D444" t="s">
        <v>1570</v>
      </c>
      <c r="E444" t="s">
        <v>5867</v>
      </c>
    </row>
    <row r="445" spans="1:5" ht="15" customHeight="1">
      <c r="A445">
        <v>443</v>
      </c>
      <c r="B445" t="s">
        <v>1674</v>
      </c>
      <c r="C445" t="s">
        <v>9</v>
      </c>
      <c r="D445" t="s">
        <v>1570</v>
      </c>
      <c r="E445" t="s">
        <v>5867</v>
      </c>
    </row>
    <row r="446" spans="1:5" ht="15" customHeight="1">
      <c r="A446">
        <v>444</v>
      </c>
      <c r="B446" t="s">
        <v>1681</v>
      </c>
      <c r="C446" t="s">
        <v>9</v>
      </c>
      <c r="D446" t="s">
        <v>1570</v>
      </c>
      <c r="E446" t="s">
        <v>5867</v>
      </c>
    </row>
    <row r="447" spans="1:5" ht="15" customHeight="1">
      <c r="A447">
        <v>445</v>
      </c>
      <c r="B447" t="s">
        <v>1685</v>
      </c>
      <c r="C447" t="s">
        <v>9</v>
      </c>
      <c r="D447" t="s">
        <v>1570</v>
      </c>
      <c r="E447" t="s">
        <v>5867</v>
      </c>
    </row>
    <row r="448" spans="1:5" ht="15" customHeight="1">
      <c r="A448">
        <v>446</v>
      </c>
      <c r="B448" t="s">
        <v>1689</v>
      </c>
      <c r="C448" t="s">
        <v>9</v>
      </c>
      <c r="D448" t="s">
        <v>1570</v>
      </c>
      <c r="E448" t="s">
        <v>5867</v>
      </c>
    </row>
    <row r="449" spans="1:5" ht="15" customHeight="1">
      <c r="A449">
        <v>447</v>
      </c>
      <c r="B449" t="s">
        <v>1693</v>
      </c>
      <c r="C449" t="s">
        <v>9</v>
      </c>
      <c r="D449" t="s">
        <v>1570</v>
      </c>
      <c r="E449" t="s">
        <v>5867</v>
      </c>
    </row>
    <row r="450" spans="1:5" ht="15" customHeight="1">
      <c r="A450">
        <v>448</v>
      </c>
      <c r="B450" t="s">
        <v>1696</v>
      </c>
      <c r="C450" t="s">
        <v>9</v>
      </c>
      <c r="D450" t="s">
        <v>1570</v>
      </c>
      <c r="E450" t="s">
        <v>5867</v>
      </c>
    </row>
    <row r="451" spans="1:5" ht="15" customHeight="1">
      <c r="A451">
        <v>449</v>
      </c>
      <c r="B451" t="s">
        <v>579</v>
      </c>
      <c r="C451" t="s">
        <v>10</v>
      </c>
      <c r="D451" t="s">
        <v>5869</v>
      </c>
      <c r="E451" t="s">
        <v>5867</v>
      </c>
    </row>
    <row r="452" spans="1:5" ht="15" customHeight="1">
      <c r="A452">
        <v>450</v>
      </c>
      <c r="B452" t="s">
        <v>571</v>
      </c>
      <c r="C452" t="s">
        <v>10</v>
      </c>
      <c r="D452" t="s">
        <v>5872</v>
      </c>
      <c r="E452" t="s">
        <v>5867</v>
      </c>
    </row>
    <row r="453" spans="1:5" ht="15" customHeight="1">
      <c r="A453">
        <v>451</v>
      </c>
      <c r="B453" t="s">
        <v>590</v>
      </c>
      <c r="C453" t="s">
        <v>10</v>
      </c>
      <c r="D453" t="s">
        <v>5873</v>
      </c>
      <c r="E453" t="s">
        <v>5867</v>
      </c>
    </row>
    <row r="454" spans="1:5" ht="15" customHeight="1">
      <c r="A454">
        <v>452</v>
      </c>
      <c r="B454" t="s">
        <v>1594</v>
      </c>
      <c r="C454" t="s">
        <v>9</v>
      </c>
      <c r="D454" t="s">
        <v>1570</v>
      </c>
      <c r="E454" t="s">
        <v>5867</v>
      </c>
    </row>
    <row r="455" spans="1:5" ht="15" customHeight="1">
      <c r="A455">
        <v>453</v>
      </c>
      <c r="B455" t="s">
        <v>1439</v>
      </c>
      <c r="C455" t="s">
        <v>13</v>
      </c>
      <c r="D455" t="s">
        <v>1415</v>
      </c>
      <c r="E455" t="s">
        <v>5867</v>
      </c>
    </row>
    <row r="456" spans="1:5" ht="15" customHeight="1">
      <c r="A456">
        <v>454</v>
      </c>
      <c r="B456" t="s">
        <v>1428</v>
      </c>
      <c r="C456" t="s">
        <v>13</v>
      </c>
      <c r="D456" t="s">
        <v>1415</v>
      </c>
      <c r="E456" t="s">
        <v>5867</v>
      </c>
    </row>
    <row r="457" spans="1:5" ht="15" customHeight="1">
      <c r="A457">
        <v>455</v>
      </c>
      <c r="B457" t="s">
        <v>1417</v>
      </c>
      <c r="C457" t="s">
        <v>13</v>
      </c>
      <c r="D457" t="s">
        <v>1415</v>
      </c>
      <c r="E457" t="s">
        <v>5867</v>
      </c>
    </row>
    <row r="458" spans="1:5" ht="15" customHeight="1">
      <c r="A458">
        <v>456</v>
      </c>
      <c r="B458" t="s">
        <v>1412</v>
      </c>
      <c r="C458" t="s">
        <v>13</v>
      </c>
      <c r="D458" t="s">
        <v>1415</v>
      </c>
      <c r="E458" t="s">
        <v>5867</v>
      </c>
    </row>
    <row r="459" spans="1:5" ht="15" customHeight="1">
      <c r="A459">
        <v>457</v>
      </c>
      <c r="B459" t="s">
        <v>307</v>
      </c>
      <c r="C459" t="s">
        <v>8</v>
      </c>
      <c r="D459" t="s">
        <v>310</v>
      </c>
      <c r="E459" t="s">
        <v>5867</v>
      </c>
    </row>
    <row r="460" spans="1:5" ht="15" customHeight="1">
      <c r="A460">
        <v>458</v>
      </c>
      <c r="B460" t="s">
        <v>607</v>
      </c>
      <c r="C460" t="s">
        <v>10</v>
      </c>
      <c r="D460" t="s">
        <v>5869</v>
      </c>
      <c r="E460" t="s">
        <v>5867</v>
      </c>
    </row>
    <row r="461" spans="1:5" ht="15" customHeight="1">
      <c r="A461">
        <v>459</v>
      </c>
      <c r="B461" t="s">
        <v>605</v>
      </c>
      <c r="C461" t="s">
        <v>10</v>
      </c>
      <c r="D461" t="s">
        <v>5868</v>
      </c>
      <c r="E461" t="s">
        <v>5867</v>
      </c>
    </row>
    <row r="462" spans="1:5" ht="15" customHeight="1">
      <c r="A462">
        <v>460</v>
      </c>
      <c r="B462" t="s">
        <v>397</v>
      </c>
      <c r="C462" t="s">
        <v>8</v>
      </c>
      <c r="D462" t="s">
        <v>310</v>
      </c>
      <c r="E462" t="s">
        <v>5867</v>
      </c>
    </row>
    <row r="463" spans="1:5" ht="15" customHeight="1">
      <c r="A463">
        <v>461</v>
      </c>
      <c r="B463" t="s">
        <v>591</v>
      </c>
      <c r="C463" t="s">
        <v>10</v>
      </c>
      <c r="D463" t="s">
        <v>5868</v>
      </c>
      <c r="E463" t="s">
        <v>5867</v>
      </c>
    </row>
    <row r="464" spans="1:5" ht="15" customHeight="1">
      <c r="A464">
        <v>462</v>
      </c>
      <c r="B464" t="s">
        <v>604</v>
      </c>
      <c r="C464" t="s">
        <v>10</v>
      </c>
      <c r="D464" t="s">
        <v>5869</v>
      </c>
      <c r="E464" t="s">
        <v>5867</v>
      </c>
    </row>
    <row r="465" spans="1:5" ht="15" customHeight="1">
      <c r="A465">
        <v>463</v>
      </c>
      <c r="B465" t="s">
        <v>600</v>
      </c>
      <c r="C465" t="s">
        <v>10</v>
      </c>
      <c r="D465" t="s">
        <v>5874</v>
      </c>
      <c r="E465" t="s">
        <v>5867</v>
      </c>
    </row>
    <row r="466" spans="1:5" ht="15" customHeight="1">
      <c r="A466">
        <v>464</v>
      </c>
      <c r="B466" t="s">
        <v>599</v>
      </c>
      <c r="C466" t="s">
        <v>10</v>
      </c>
      <c r="D466" t="s">
        <v>5869</v>
      </c>
      <c r="E466" t="s">
        <v>5867</v>
      </c>
    </row>
    <row r="467" spans="1:5" ht="15" customHeight="1">
      <c r="A467">
        <v>465</v>
      </c>
      <c r="B467" t="s">
        <v>1566</v>
      </c>
      <c r="C467" t="s">
        <v>9</v>
      </c>
      <c r="D467" t="s">
        <v>1570</v>
      </c>
      <c r="E467" t="s">
        <v>5867</v>
      </c>
    </row>
    <row r="468" spans="1:5" ht="15" customHeight="1">
      <c r="A468">
        <v>466</v>
      </c>
      <c r="B468" t="s">
        <v>1571</v>
      </c>
      <c r="C468" t="s">
        <v>9</v>
      </c>
      <c r="D468" t="s">
        <v>1570</v>
      </c>
      <c r="E468" t="s">
        <v>5867</v>
      </c>
    </row>
    <row r="469" spans="1:5" ht="15" customHeight="1">
      <c r="A469">
        <v>467</v>
      </c>
      <c r="B469" t="s">
        <v>597</v>
      </c>
      <c r="C469" t="s">
        <v>10</v>
      </c>
      <c r="D469" t="s">
        <v>5869</v>
      </c>
      <c r="E469" t="s">
        <v>5867</v>
      </c>
    </row>
    <row r="470" spans="1:5" ht="15" customHeight="1">
      <c r="A470">
        <v>468</v>
      </c>
      <c r="B470" t="s">
        <v>1579</v>
      </c>
      <c r="C470" t="s">
        <v>9</v>
      </c>
      <c r="D470" t="s">
        <v>1570</v>
      </c>
      <c r="E470" t="s">
        <v>5867</v>
      </c>
    </row>
    <row r="471" spans="1:5" ht="15" customHeight="1">
      <c r="A471">
        <v>469</v>
      </c>
      <c r="B471" t="s">
        <v>596</v>
      </c>
      <c r="C471" t="s">
        <v>10</v>
      </c>
      <c r="D471" t="s">
        <v>5869</v>
      </c>
      <c r="E471" t="s">
        <v>5867</v>
      </c>
    </row>
    <row r="472" spans="1:5" ht="15" customHeight="1">
      <c r="A472">
        <v>470</v>
      </c>
      <c r="B472" t="s">
        <v>595</v>
      </c>
      <c r="C472" t="s">
        <v>10</v>
      </c>
      <c r="D472" t="s">
        <v>5869</v>
      </c>
      <c r="E472" t="s">
        <v>5867</v>
      </c>
    </row>
    <row r="473" spans="1:5" ht="15" customHeight="1">
      <c r="A473">
        <v>471</v>
      </c>
      <c r="B473" t="s">
        <v>603</v>
      </c>
      <c r="C473" t="s">
        <v>10</v>
      </c>
      <c r="D473" t="s">
        <v>5869</v>
      </c>
      <c r="E473" t="s">
        <v>5867</v>
      </c>
    </row>
    <row r="474" spans="1:5" ht="15" customHeight="1">
      <c r="A474">
        <v>472</v>
      </c>
      <c r="B474" t="s">
        <v>545</v>
      </c>
      <c r="C474" t="s">
        <v>10</v>
      </c>
      <c r="D474" t="s">
        <v>5868</v>
      </c>
      <c r="E474" t="s">
        <v>5867</v>
      </c>
    </row>
    <row r="475" spans="1:5" ht="15" customHeight="1">
      <c r="A475">
        <v>473</v>
      </c>
      <c r="B475" t="s">
        <v>569</v>
      </c>
      <c r="C475" t="s">
        <v>10</v>
      </c>
      <c r="D475" t="s">
        <v>5875</v>
      </c>
      <c r="E475" t="s">
        <v>5867</v>
      </c>
    </row>
    <row r="476" spans="1:5" ht="15" customHeight="1">
      <c r="A476">
        <v>474</v>
      </c>
      <c r="B476" t="s">
        <v>1715</v>
      </c>
      <c r="C476" t="s">
        <v>9</v>
      </c>
      <c r="D476" t="s">
        <v>1570</v>
      </c>
      <c r="E476" t="s">
        <v>5867</v>
      </c>
    </row>
    <row r="477" spans="1:5" ht="15" customHeight="1">
      <c r="A477">
        <v>475</v>
      </c>
      <c r="B477" t="s">
        <v>1812</v>
      </c>
      <c r="C477" t="s">
        <v>9</v>
      </c>
      <c r="D477" t="s">
        <v>1570</v>
      </c>
      <c r="E477" t="s">
        <v>5867</v>
      </c>
    </row>
    <row r="478" spans="1:5" ht="15" customHeight="1">
      <c r="A478">
        <v>476</v>
      </c>
      <c r="B478" t="s">
        <v>553</v>
      </c>
      <c r="C478" t="s">
        <v>10</v>
      </c>
      <c r="D478" t="s">
        <v>5869</v>
      </c>
      <c r="E478" t="s">
        <v>5867</v>
      </c>
    </row>
    <row r="479" spans="1:5" ht="15" customHeight="1">
      <c r="A479">
        <v>477</v>
      </c>
      <c r="B479" t="s">
        <v>552</v>
      </c>
      <c r="C479" t="s">
        <v>10</v>
      </c>
      <c r="D479" t="s">
        <v>5869</v>
      </c>
      <c r="E479" t="s">
        <v>5867</v>
      </c>
    </row>
    <row r="480" spans="1:5" ht="15" customHeight="1">
      <c r="A480">
        <v>478</v>
      </c>
      <c r="B480" t="s">
        <v>1823</v>
      </c>
      <c r="C480" t="s">
        <v>9</v>
      </c>
      <c r="D480" t="s">
        <v>1570</v>
      </c>
      <c r="E480" t="s">
        <v>5867</v>
      </c>
    </row>
    <row r="481" spans="1:5" ht="15" customHeight="1">
      <c r="A481">
        <v>479</v>
      </c>
      <c r="B481" t="s">
        <v>1827</v>
      </c>
      <c r="C481" t="s">
        <v>9</v>
      </c>
      <c r="D481" t="s">
        <v>1570</v>
      </c>
      <c r="E481" t="s">
        <v>5867</v>
      </c>
    </row>
    <row r="482" spans="1:5" ht="15" customHeight="1">
      <c r="A482">
        <v>480</v>
      </c>
      <c r="B482" t="s">
        <v>1831</v>
      </c>
      <c r="C482" t="s">
        <v>9</v>
      </c>
      <c r="D482" t="s">
        <v>1570</v>
      </c>
      <c r="E482" t="s">
        <v>5867</v>
      </c>
    </row>
    <row r="483" spans="1:5" ht="15" customHeight="1">
      <c r="A483">
        <v>481</v>
      </c>
      <c r="B483" t="s">
        <v>1835</v>
      </c>
      <c r="C483" t="s">
        <v>9</v>
      </c>
      <c r="D483" t="s">
        <v>1570</v>
      </c>
      <c r="E483" t="s">
        <v>5867</v>
      </c>
    </row>
    <row r="484" spans="1:5" ht="15" customHeight="1">
      <c r="A484">
        <v>482</v>
      </c>
      <c r="B484" t="s">
        <v>551</v>
      </c>
      <c r="C484" t="s">
        <v>10</v>
      </c>
      <c r="D484" t="s">
        <v>5868</v>
      </c>
      <c r="E484" t="s">
        <v>5867</v>
      </c>
    </row>
    <row r="485" spans="1:5" ht="15" customHeight="1">
      <c r="A485">
        <v>483</v>
      </c>
      <c r="B485" t="s">
        <v>1808</v>
      </c>
      <c r="C485" t="s">
        <v>9</v>
      </c>
      <c r="D485" t="s">
        <v>1570</v>
      </c>
      <c r="E485" t="s">
        <v>5867</v>
      </c>
    </row>
    <row r="486" spans="1:5" ht="15" customHeight="1">
      <c r="A486">
        <v>484</v>
      </c>
      <c r="B486" t="s">
        <v>1843</v>
      </c>
      <c r="C486" t="s">
        <v>9</v>
      </c>
      <c r="D486" t="s">
        <v>1570</v>
      </c>
      <c r="E486" t="s">
        <v>5867</v>
      </c>
    </row>
    <row r="487" spans="1:5" ht="15" customHeight="1">
      <c r="A487">
        <v>485</v>
      </c>
      <c r="B487" t="s">
        <v>1851</v>
      </c>
      <c r="C487" t="s">
        <v>9</v>
      </c>
      <c r="D487" t="s">
        <v>1570</v>
      </c>
      <c r="E487" t="s">
        <v>5867</v>
      </c>
    </row>
    <row r="488" spans="1:5" ht="15" customHeight="1">
      <c r="A488">
        <v>486</v>
      </c>
      <c r="B488" t="s">
        <v>550</v>
      </c>
      <c r="C488" t="s">
        <v>10</v>
      </c>
      <c r="D488" t="s">
        <v>5869</v>
      </c>
      <c r="E488" t="s">
        <v>5867</v>
      </c>
    </row>
    <row r="489" spans="1:5" ht="15" customHeight="1">
      <c r="A489">
        <v>487</v>
      </c>
      <c r="B489" t="s">
        <v>549</v>
      </c>
      <c r="C489" t="s">
        <v>10</v>
      </c>
      <c r="D489" t="s">
        <v>5868</v>
      </c>
      <c r="E489" t="s">
        <v>5867</v>
      </c>
    </row>
    <row r="490" spans="1:5" ht="15" customHeight="1">
      <c r="A490">
        <v>488</v>
      </c>
      <c r="B490" t="s">
        <v>548</v>
      </c>
      <c r="C490" t="s">
        <v>10</v>
      </c>
      <c r="D490" t="s">
        <v>5869</v>
      </c>
      <c r="E490" t="s">
        <v>5867</v>
      </c>
    </row>
    <row r="491" spans="1:5" ht="15" customHeight="1">
      <c r="A491">
        <v>489</v>
      </c>
      <c r="B491" t="s">
        <v>1865</v>
      </c>
      <c r="C491" t="s">
        <v>9</v>
      </c>
      <c r="D491" t="s">
        <v>1570</v>
      </c>
      <c r="E491" t="s">
        <v>5867</v>
      </c>
    </row>
    <row r="492" spans="1:5" ht="15" customHeight="1">
      <c r="A492">
        <v>490</v>
      </c>
      <c r="B492" t="s">
        <v>1869</v>
      </c>
      <c r="C492" t="s">
        <v>9</v>
      </c>
      <c r="D492" t="s">
        <v>1570</v>
      </c>
      <c r="E492" t="s">
        <v>5867</v>
      </c>
    </row>
    <row r="493" spans="1:5" ht="15" customHeight="1">
      <c r="A493">
        <v>491</v>
      </c>
      <c r="B493" t="s">
        <v>547</v>
      </c>
      <c r="C493" t="s">
        <v>10</v>
      </c>
      <c r="D493" t="s">
        <v>5869</v>
      </c>
      <c r="E493" t="s">
        <v>5867</v>
      </c>
    </row>
    <row r="494" spans="1:5" ht="15" customHeight="1">
      <c r="A494">
        <v>492</v>
      </c>
      <c r="B494" t="s">
        <v>1876</v>
      </c>
      <c r="C494" t="s">
        <v>9</v>
      </c>
      <c r="D494" t="s">
        <v>1570</v>
      </c>
      <c r="E494" t="s">
        <v>5867</v>
      </c>
    </row>
    <row r="495" spans="1:5" ht="15" customHeight="1">
      <c r="A495">
        <v>493</v>
      </c>
      <c r="B495" t="s">
        <v>1847</v>
      </c>
      <c r="C495" t="s">
        <v>9</v>
      </c>
      <c r="D495" t="s">
        <v>1570</v>
      </c>
      <c r="E495" t="s">
        <v>5867</v>
      </c>
    </row>
    <row r="496" spans="1:5" ht="15" customHeight="1">
      <c r="A496">
        <v>494</v>
      </c>
      <c r="B496" t="s">
        <v>567</v>
      </c>
      <c r="C496" t="s">
        <v>10</v>
      </c>
      <c r="D496" t="s">
        <v>5873</v>
      </c>
      <c r="E496" t="s">
        <v>5867</v>
      </c>
    </row>
    <row r="497" spans="1:5" ht="15" customHeight="1">
      <c r="A497">
        <v>495</v>
      </c>
      <c r="B497" t="s">
        <v>554</v>
      </c>
      <c r="C497" t="s">
        <v>10</v>
      </c>
      <c r="D497" t="s">
        <v>5869</v>
      </c>
      <c r="E497" t="s">
        <v>5867</v>
      </c>
    </row>
    <row r="498" spans="1:5" ht="15" customHeight="1">
      <c r="A498">
        <v>496</v>
      </c>
      <c r="B498" t="s">
        <v>555</v>
      </c>
      <c r="C498" t="s">
        <v>10</v>
      </c>
      <c r="D498" t="s">
        <v>5869</v>
      </c>
      <c r="E498" t="s">
        <v>5867</v>
      </c>
    </row>
    <row r="499" spans="1:5" ht="15" customHeight="1">
      <c r="A499">
        <v>497</v>
      </c>
      <c r="B499" t="s">
        <v>566</v>
      </c>
      <c r="C499" t="s">
        <v>10</v>
      </c>
      <c r="D499" t="s">
        <v>5874</v>
      </c>
      <c r="E499" t="s">
        <v>5867</v>
      </c>
    </row>
    <row r="500" spans="1:5" ht="15" customHeight="1">
      <c r="A500">
        <v>498</v>
      </c>
      <c r="B500" t="s">
        <v>1724</v>
      </c>
      <c r="C500" t="s">
        <v>9</v>
      </c>
      <c r="D500" t="s">
        <v>1570</v>
      </c>
      <c r="E500" t="s">
        <v>5867</v>
      </c>
    </row>
    <row r="501" spans="1:5" ht="15" customHeight="1">
      <c r="A501">
        <v>499</v>
      </c>
      <c r="B501" t="s">
        <v>564</v>
      </c>
      <c r="C501" t="s">
        <v>10</v>
      </c>
      <c r="D501" t="s">
        <v>5869</v>
      </c>
      <c r="E501" t="s">
        <v>5867</v>
      </c>
    </row>
    <row r="502" spans="1:5" ht="15" customHeight="1">
      <c r="A502">
        <v>500</v>
      </c>
      <c r="B502" t="s">
        <v>1731</v>
      </c>
      <c r="C502" t="s">
        <v>9</v>
      </c>
      <c r="D502" t="s">
        <v>1570</v>
      </c>
      <c r="E502" t="s">
        <v>5867</v>
      </c>
    </row>
    <row r="503" spans="1:5" ht="15" customHeight="1">
      <c r="A503">
        <v>501</v>
      </c>
      <c r="B503" t="s">
        <v>1736</v>
      </c>
      <c r="C503" t="s">
        <v>9</v>
      </c>
      <c r="D503" t="s">
        <v>1570</v>
      </c>
      <c r="E503" t="s">
        <v>5867</v>
      </c>
    </row>
    <row r="504" spans="1:5" ht="15" customHeight="1">
      <c r="A504">
        <v>502</v>
      </c>
      <c r="B504" t="s">
        <v>563</v>
      </c>
      <c r="C504" t="s">
        <v>10</v>
      </c>
      <c r="D504" t="s">
        <v>5869</v>
      </c>
      <c r="E504" t="s">
        <v>5867</v>
      </c>
    </row>
    <row r="505" spans="1:5" ht="15" customHeight="1">
      <c r="A505">
        <v>503</v>
      </c>
      <c r="B505" t="s">
        <v>1744</v>
      </c>
      <c r="C505" t="s">
        <v>9</v>
      </c>
      <c r="D505" t="s">
        <v>1570</v>
      </c>
      <c r="E505" t="s">
        <v>5867</v>
      </c>
    </row>
    <row r="506" spans="1:5" ht="15" customHeight="1">
      <c r="A506">
        <v>504</v>
      </c>
      <c r="B506" t="s">
        <v>1748</v>
      </c>
      <c r="C506" t="s">
        <v>9</v>
      </c>
      <c r="D506" t="s">
        <v>1570</v>
      </c>
      <c r="E506" t="s">
        <v>5867</v>
      </c>
    </row>
    <row r="507" spans="1:5" ht="15" customHeight="1">
      <c r="A507">
        <v>505</v>
      </c>
      <c r="B507" t="s">
        <v>1800</v>
      </c>
      <c r="C507" t="s">
        <v>9</v>
      </c>
      <c r="D507" t="s">
        <v>1570</v>
      </c>
      <c r="E507" t="s">
        <v>5867</v>
      </c>
    </row>
    <row r="508" spans="1:5" ht="15" customHeight="1">
      <c r="A508">
        <v>506</v>
      </c>
      <c r="B508" t="s">
        <v>1753</v>
      </c>
      <c r="C508" t="s">
        <v>9</v>
      </c>
      <c r="D508" t="s">
        <v>1570</v>
      </c>
      <c r="E508" t="s">
        <v>5867</v>
      </c>
    </row>
    <row r="509" spans="1:5" ht="15" customHeight="1">
      <c r="A509">
        <v>507</v>
      </c>
      <c r="B509" t="s">
        <v>1762</v>
      </c>
      <c r="C509" t="s">
        <v>9</v>
      </c>
      <c r="D509" t="s">
        <v>1570</v>
      </c>
      <c r="E509" t="s">
        <v>5867</v>
      </c>
    </row>
    <row r="510" spans="1:5" ht="15" customHeight="1">
      <c r="A510">
        <v>508</v>
      </c>
      <c r="B510" t="s">
        <v>562</v>
      </c>
      <c r="C510" t="s">
        <v>10</v>
      </c>
      <c r="D510" t="s">
        <v>5869</v>
      </c>
      <c r="E510" t="s">
        <v>5867</v>
      </c>
    </row>
    <row r="511" spans="1:5" ht="15" customHeight="1">
      <c r="A511">
        <v>509</v>
      </c>
      <c r="B511" t="s">
        <v>1769</v>
      </c>
      <c r="C511" t="s">
        <v>9</v>
      </c>
      <c r="D511" t="s">
        <v>1570</v>
      </c>
      <c r="E511" t="s">
        <v>5867</v>
      </c>
    </row>
    <row r="512" spans="1:5" ht="15" customHeight="1">
      <c r="A512">
        <v>510</v>
      </c>
      <c r="B512" t="s">
        <v>560</v>
      </c>
      <c r="C512" t="s">
        <v>10</v>
      </c>
      <c r="D512" t="s">
        <v>5869</v>
      </c>
      <c r="E512" t="s">
        <v>5867</v>
      </c>
    </row>
    <row r="513" spans="1:5" ht="15" customHeight="1">
      <c r="A513">
        <v>511</v>
      </c>
      <c r="B513" t="s">
        <v>559</v>
      </c>
      <c r="C513" t="s">
        <v>10</v>
      </c>
      <c r="D513" t="s">
        <v>5869</v>
      </c>
      <c r="E513" t="s">
        <v>5867</v>
      </c>
    </row>
    <row r="514" spans="1:5" ht="15" customHeight="1">
      <c r="A514">
        <v>512</v>
      </c>
      <c r="B514" t="s">
        <v>558</v>
      </c>
      <c r="C514" t="s">
        <v>10</v>
      </c>
      <c r="D514" t="s">
        <v>5868</v>
      </c>
      <c r="E514" t="s">
        <v>5867</v>
      </c>
    </row>
    <row r="515" spans="1:5" ht="15" customHeight="1">
      <c r="A515">
        <v>513</v>
      </c>
      <c r="B515" t="s">
        <v>557</v>
      </c>
      <c r="C515" t="s">
        <v>10</v>
      </c>
      <c r="D515" t="s">
        <v>5868</v>
      </c>
      <c r="E515" t="s">
        <v>5867</v>
      </c>
    </row>
    <row r="516" spans="1:5" ht="15" customHeight="1">
      <c r="A516">
        <v>514</v>
      </c>
      <c r="B516" t="s">
        <v>556</v>
      </c>
      <c r="C516" t="s">
        <v>10</v>
      </c>
      <c r="D516" t="s">
        <v>5869</v>
      </c>
      <c r="E516" t="s">
        <v>5867</v>
      </c>
    </row>
    <row r="517" spans="1:5" ht="15" customHeight="1">
      <c r="A517">
        <v>515</v>
      </c>
      <c r="B517" t="s">
        <v>1758</v>
      </c>
      <c r="C517" t="s">
        <v>9</v>
      </c>
      <c r="D517" t="s">
        <v>1570</v>
      </c>
      <c r="E517" t="s">
        <v>5867</v>
      </c>
    </row>
    <row r="518" spans="1:5" ht="15" customHeight="1">
      <c r="A518">
        <v>516</v>
      </c>
      <c r="B518" t="s">
        <v>498</v>
      </c>
      <c r="C518" t="s">
        <v>10</v>
      </c>
      <c r="D518" t="s">
        <v>5874</v>
      </c>
      <c r="E518" t="s">
        <v>5867</v>
      </c>
    </row>
    <row r="519" spans="1:5" ht="15" customHeight="1">
      <c r="A519">
        <v>517</v>
      </c>
      <c r="B519" t="s">
        <v>507</v>
      </c>
      <c r="C519" t="s">
        <v>10</v>
      </c>
      <c r="D519" t="s">
        <v>5869</v>
      </c>
      <c r="E519" t="s">
        <v>5867</v>
      </c>
    </row>
    <row r="520" spans="1:5" ht="15" customHeight="1">
      <c r="A520">
        <v>518</v>
      </c>
      <c r="B520" t="s">
        <v>2196</v>
      </c>
      <c r="C520" t="s">
        <v>9</v>
      </c>
      <c r="D520" t="s">
        <v>1570</v>
      </c>
      <c r="E520" t="s">
        <v>5867</v>
      </c>
    </row>
    <row r="521" spans="1:5" ht="15" customHeight="1">
      <c r="A521">
        <v>519</v>
      </c>
      <c r="B521" t="s">
        <v>2536</v>
      </c>
      <c r="C521" t="s">
        <v>9</v>
      </c>
      <c r="D521" t="s">
        <v>1570</v>
      </c>
      <c r="E521" t="s">
        <v>5867</v>
      </c>
    </row>
    <row r="522" spans="1:5" ht="15" customHeight="1">
      <c r="A522">
        <v>520</v>
      </c>
      <c r="B522" t="s">
        <v>2540</v>
      </c>
      <c r="C522" t="s">
        <v>9</v>
      </c>
      <c r="D522" t="s">
        <v>1570</v>
      </c>
      <c r="E522" t="s">
        <v>5867</v>
      </c>
    </row>
    <row r="523" spans="1:5" ht="15" customHeight="1">
      <c r="A523">
        <v>521</v>
      </c>
      <c r="B523" t="s">
        <v>2544</v>
      </c>
      <c r="C523" t="s">
        <v>9</v>
      </c>
      <c r="D523" t="s">
        <v>1570</v>
      </c>
      <c r="E523" t="s">
        <v>5867</v>
      </c>
    </row>
    <row r="524" spans="1:5" ht="15" customHeight="1">
      <c r="A524">
        <v>522</v>
      </c>
      <c r="B524" t="s">
        <v>2547</v>
      </c>
      <c r="C524" t="s">
        <v>9</v>
      </c>
      <c r="D524" t="s">
        <v>1570</v>
      </c>
      <c r="E524" t="s">
        <v>5867</v>
      </c>
    </row>
    <row r="525" spans="1:5" ht="15" customHeight="1">
      <c r="A525">
        <v>523</v>
      </c>
      <c r="B525" t="s">
        <v>2550</v>
      </c>
      <c r="C525" t="s">
        <v>9</v>
      </c>
      <c r="D525" t="s">
        <v>1570</v>
      </c>
      <c r="E525" t="s">
        <v>5867</v>
      </c>
    </row>
    <row r="526" spans="1:5" ht="15" customHeight="1">
      <c r="A526">
        <v>524</v>
      </c>
      <c r="B526" t="s">
        <v>2554</v>
      </c>
      <c r="C526" t="s">
        <v>9</v>
      </c>
      <c r="D526" t="s">
        <v>1570</v>
      </c>
      <c r="E526" t="s">
        <v>5867</v>
      </c>
    </row>
    <row r="527" spans="1:5" ht="15" customHeight="1">
      <c r="A527">
        <v>525</v>
      </c>
      <c r="B527" t="s">
        <v>4874</v>
      </c>
      <c r="C527" t="s">
        <v>9</v>
      </c>
      <c r="D527" t="s">
        <v>1570</v>
      </c>
      <c r="E527" t="s">
        <v>5867</v>
      </c>
    </row>
    <row r="528" spans="1:5" ht="15" customHeight="1">
      <c r="A528">
        <v>526</v>
      </c>
      <c r="B528" t="s">
        <v>2561</v>
      </c>
      <c r="C528" t="s">
        <v>9</v>
      </c>
      <c r="D528" t="s">
        <v>1570</v>
      </c>
      <c r="E528" t="s">
        <v>5867</v>
      </c>
    </row>
    <row r="529" spans="1:5" ht="15" customHeight="1">
      <c r="A529">
        <v>527</v>
      </c>
      <c r="B529" t="s">
        <v>2568</v>
      </c>
      <c r="C529" t="s">
        <v>9</v>
      </c>
      <c r="D529" t="s">
        <v>1570</v>
      </c>
      <c r="E529" t="s">
        <v>5867</v>
      </c>
    </row>
    <row r="530" spans="1:5" ht="15" customHeight="1">
      <c r="A530">
        <v>528</v>
      </c>
      <c r="B530" t="s">
        <v>4867</v>
      </c>
      <c r="C530" t="s">
        <v>9</v>
      </c>
      <c r="D530" t="s">
        <v>1570</v>
      </c>
      <c r="E530" t="s">
        <v>5867</v>
      </c>
    </row>
    <row r="531" spans="1:5" ht="15" customHeight="1">
      <c r="A531">
        <v>529</v>
      </c>
      <c r="B531" t="s">
        <v>2574</v>
      </c>
      <c r="C531" t="s">
        <v>9</v>
      </c>
      <c r="D531" t="s">
        <v>1570</v>
      </c>
      <c r="E531" t="s">
        <v>5867</v>
      </c>
    </row>
    <row r="532" spans="1:5" ht="15" customHeight="1">
      <c r="A532">
        <v>530</v>
      </c>
      <c r="B532" t="s">
        <v>4860</v>
      </c>
      <c r="C532" t="s">
        <v>9</v>
      </c>
      <c r="D532" t="s">
        <v>1570</v>
      </c>
      <c r="E532" t="s">
        <v>5867</v>
      </c>
    </row>
    <row r="533" spans="1:5" ht="15" customHeight="1">
      <c r="A533">
        <v>531</v>
      </c>
      <c r="B533" t="s">
        <v>4856</v>
      </c>
      <c r="C533" t="s">
        <v>9</v>
      </c>
      <c r="D533" t="s">
        <v>1570</v>
      </c>
      <c r="E533" t="s">
        <v>5867</v>
      </c>
    </row>
    <row r="534" spans="1:5" ht="15" customHeight="1">
      <c r="A534">
        <v>532</v>
      </c>
      <c r="B534" t="s">
        <v>4849</v>
      </c>
      <c r="C534" t="s">
        <v>9</v>
      </c>
      <c r="D534" t="s">
        <v>1570</v>
      </c>
      <c r="E534" t="s">
        <v>5867</v>
      </c>
    </row>
    <row r="535" spans="1:5" ht="15" customHeight="1">
      <c r="A535">
        <v>533</v>
      </c>
      <c r="B535" t="s">
        <v>2589</v>
      </c>
      <c r="C535" t="s">
        <v>9</v>
      </c>
      <c r="D535" t="s">
        <v>1570</v>
      </c>
      <c r="E535" t="s">
        <v>5867</v>
      </c>
    </row>
    <row r="536" spans="1:5" ht="15" customHeight="1">
      <c r="A536">
        <v>534</v>
      </c>
      <c r="B536" t="s">
        <v>2593</v>
      </c>
      <c r="C536" t="s">
        <v>9</v>
      </c>
      <c r="D536" t="s">
        <v>1570</v>
      </c>
      <c r="E536" t="s">
        <v>5867</v>
      </c>
    </row>
    <row r="537" spans="1:5" ht="15" customHeight="1">
      <c r="A537">
        <v>535</v>
      </c>
      <c r="B537" t="s">
        <v>2597</v>
      </c>
      <c r="C537" t="s">
        <v>9</v>
      </c>
      <c r="D537" t="s">
        <v>1570</v>
      </c>
      <c r="E537" t="s">
        <v>5867</v>
      </c>
    </row>
    <row r="538" spans="1:5" ht="15" customHeight="1">
      <c r="A538">
        <v>536</v>
      </c>
      <c r="B538" t="s">
        <v>4878</v>
      </c>
      <c r="C538" t="s">
        <v>9</v>
      </c>
      <c r="D538" t="s">
        <v>1570</v>
      </c>
      <c r="E538" t="s">
        <v>5867</v>
      </c>
    </row>
    <row r="539" spans="1:5" ht="15" customHeight="1">
      <c r="A539">
        <v>537</v>
      </c>
      <c r="B539" t="s">
        <v>2530</v>
      </c>
      <c r="C539" t="s">
        <v>9</v>
      </c>
      <c r="D539" t="s">
        <v>1570</v>
      </c>
      <c r="E539" t="s">
        <v>5867</v>
      </c>
    </row>
    <row r="540" spans="1:5" ht="15" customHeight="1">
      <c r="A540">
        <v>538</v>
      </c>
      <c r="B540" t="s">
        <v>4886</v>
      </c>
      <c r="C540" t="s">
        <v>9</v>
      </c>
      <c r="D540" t="s">
        <v>1570</v>
      </c>
      <c r="E540" t="s">
        <v>5867</v>
      </c>
    </row>
    <row r="541" spans="1:5" ht="15" customHeight="1">
      <c r="A541">
        <v>539</v>
      </c>
      <c r="B541" t="s">
        <v>4890</v>
      </c>
      <c r="C541" t="s">
        <v>9</v>
      </c>
      <c r="D541" t="s">
        <v>1570</v>
      </c>
      <c r="E541" t="s">
        <v>5867</v>
      </c>
    </row>
    <row r="542" spans="1:5" ht="15" customHeight="1">
      <c r="A542">
        <v>540</v>
      </c>
      <c r="B542" t="s">
        <v>2459</v>
      </c>
      <c r="C542" t="s">
        <v>9</v>
      </c>
      <c r="D542" t="s">
        <v>1570</v>
      </c>
      <c r="E542" t="s">
        <v>5867</v>
      </c>
    </row>
    <row r="543" spans="1:5" ht="15" customHeight="1">
      <c r="A543">
        <v>541</v>
      </c>
      <c r="B543" t="s">
        <v>2463</v>
      </c>
      <c r="C543" t="s">
        <v>9</v>
      </c>
      <c r="D543" t="s">
        <v>1570</v>
      </c>
      <c r="E543" t="s">
        <v>5867</v>
      </c>
    </row>
    <row r="544" spans="1:5" ht="15" customHeight="1">
      <c r="A544">
        <v>542</v>
      </c>
      <c r="B544" t="s">
        <v>2466</v>
      </c>
      <c r="C544" t="s">
        <v>9</v>
      </c>
      <c r="D544" t="s">
        <v>1570</v>
      </c>
      <c r="E544" t="s">
        <v>5867</v>
      </c>
    </row>
    <row r="545" spans="1:5" ht="15" customHeight="1">
      <c r="A545">
        <v>543</v>
      </c>
      <c r="B545" t="s">
        <v>4911</v>
      </c>
      <c r="C545" t="s">
        <v>9</v>
      </c>
      <c r="D545" t="s">
        <v>1570</v>
      </c>
      <c r="E545" t="s">
        <v>5867</v>
      </c>
    </row>
    <row r="546" spans="1:5" ht="15" customHeight="1">
      <c r="A546">
        <v>544</v>
      </c>
      <c r="B546" t="s">
        <v>4908</v>
      </c>
      <c r="C546" t="s">
        <v>9</v>
      </c>
      <c r="D546" t="s">
        <v>1570</v>
      </c>
      <c r="E546" t="s">
        <v>5867</v>
      </c>
    </row>
    <row r="547" spans="1:5" ht="15" customHeight="1">
      <c r="A547">
        <v>545</v>
      </c>
      <c r="B547" t="s">
        <v>4904</v>
      </c>
      <c r="C547" t="s">
        <v>9</v>
      </c>
      <c r="D547" t="s">
        <v>1570</v>
      </c>
      <c r="E547" t="s">
        <v>5867</v>
      </c>
    </row>
    <row r="548" spans="1:5" ht="15" customHeight="1">
      <c r="A548">
        <v>546</v>
      </c>
      <c r="B548" t="s">
        <v>2479</v>
      </c>
      <c r="C548" t="s">
        <v>9</v>
      </c>
      <c r="D548" t="s">
        <v>1570</v>
      </c>
      <c r="E548" t="s">
        <v>5867</v>
      </c>
    </row>
    <row r="549" spans="1:5" ht="15" customHeight="1">
      <c r="A549">
        <v>547</v>
      </c>
      <c r="B549" t="s">
        <v>2482</v>
      </c>
      <c r="C549" t="s">
        <v>9</v>
      </c>
      <c r="D549" t="s">
        <v>1570</v>
      </c>
      <c r="E549" t="s">
        <v>5867</v>
      </c>
    </row>
    <row r="550" spans="1:5" ht="15" customHeight="1">
      <c r="A550">
        <v>548</v>
      </c>
      <c r="B550" t="s">
        <v>2600</v>
      </c>
      <c r="C550" t="s">
        <v>9</v>
      </c>
      <c r="D550" t="s">
        <v>1570</v>
      </c>
      <c r="E550" t="s">
        <v>5867</v>
      </c>
    </row>
    <row r="551" spans="1:5" ht="15" customHeight="1">
      <c r="A551">
        <v>549</v>
      </c>
      <c r="B551" t="s">
        <v>2192</v>
      </c>
      <c r="C551" t="s">
        <v>9</v>
      </c>
      <c r="D551" t="s">
        <v>1570</v>
      </c>
      <c r="E551" t="s">
        <v>5867</v>
      </c>
    </row>
    <row r="552" spans="1:5" ht="15" customHeight="1">
      <c r="A552">
        <v>550</v>
      </c>
      <c r="B552" t="s">
        <v>2489</v>
      </c>
      <c r="C552" t="s">
        <v>9</v>
      </c>
      <c r="D552" t="s">
        <v>1570</v>
      </c>
      <c r="E552" t="s">
        <v>5867</v>
      </c>
    </row>
    <row r="553" spans="1:5" ht="15" customHeight="1">
      <c r="A553">
        <v>551</v>
      </c>
      <c r="B553" t="s">
        <v>4897</v>
      </c>
      <c r="C553" t="s">
        <v>9</v>
      </c>
      <c r="D553" t="s">
        <v>1570</v>
      </c>
      <c r="E553" t="s">
        <v>5867</v>
      </c>
    </row>
    <row r="554" spans="1:5" ht="15" customHeight="1">
      <c r="A554">
        <v>552</v>
      </c>
      <c r="B554" t="s">
        <v>2500</v>
      </c>
      <c r="C554" t="s">
        <v>9</v>
      </c>
      <c r="D554" t="s">
        <v>1570</v>
      </c>
      <c r="E554" t="s">
        <v>5867</v>
      </c>
    </row>
    <row r="555" spans="1:5" ht="15" customHeight="1">
      <c r="A555">
        <v>553</v>
      </c>
      <c r="B555" t="s">
        <v>2504</v>
      </c>
      <c r="C555" t="s">
        <v>9</v>
      </c>
      <c r="D555" t="s">
        <v>1570</v>
      </c>
      <c r="E555" t="s">
        <v>5867</v>
      </c>
    </row>
    <row r="556" spans="1:5" ht="15" customHeight="1">
      <c r="A556">
        <v>554</v>
      </c>
      <c r="B556" t="s">
        <v>4894</v>
      </c>
      <c r="C556" t="s">
        <v>9</v>
      </c>
      <c r="D556" t="s">
        <v>1570</v>
      </c>
      <c r="E556" t="s">
        <v>5867</v>
      </c>
    </row>
    <row r="557" spans="1:5" ht="15" customHeight="1">
      <c r="A557">
        <v>555</v>
      </c>
      <c r="B557" t="s">
        <v>2511</v>
      </c>
      <c r="C557" t="s">
        <v>9</v>
      </c>
      <c r="D557" t="s">
        <v>1570</v>
      </c>
      <c r="E557" t="s">
        <v>5867</v>
      </c>
    </row>
    <row r="558" spans="1:5" ht="15" customHeight="1">
      <c r="A558">
        <v>556</v>
      </c>
      <c r="B558" t="s">
        <v>2515</v>
      </c>
      <c r="C558" t="s">
        <v>9</v>
      </c>
      <c r="D558" t="s">
        <v>1570</v>
      </c>
      <c r="E558" t="s">
        <v>5867</v>
      </c>
    </row>
    <row r="559" spans="1:5" ht="15" customHeight="1">
      <c r="A559">
        <v>557</v>
      </c>
      <c r="B559" t="s">
        <v>2518</v>
      </c>
      <c r="C559" t="s">
        <v>9</v>
      </c>
      <c r="D559" t="s">
        <v>1570</v>
      </c>
      <c r="E559" t="s">
        <v>5867</v>
      </c>
    </row>
    <row r="560" spans="1:5" ht="15" customHeight="1">
      <c r="A560">
        <v>558</v>
      </c>
      <c r="B560" t="s">
        <v>2485</v>
      </c>
      <c r="C560" t="s">
        <v>9</v>
      </c>
      <c r="D560" t="s">
        <v>1570</v>
      </c>
      <c r="E560" t="s">
        <v>5867</v>
      </c>
    </row>
    <row r="561" spans="1:5" ht="15" customHeight="1">
      <c r="A561">
        <v>559</v>
      </c>
      <c r="B561" t="s">
        <v>4845</v>
      </c>
      <c r="C561" t="s">
        <v>9</v>
      </c>
      <c r="D561" t="s">
        <v>1570</v>
      </c>
      <c r="E561" t="s">
        <v>5867</v>
      </c>
    </row>
    <row r="562" spans="1:5" ht="15" customHeight="1">
      <c r="A562">
        <v>560</v>
      </c>
      <c r="B562" t="s">
        <v>2608</v>
      </c>
      <c r="C562" t="s">
        <v>9</v>
      </c>
      <c r="D562" t="s">
        <v>1570</v>
      </c>
      <c r="E562" t="s">
        <v>5867</v>
      </c>
    </row>
    <row r="563" spans="1:5" ht="15" customHeight="1">
      <c r="A563">
        <v>561</v>
      </c>
      <c r="B563" t="s">
        <v>2612</v>
      </c>
      <c r="C563" t="s">
        <v>9</v>
      </c>
      <c r="D563" t="s">
        <v>1570</v>
      </c>
      <c r="E563" t="s">
        <v>5867</v>
      </c>
    </row>
    <row r="564" spans="1:5" ht="15" customHeight="1">
      <c r="A564">
        <v>562</v>
      </c>
      <c r="B564" t="s">
        <v>4789</v>
      </c>
      <c r="C564" t="s">
        <v>9</v>
      </c>
      <c r="D564" t="s">
        <v>1570</v>
      </c>
      <c r="E564" t="s">
        <v>5867</v>
      </c>
    </row>
    <row r="565" spans="1:5" ht="15" customHeight="1">
      <c r="A565">
        <v>563</v>
      </c>
      <c r="B565" t="s">
        <v>4786</v>
      </c>
      <c r="C565" t="s">
        <v>9</v>
      </c>
      <c r="D565" t="s">
        <v>1570</v>
      </c>
      <c r="E565" t="s">
        <v>5867</v>
      </c>
    </row>
    <row r="566" spans="1:5" ht="15" customHeight="1">
      <c r="A566">
        <v>564</v>
      </c>
      <c r="B566" t="s">
        <v>4779</v>
      </c>
      <c r="C566" t="s">
        <v>9</v>
      </c>
      <c r="D566" t="s">
        <v>1570</v>
      </c>
      <c r="E566" t="s">
        <v>5867</v>
      </c>
    </row>
    <row r="567" spans="1:5" ht="15" customHeight="1">
      <c r="A567">
        <v>565</v>
      </c>
      <c r="B567" t="s">
        <v>2713</v>
      </c>
      <c r="C567" t="s">
        <v>9</v>
      </c>
      <c r="D567" t="s">
        <v>1570</v>
      </c>
      <c r="E567" t="s">
        <v>5867</v>
      </c>
    </row>
    <row r="568" spans="1:5" ht="15" customHeight="1">
      <c r="A568">
        <v>566</v>
      </c>
      <c r="B568" t="s">
        <v>2716</v>
      </c>
      <c r="C568" t="s">
        <v>9</v>
      </c>
      <c r="D568" t="s">
        <v>1570</v>
      </c>
      <c r="E568" t="s">
        <v>5867</v>
      </c>
    </row>
    <row r="569" spans="1:5" ht="15" customHeight="1">
      <c r="A569">
        <v>567</v>
      </c>
      <c r="B569" t="s">
        <v>2719</v>
      </c>
      <c r="C569" t="s">
        <v>9</v>
      </c>
      <c r="D569" t="s">
        <v>1570</v>
      </c>
      <c r="E569" t="s">
        <v>5867</v>
      </c>
    </row>
    <row r="570" spans="1:5" ht="15" customHeight="1">
      <c r="A570">
        <v>568</v>
      </c>
      <c r="B570" t="s">
        <v>4773</v>
      </c>
      <c r="C570" t="s">
        <v>9</v>
      </c>
      <c r="D570" t="s">
        <v>1570</v>
      </c>
      <c r="E570" t="s">
        <v>5867</v>
      </c>
    </row>
    <row r="571" spans="1:5" ht="15" customHeight="1">
      <c r="A571">
        <v>569</v>
      </c>
      <c r="B571" t="s">
        <v>2726</v>
      </c>
      <c r="C571" t="s">
        <v>9</v>
      </c>
      <c r="D571" t="s">
        <v>1570</v>
      </c>
      <c r="E571" t="s">
        <v>5867</v>
      </c>
    </row>
    <row r="572" spans="1:5" ht="15" customHeight="1">
      <c r="A572">
        <v>570</v>
      </c>
      <c r="B572" t="s">
        <v>2695</v>
      </c>
      <c r="C572" t="s">
        <v>9</v>
      </c>
      <c r="D572" t="s">
        <v>1570</v>
      </c>
      <c r="E572" t="s">
        <v>5867</v>
      </c>
    </row>
    <row r="573" spans="1:5" ht="15" customHeight="1">
      <c r="A573">
        <v>571</v>
      </c>
      <c r="B573" t="s">
        <v>4770</v>
      </c>
      <c r="C573" t="s">
        <v>9</v>
      </c>
      <c r="D573" t="s">
        <v>1570</v>
      </c>
      <c r="E573" t="s">
        <v>5867</v>
      </c>
    </row>
    <row r="574" spans="1:5" ht="15" customHeight="1">
      <c r="A574">
        <v>572</v>
      </c>
      <c r="B574" t="s">
        <v>2736</v>
      </c>
      <c r="C574" t="s">
        <v>9</v>
      </c>
      <c r="D574" t="s">
        <v>1570</v>
      </c>
      <c r="E574" t="s">
        <v>5867</v>
      </c>
    </row>
    <row r="575" spans="1:5" ht="15" customHeight="1">
      <c r="A575">
        <v>573</v>
      </c>
      <c r="B575" t="s">
        <v>2739</v>
      </c>
      <c r="C575" t="s">
        <v>9</v>
      </c>
      <c r="D575" t="s">
        <v>1570</v>
      </c>
      <c r="E575" t="s">
        <v>5867</v>
      </c>
    </row>
    <row r="576" spans="1:5" ht="15" customHeight="1">
      <c r="A576">
        <v>574</v>
      </c>
      <c r="B576" t="s">
        <v>2743</v>
      </c>
      <c r="C576" t="s">
        <v>9</v>
      </c>
      <c r="D576" t="s">
        <v>1570</v>
      </c>
      <c r="E576" t="s">
        <v>5867</v>
      </c>
    </row>
    <row r="577" spans="1:5" ht="15" customHeight="1">
      <c r="A577">
        <v>575</v>
      </c>
      <c r="B577" t="s">
        <v>2746</v>
      </c>
      <c r="C577" t="s">
        <v>9</v>
      </c>
      <c r="D577" t="s">
        <v>1570</v>
      </c>
      <c r="E577" t="s">
        <v>5867</v>
      </c>
    </row>
    <row r="578" spans="1:5" ht="15" customHeight="1">
      <c r="A578">
        <v>576</v>
      </c>
      <c r="B578" t="s">
        <v>2749</v>
      </c>
      <c r="C578" t="s">
        <v>9</v>
      </c>
      <c r="D578" t="s">
        <v>1570</v>
      </c>
      <c r="E578" t="s">
        <v>5867</v>
      </c>
    </row>
    <row r="579" spans="1:5" ht="15" customHeight="1">
      <c r="A579">
        <v>577</v>
      </c>
      <c r="B579" t="s">
        <v>2752</v>
      </c>
      <c r="C579" t="s">
        <v>9</v>
      </c>
      <c r="D579" t="s">
        <v>1570</v>
      </c>
      <c r="E579" t="s">
        <v>5867</v>
      </c>
    </row>
    <row r="580" spans="1:5" ht="15" customHeight="1">
      <c r="A580">
        <v>578</v>
      </c>
      <c r="B580" t="s">
        <v>2756</v>
      </c>
      <c r="C580" t="s">
        <v>9</v>
      </c>
      <c r="D580" t="s">
        <v>1570</v>
      </c>
      <c r="E580" t="s">
        <v>5867</v>
      </c>
    </row>
    <row r="581" spans="1:5" ht="15" customHeight="1">
      <c r="A581">
        <v>579</v>
      </c>
      <c r="B581" t="s">
        <v>4767</v>
      </c>
      <c r="C581" t="s">
        <v>9</v>
      </c>
      <c r="D581" t="s">
        <v>1570</v>
      </c>
      <c r="E581" t="s">
        <v>5867</v>
      </c>
    </row>
    <row r="582" spans="1:5" ht="15" customHeight="1">
      <c r="A582">
        <v>580</v>
      </c>
      <c r="B582" t="s">
        <v>2732</v>
      </c>
      <c r="C582" t="s">
        <v>9</v>
      </c>
      <c r="D582" t="s">
        <v>1570</v>
      </c>
      <c r="E582" t="s">
        <v>5867</v>
      </c>
    </row>
    <row r="583" spans="1:5" ht="15" customHeight="1">
      <c r="A583">
        <v>581</v>
      </c>
      <c r="B583" t="s">
        <v>4915</v>
      </c>
      <c r="C583" t="s">
        <v>9</v>
      </c>
      <c r="D583" t="s">
        <v>1570</v>
      </c>
      <c r="E583" t="s">
        <v>5867</v>
      </c>
    </row>
    <row r="584" spans="1:5" ht="15" customHeight="1">
      <c r="A584">
        <v>582</v>
      </c>
      <c r="B584" t="s">
        <v>4793</v>
      </c>
      <c r="C584" t="s">
        <v>9</v>
      </c>
      <c r="D584" t="s">
        <v>1570</v>
      </c>
      <c r="E584" t="s">
        <v>5867</v>
      </c>
    </row>
    <row r="585" spans="1:5" ht="15" customHeight="1">
      <c r="A585">
        <v>583</v>
      </c>
      <c r="B585" t="s">
        <v>2686</v>
      </c>
      <c r="C585" t="s">
        <v>9</v>
      </c>
      <c r="D585" t="s">
        <v>1570</v>
      </c>
      <c r="E585" t="s">
        <v>5867</v>
      </c>
    </row>
    <row r="586" spans="1:5" ht="15" customHeight="1">
      <c r="A586">
        <v>584</v>
      </c>
      <c r="B586" t="s">
        <v>4838</v>
      </c>
      <c r="C586" t="s">
        <v>9</v>
      </c>
      <c r="D586" t="s">
        <v>1570</v>
      </c>
      <c r="E586" t="s">
        <v>5867</v>
      </c>
    </row>
    <row r="587" spans="1:5" ht="15" customHeight="1">
      <c r="A587">
        <v>585</v>
      </c>
      <c r="B587" t="s">
        <v>2619</v>
      </c>
      <c r="C587" t="s">
        <v>9</v>
      </c>
      <c r="D587" t="s">
        <v>1570</v>
      </c>
      <c r="E587" t="s">
        <v>5867</v>
      </c>
    </row>
    <row r="588" spans="1:5" ht="15" customHeight="1">
      <c r="A588">
        <v>586</v>
      </c>
      <c r="B588" t="s">
        <v>2623</v>
      </c>
      <c r="C588" t="s">
        <v>9</v>
      </c>
      <c r="D588" t="s">
        <v>1570</v>
      </c>
      <c r="E588" t="s">
        <v>5867</v>
      </c>
    </row>
    <row r="589" spans="1:5" ht="15" customHeight="1">
      <c r="A589">
        <v>587</v>
      </c>
      <c r="B589" t="s">
        <v>2627</v>
      </c>
      <c r="C589" t="s">
        <v>9</v>
      </c>
      <c r="D589" t="s">
        <v>1570</v>
      </c>
      <c r="E589" t="s">
        <v>5867</v>
      </c>
    </row>
    <row r="590" spans="1:5" ht="15" customHeight="1">
      <c r="A590">
        <v>588</v>
      </c>
      <c r="B590" t="s">
        <v>2630</v>
      </c>
      <c r="C590" t="s">
        <v>9</v>
      </c>
      <c r="D590" t="s">
        <v>1570</v>
      </c>
      <c r="E590" t="s">
        <v>5867</v>
      </c>
    </row>
    <row r="591" spans="1:5" ht="15" customHeight="1">
      <c r="A591">
        <v>589</v>
      </c>
      <c r="B591" t="s">
        <v>2633</v>
      </c>
      <c r="C591" t="s">
        <v>9</v>
      </c>
      <c r="D591" t="s">
        <v>1570</v>
      </c>
      <c r="E591" t="s">
        <v>5867</v>
      </c>
    </row>
    <row r="592" spans="1:5" ht="15" customHeight="1">
      <c r="A592">
        <v>590</v>
      </c>
      <c r="B592" t="s">
        <v>2636</v>
      </c>
      <c r="C592" t="s">
        <v>9</v>
      </c>
      <c r="D592" t="s">
        <v>1570</v>
      </c>
      <c r="E592" t="s">
        <v>5867</v>
      </c>
    </row>
    <row r="593" spans="1:5" ht="15" customHeight="1">
      <c r="A593">
        <v>591</v>
      </c>
      <c r="B593" t="s">
        <v>4834</v>
      </c>
      <c r="C593" t="s">
        <v>9</v>
      </c>
      <c r="D593" t="s">
        <v>1570</v>
      </c>
      <c r="E593" t="s">
        <v>5867</v>
      </c>
    </row>
    <row r="594" spans="1:5" ht="15" customHeight="1">
      <c r="A594">
        <v>592</v>
      </c>
      <c r="B594" t="s">
        <v>2689</v>
      </c>
      <c r="C594" t="s">
        <v>9</v>
      </c>
      <c r="D594" t="s">
        <v>1570</v>
      </c>
      <c r="E594" t="s">
        <v>5867</v>
      </c>
    </row>
    <row r="595" spans="1:5" ht="15" customHeight="1">
      <c r="A595">
        <v>593</v>
      </c>
      <c r="B595" t="s">
        <v>4831</v>
      </c>
      <c r="C595" t="s">
        <v>9</v>
      </c>
      <c r="D595" t="s">
        <v>1570</v>
      </c>
      <c r="E595" t="s">
        <v>5867</v>
      </c>
    </row>
    <row r="596" spans="1:5" ht="15" customHeight="1">
      <c r="A596">
        <v>594</v>
      </c>
      <c r="B596" t="s">
        <v>2651</v>
      </c>
      <c r="C596" t="s">
        <v>9</v>
      </c>
      <c r="D596" t="s">
        <v>1570</v>
      </c>
      <c r="E596" t="s">
        <v>5867</v>
      </c>
    </row>
    <row r="597" spans="1:5" ht="15" customHeight="1">
      <c r="A597">
        <v>595</v>
      </c>
      <c r="B597" t="s">
        <v>2654</v>
      </c>
      <c r="C597" t="s">
        <v>9</v>
      </c>
      <c r="D597" t="s">
        <v>1570</v>
      </c>
      <c r="E597" t="s">
        <v>5867</v>
      </c>
    </row>
    <row r="598" spans="1:5" ht="15" customHeight="1">
      <c r="A598">
        <v>596</v>
      </c>
      <c r="B598" t="s">
        <v>4820</v>
      </c>
      <c r="C598" t="s">
        <v>9</v>
      </c>
      <c r="D598" t="s">
        <v>1570</v>
      </c>
      <c r="E598" t="s">
        <v>5867</v>
      </c>
    </row>
    <row r="599" spans="1:5" ht="15" customHeight="1">
      <c r="A599">
        <v>597</v>
      </c>
      <c r="B599" t="s">
        <v>4816</v>
      </c>
      <c r="C599" t="s">
        <v>9</v>
      </c>
      <c r="D599" t="s">
        <v>1570</v>
      </c>
      <c r="E599" t="s">
        <v>5867</v>
      </c>
    </row>
    <row r="600" spans="1:5" ht="15" customHeight="1">
      <c r="A600">
        <v>598</v>
      </c>
      <c r="B600" t="s">
        <v>2666</v>
      </c>
      <c r="C600" t="s">
        <v>9</v>
      </c>
      <c r="D600" t="s">
        <v>1570</v>
      </c>
      <c r="E600" t="s">
        <v>5867</v>
      </c>
    </row>
    <row r="601" spans="1:5" ht="15" customHeight="1">
      <c r="A601">
        <v>599</v>
      </c>
      <c r="B601" t="s">
        <v>2669</v>
      </c>
      <c r="C601" t="s">
        <v>9</v>
      </c>
      <c r="D601" t="s">
        <v>1570</v>
      </c>
      <c r="E601" t="s">
        <v>5867</v>
      </c>
    </row>
    <row r="602" spans="1:5" ht="15" customHeight="1">
      <c r="A602">
        <v>600</v>
      </c>
      <c r="B602" t="s">
        <v>4804</v>
      </c>
      <c r="C602" t="s">
        <v>9</v>
      </c>
      <c r="D602" t="s">
        <v>1570</v>
      </c>
      <c r="E602" t="s">
        <v>5867</v>
      </c>
    </row>
    <row r="603" spans="1:5" ht="15" customHeight="1">
      <c r="A603">
        <v>601</v>
      </c>
      <c r="B603" t="s">
        <v>4797</v>
      </c>
      <c r="C603" t="s">
        <v>9</v>
      </c>
      <c r="D603" t="s">
        <v>1570</v>
      </c>
      <c r="E603" t="s">
        <v>5867</v>
      </c>
    </row>
    <row r="604" spans="1:5" ht="15" customHeight="1">
      <c r="A604">
        <v>602</v>
      </c>
      <c r="B604" t="s">
        <v>4828</v>
      </c>
      <c r="C604" t="s">
        <v>9</v>
      </c>
      <c r="D604" t="s">
        <v>1570</v>
      </c>
      <c r="E604" t="s">
        <v>5867</v>
      </c>
    </row>
    <row r="605" spans="1:5" ht="15" customHeight="1">
      <c r="A605">
        <v>603</v>
      </c>
      <c r="B605" t="s">
        <v>2453</v>
      </c>
      <c r="C605" t="s">
        <v>9</v>
      </c>
      <c r="D605" t="s">
        <v>1570</v>
      </c>
      <c r="E605" t="s">
        <v>5867</v>
      </c>
    </row>
    <row r="606" spans="1:5" ht="15" customHeight="1">
      <c r="A606">
        <v>604</v>
      </c>
      <c r="B606" t="s">
        <v>4080</v>
      </c>
      <c r="C606" t="s">
        <v>9</v>
      </c>
      <c r="D606" t="s">
        <v>1570</v>
      </c>
      <c r="E606" t="s">
        <v>5867</v>
      </c>
    </row>
    <row r="607" spans="1:5" ht="15" customHeight="1">
      <c r="A607">
        <v>605</v>
      </c>
      <c r="B607" t="s">
        <v>2305</v>
      </c>
      <c r="C607" t="s">
        <v>9</v>
      </c>
      <c r="D607" t="s">
        <v>1570</v>
      </c>
      <c r="E607" t="s">
        <v>5867</v>
      </c>
    </row>
    <row r="608" spans="1:5" ht="15" customHeight="1">
      <c r="A608">
        <v>606</v>
      </c>
      <c r="B608" t="s">
        <v>2326</v>
      </c>
      <c r="C608" t="s">
        <v>9</v>
      </c>
      <c r="D608" t="s">
        <v>1570</v>
      </c>
      <c r="E608" t="s">
        <v>5867</v>
      </c>
    </row>
    <row r="609" spans="1:5" ht="15" customHeight="1">
      <c r="A609">
        <v>607</v>
      </c>
      <c r="B609" t="s">
        <v>2330</v>
      </c>
      <c r="C609" t="s">
        <v>9</v>
      </c>
      <c r="D609" t="s">
        <v>1570</v>
      </c>
      <c r="E609" t="s">
        <v>5867</v>
      </c>
    </row>
    <row r="610" spans="1:5" ht="15" customHeight="1">
      <c r="A610">
        <v>608</v>
      </c>
      <c r="B610" t="s">
        <v>2334</v>
      </c>
      <c r="C610" t="s">
        <v>9</v>
      </c>
      <c r="D610" t="s">
        <v>1570</v>
      </c>
      <c r="E610" t="s">
        <v>5867</v>
      </c>
    </row>
    <row r="611" spans="1:5" ht="15" customHeight="1">
      <c r="A611">
        <v>609</v>
      </c>
      <c r="B611" t="s">
        <v>2338</v>
      </c>
      <c r="C611" t="s">
        <v>9</v>
      </c>
      <c r="D611" t="s">
        <v>1570</v>
      </c>
      <c r="E611" t="s">
        <v>5867</v>
      </c>
    </row>
    <row r="612" spans="1:5" ht="15" customHeight="1">
      <c r="A612">
        <v>610</v>
      </c>
      <c r="B612" t="s">
        <v>2342</v>
      </c>
      <c r="C612" t="s">
        <v>9</v>
      </c>
      <c r="D612" t="s">
        <v>1570</v>
      </c>
      <c r="E612" t="s">
        <v>5867</v>
      </c>
    </row>
    <row r="613" spans="1:5" ht="15" customHeight="1">
      <c r="A613">
        <v>611</v>
      </c>
      <c r="B613" t="s">
        <v>2345</v>
      </c>
      <c r="C613" t="s">
        <v>9</v>
      </c>
      <c r="D613" t="s">
        <v>1570</v>
      </c>
      <c r="E613" t="s">
        <v>5867</v>
      </c>
    </row>
    <row r="614" spans="1:5" ht="15" customHeight="1">
      <c r="A614">
        <v>612</v>
      </c>
      <c r="B614" t="s">
        <v>2322</v>
      </c>
      <c r="C614" t="s">
        <v>9</v>
      </c>
      <c r="D614" t="s">
        <v>1570</v>
      </c>
      <c r="E614" t="s">
        <v>5867</v>
      </c>
    </row>
    <row r="615" spans="1:5" ht="15" customHeight="1">
      <c r="A615">
        <v>613</v>
      </c>
      <c r="B615" t="s">
        <v>2349</v>
      </c>
      <c r="C615" t="s">
        <v>9</v>
      </c>
      <c r="D615" t="s">
        <v>1570</v>
      </c>
      <c r="E615" t="s">
        <v>5867</v>
      </c>
    </row>
    <row r="616" spans="1:5" ht="15" customHeight="1">
      <c r="A616">
        <v>614</v>
      </c>
      <c r="B616" t="s">
        <v>490</v>
      </c>
      <c r="C616" t="s">
        <v>10</v>
      </c>
      <c r="D616" t="s">
        <v>5868</v>
      </c>
      <c r="E616" t="s">
        <v>5867</v>
      </c>
    </row>
    <row r="617" spans="1:5" ht="15" customHeight="1">
      <c r="A617">
        <v>615</v>
      </c>
      <c r="B617" t="s">
        <v>2356</v>
      </c>
      <c r="C617" t="s">
        <v>9</v>
      </c>
      <c r="D617" t="s">
        <v>1570</v>
      </c>
      <c r="E617" t="s">
        <v>5867</v>
      </c>
    </row>
    <row r="618" spans="1:5" ht="15" customHeight="1">
      <c r="A618">
        <v>616</v>
      </c>
      <c r="B618" t="s">
        <v>2233</v>
      </c>
      <c r="C618" t="s">
        <v>9</v>
      </c>
      <c r="D618" t="s">
        <v>1570</v>
      </c>
      <c r="E618" t="s">
        <v>5867</v>
      </c>
    </row>
    <row r="619" spans="1:5" ht="15" customHeight="1">
      <c r="A619">
        <v>617</v>
      </c>
      <c r="B619" t="s">
        <v>485</v>
      </c>
      <c r="C619" t="s">
        <v>10</v>
      </c>
      <c r="D619" t="s">
        <v>5868</v>
      </c>
      <c r="E619" t="s">
        <v>5867</v>
      </c>
    </row>
    <row r="620" spans="1:5" ht="15" customHeight="1">
      <c r="A620">
        <v>618</v>
      </c>
      <c r="B620" t="s">
        <v>2363</v>
      </c>
      <c r="C620" t="s">
        <v>9</v>
      </c>
      <c r="D620" t="s">
        <v>1570</v>
      </c>
      <c r="E620" t="s">
        <v>5867</v>
      </c>
    </row>
    <row r="621" spans="1:5" ht="15" customHeight="1">
      <c r="A621">
        <v>619</v>
      </c>
      <c r="B621" t="s">
        <v>2229</v>
      </c>
      <c r="C621" t="s">
        <v>9</v>
      </c>
      <c r="D621" t="s">
        <v>1570</v>
      </c>
      <c r="E621" t="s">
        <v>5867</v>
      </c>
    </row>
    <row r="622" spans="1:5" ht="15" customHeight="1">
      <c r="A622">
        <v>620</v>
      </c>
      <c r="B622" t="s">
        <v>2352</v>
      </c>
      <c r="C622" t="s">
        <v>9</v>
      </c>
      <c r="D622" t="s">
        <v>1570</v>
      </c>
      <c r="E622" t="s">
        <v>5867</v>
      </c>
    </row>
    <row r="623" spans="1:5" ht="15" customHeight="1">
      <c r="A623">
        <v>621</v>
      </c>
      <c r="B623" t="s">
        <v>2367</v>
      </c>
      <c r="C623" t="s">
        <v>9</v>
      </c>
      <c r="D623" t="s">
        <v>1570</v>
      </c>
      <c r="E623" t="s">
        <v>5867</v>
      </c>
    </row>
    <row r="624" spans="1:5" ht="15" customHeight="1">
      <c r="A624">
        <v>622</v>
      </c>
      <c r="B624" t="s">
        <v>2319</v>
      </c>
      <c r="C624" t="s">
        <v>9</v>
      </c>
      <c r="D624" t="s">
        <v>1570</v>
      </c>
      <c r="E624" t="s">
        <v>5867</v>
      </c>
    </row>
    <row r="625" spans="1:5" ht="15" customHeight="1">
      <c r="A625">
        <v>623</v>
      </c>
      <c r="B625" t="s">
        <v>2312</v>
      </c>
      <c r="C625" t="s">
        <v>9</v>
      </c>
      <c r="D625" t="s">
        <v>1570</v>
      </c>
      <c r="E625" t="s">
        <v>5867</v>
      </c>
    </row>
    <row r="626" spans="1:5" ht="15" customHeight="1">
      <c r="A626">
        <v>624</v>
      </c>
      <c r="B626" t="s">
        <v>2267</v>
      </c>
      <c r="C626" t="s">
        <v>9</v>
      </c>
      <c r="D626" t="s">
        <v>1570</v>
      </c>
      <c r="E626" t="s">
        <v>5867</v>
      </c>
    </row>
    <row r="627" spans="1:5" ht="15" customHeight="1">
      <c r="A627">
        <v>625</v>
      </c>
      <c r="B627" t="s">
        <v>487</v>
      </c>
      <c r="C627" t="s">
        <v>10</v>
      </c>
      <c r="D627" t="s">
        <v>5876</v>
      </c>
      <c r="E627" t="s">
        <v>5867</v>
      </c>
    </row>
    <row r="628" spans="1:5" ht="15" customHeight="1">
      <c r="A628">
        <v>626</v>
      </c>
      <c r="B628" t="s">
        <v>2271</v>
      </c>
      <c r="C628" t="s">
        <v>9</v>
      </c>
      <c r="D628" t="s">
        <v>1570</v>
      </c>
      <c r="E628" t="s">
        <v>5867</v>
      </c>
    </row>
    <row r="629" spans="1:5" ht="15" customHeight="1">
      <c r="A629">
        <v>627</v>
      </c>
      <c r="B629" t="s">
        <v>2252</v>
      </c>
      <c r="C629" t="s">
        <v>9</v>
      </c>
      <c r="D629" t="s">
        <v>1570</v>
      </c>
      <c r="E629" t="s">
        <v>5867</v>
      </c>
    </row>
    <row r="630" spans="1:5" ht="15" customHeight="1">
      <c r="A630">
        <v>628</v>
      </c>
      <c r="B630" t="s">
        <v>2279</v>
      </c>
      <c r="C630" t="s">
        <v>9</v>
      </c>
      <c r="D630" t="s">
        <v>1570</v>
      </c>
      <c r="E630" t="s">
        <v>5867</v>
      </c>
    </row>
    <row r="631" spans="1:5" ht="15" customHeight="1">
      <c r="A631">
        <v>629</v>
      </c>
      <c r="B631" t="s">
        <v>2248</v>
      </c>
      <c r="C631" t="s">
        <v>9</v>
      </c>
      <c r="D631" t="s">
        <v>1570</v>
      </c>
      <c r="E631" t="s">
        <v>5867</v>
      </c>
    </row>
    <row r="632" spans="1:5" ht="15" customHeight="1">
      <c r="A632">
        <v>630</v>
      </c>
      <c r="B632" t="s">
        <v>2315</v>
      </c>
      <c r="C632" t="s">
        <v>9</v>
      </c>
      <c r="D632" t="s">
        <v>1570</v>
      </c>
      <c r="E632" t="s">
        <v>5867</v>
      </c>
    </row>
    <row r="633" spans="1:5" ht="15" customHeight="1">
      <c r="A633">
        <v>631</v>
      </c>
      <c r="B633" t="s">
        <v>2289</v>
      </c>
      <c r="C633" t="s">
        <v>9</v>
      </c>
      <c r="D633" t="s">
        <v>1570</v>
      </c>
      <c r="E633" t="s">
        <v>5867</v>
      </c>
    </row>
    <row r="634" spans="1:5" ht="15" customHeight="1">
      <c r="A634">
        <v>632</v>
      </c>
      <c r="B634" t="s">
        <v>2293</v>
      </c>
      <c r="C634" t="s">
        <v>9</v>
      </c>
      <c r="D634" t="s">
        <v>1570</v>
      </c>
      <c r="E634" t="s">
        <v>5867</v>
      </c>
    </row>
    <row r="635" spans="1:5" ht="15" customHeight="1">
      <c r="A635">
        <v>633</v>
      </c>
      <c r="B635" t="s">
        <v>2297</v>
      </c>
      <c r="C635" t="s">
        <v>9</v>
      </c>
      <c r="D635" t="s">
        <v>1570</v>
      </c>
      <c r="E635" t="s">
        <v>5867</v>
      </c>
    </row>
    <row r="636" spans="1:5" ht="15" customHeight="1">
      <c r="A636">
        <v>634</v>
      </c>
      <c r="B636" t="s">
        <v>2301</v>
      </c>
      <c r="C636" t="s">
        <v>9</v>
      </c>
      <c r="D636" t="s">
        <v>1570</v>
      </c>
      <c r="E636" t="s">
        <v>5867</v>
      </c>
    </row>
    <row r="637" spans="1:5" ht="15" customHeight="1">
      <c r="A637">
        <v>635</v>
      </c>
      <c r="B637" t="s">
        <v>2450</v>
      </c>
      <c r="C637" t="s">
        <v>9</v>
      </c>
      <c r="D637" t="s">
        <v>1570</v>
      </c>
      <c r="E637" t="s">
        <v>5867</v>
      </c>
    </row>
    <row r="638" spans="1:5" ht="15" customHeight="1">
      <c r="A638">
        <v>636</v>
      </c>
      <c r="B638" t="s">
        <v>489</v>
      </c>
      <c r="C638" t="s">
        <v>10</v>
      </c>
      <c r="D638" t="s">
        <v>5868</v>
      </c>
      <c r="E638" t="s">
        <v>5867</v>
      </c>
    </row>
    <row r="639" spans="1:5" ht="15" customHeight="1">
      <c r="A639">
        <v>637</v>
      </c>
      <c r="B639" t="s">
        <v>2309</v>
      </c>
      <c r="C639" t="s">
        <v>9</v>
      </c>
      <c r="D639" t="s">
        <v>1570</v>
      </c>
      <c r="E639" t="s">
        <v>5867</v>
      </c>
    </row>
    <row r="640" spans="1:5" ht="15" customHeight="1">
      <c r="A640">
        <v>638</v>
      </c>
      <c r="B640" t="s">
        <v>2244</v>
      </c>
      <c r="C640" t="s">
        <v>9</v>
      </c>
      <c r="D640" t="s">
        <v>1570</v>
      </c>
      <c r="E640" t="s">
        <v>5867</v>
      </c>
    </row>
    <row r="641" spans="1:5" ht="15" customHeight="1">
      <c r="A641">
        <v>639</v>
      </c>
      <c r="B641" t="s">
        <v>4959</v>
      </c>
      <c r="C641" t="s">
        <v>9</v>
      </c>
      <c r="D641" t="s">
        <v>1570</v>
      </c>
      <c r="E641" t="s">
        <v>5867</v>
      </c>
    </row>
    <row r="642" spans="1:5" ht="15" customHeight="1">
      <c r="A642">
        <v>640</v>
      </c>
      <c r="B642" t="s">
        <v>2260</v>
      </c>
      <c r="C642" t="s">
        <v>9</v>
      </c>
      <c r="D642" t="s">
        <v>1570</v>
      </c>
      <c r="E642" t="s">
        <v>5867</v>
      </c>
    </row>
    <row r="643" spans="1:5" ht="15" customHeight="1">
      <c r="A643">
        <v>641</v>
      </c>
      <c r="B643" t="s">
        <v>2382</v>
      </c>
      <c r="C643" t="s">
        <v>9</v>
      </c>
      <c r="D643" t="s">
        <v>1570</v>
      </c>
      <c r="E643" t="s">
        <v>5867</v>
      </c>
    </row>
    <row r="644" spans="1:5" ht="15" customHeight="1">
      <c r="A644">
        <v>642</v>
      </c>
      <c r="B644" t="s">
        <v>4918</v>
      </c>
      <c r="C644" t="s">
        <v>9</v>
      </c>
      <c r="D644" t="s">
        <v>1570</v>
      </c>
      <c r="E644" t="s">
        <v>5867</v>
      </c>
    </row>
    <row r="645" spans="1:5" ht="15" customHeight="1">
      <c r="A645">
        <v>643</v>
      </c>
      <c r="B645" t="s">
        <v>2445</v>
      </c>
      <c r="C645" t="s">
        <v>9</v>
      </c>
      <c r="D645" t="s">
        <v>1570</v>
      </c>
      <c r="E645" t="s">
        <v>5867</v>
      </c>
    </row>
    <row r="646" spans="1:5" ht="15" customHeight="1">
      <c r="A646">
        <v>644</v>
      </c>
      <c r="B646" t="s">
        <v>2442</v>
      </c>
      <c r="C646" t="s">
        <v>9</v>
      </c>
      <c r="D646" t="s">
        <v>1570</v>
      </c>
      <c r="E646" t="s">
        <v>5867</v>
      </c>
    </row>
    <row r="647" spans="1:5" ht="15" customHeight="1">
      <c r="A647">
        <v>645</v>
      </c>
      <c r="B647" t="s">
        <v>2439</v>
      </c>
      <c r="C647" t="s">
        <v>9</v>
      </c>
      <c r="D647" t="s">
        <v>1570</v>
      </c>
      <c r="E647" t="s">
        <v>5867</v>
      </c>
    </row>
    <row r="648" spans="1:5" ht="15" customHeight="1">
      <c r="A648">
        <v>646</v>
      </c>
      <c r="B648" t="s">
        <v>2435</v>
      </c>
      <c r="C648" t="s">
        <v>9</v>
      </c>
      <c r="D648" t="s">
        <v>1570</v>
      </c>
      <c r="E648" t="s">
        <v>5867</v>
      </c>
    </row>
    <row r="649" spans="1:5" ht="15" customHeight="1">
      <c r="A649">
        <v>647</v>
      </c>
      <c r="B649" t="s">
        <v>2432</v>
      </c>
      <c r="C649" t="s">
        <v>9</v>
      </c>
      <c r="D649" t="s">
        <v>1570</v>
      </c>
      <c r="E649" t="s">
        <v>5867</v>
      </c>
    </row>
    <row r="650" spans="1:5" ht="15" customHeight="1">
      <c r="A650">
        <v>648</v>
      </c>
      <c r="B650" t="s">
        <v>4929</v>
      </c>
      <c r="C650" t="s">
        <v>9</v>
      </c>
      <c r="D650" t="s">
        <v>1570</v>
      </c>
      <c r="E650" t="s">
        <v>5867</v>
      </c>
    </row>
    <row r="651" spans="1:5" ht="15" customHeight="1">
      <c r="A651">
        <v>649</v>
      </c>
      <c r="B651" t="s">
        <v>4956</v>
      </c>
      <c r="C651" t="s">
        <v>9</v>
      </c>
      <c r="D651" t="s">
        <v>1570</v>
      </c>
      <c r="E651" t="s">
        <v>5867</v>
      </c>
    </row>
    <row r="652" spans="1:5" ht="15" customHeight="1">
      <c r="A652">
        <v>650</v>
      </c>
      <c r="B652" t="s">
        <v>2419</v>
      </c>
      <c r="C652" t="s">
        <v>9</v>
      </c>
      <c r="D652" t="s">
        <v>1570</v>
      </c>
      <c r="E652" t="s">
        <v>5867</v>
      </c>
    </row>
    <row r="653" spans="1:5" ht="15" customHeight="1">
      <c r="A653">
        <v>651</v>
      </c>
      <c r="B653" t="s">
        <v>4936</v>
      </c>
      <c r="C653" t="s">
        <v>9</v>
      </c>
      <c r="D653" t="s">
        <v>1570</v>
      </c>
      <c r="E653" t="s">
        <v>5867</v>
      </c>
    </row>
    <row r="654" spans="1:5" ht="15" customHeight="1">
      <c r="A654">
        <v>652</v>
      </c>
      <c r="B654" t="s">
        <v>497</v>
      </c>
      <c r="C654" t="s">
        <v>10</v>
      </c>
      <c r="D654" t="s">
        <v>5869</v>
      </c>
      <c r="E654" t="s">
        <v>5867</v>
      </c>
    </row>
    <row r="655" spans="1:5" ht="15" customHeight="1">
      <c r="A655">
        <v>653</v>
      </c>
      <c r="B655" t="s">
        <v>2413</v>
      </c>
      <c r="C655" t="s">
        <v>9</v>
      </c>
      <c r="D655" t="s">
        <v>1570</v>
      </c>
      <c r="E655" t="s">
        <v>5867</v>
      </c>
    </row>
    <row r="656" spans="1:5" ht="15" customHeight="1">
      <c r="A656">
        <v>654</v>
      </c>
      <c r="B656" t="s">
        <v>4939</v>
      </c>
      <c r="C656" t="s">
        <v>9</v>
      </c>
      <c r="D656" t="s">
        <v>1570</v>
      </c>
      <c r="E656" t="s">
        <v>5867</v>
      </c>
    </row>
    <row r="657" spans="1:5" ht="15" customHeight="1">
      <c r="A657">
        <v>655</v>
      </c>
      <c r="B657" t="s">
        <v>4932</v>
      </c>
      <c r="C657" t="s">
        <v>9</v>
      </c>
      <c r="D657" t="s">
        <v>1570</v>
      </c>
      <c r="E657" t="s">
        <v>5867</v>
      </c>
    </row>
    <row r="658" spans="1:5" ht="15" customHeight="1">
      <c r="A658">
        <v>656</v>
      </c>
      <c r="B658" t="s">
        <v>2404</v>
      </c>
      <c r="C658" t="s">
        <v>9</v>
      </c>
      <c r="D658" t="s">
        <v>1570</v>
      </c>
      <c r="E658" t="s">
        <v>5867</v>
      </c>
    </row>
    <row r="659" spans="1:5" ht="15" customHeight="1">
      <c r="A659">
        <v>657</v>
      </c>
      <c r="B659" t="s">
        <v>2386</v>
      </c>
      <c r="C659" t="s">
        <v>9</v>
      </c>
      <c r="D659" t="s">
        <v>1570</v>
      </c>
      <c r="E659" t="s">
        <v>5867</v>
      </c>
    </row>
    <row r="660" spans="1:5" ht="15" customHeight="1">
      <c r="A660">
        <v>658</v>
      </c>
      <c r="B660" t="s">
        <v>492</v>
      </c>
      <c r="C660" t="s">
        <v>10</v>
      </c>
      <c r="D660" t="s">
        <v>5876</v>
      </c>
      <c r="E660" t="s">
        <v>5867</v>
      </c>
    </row>
    <row r="661" spans="1:5" ht="15" customHeight="1">
      <c r="A661">
        <v>659</v>
      </c>
      <c r="B661" t="s">
        <v>4953</v>
      </c>
      <c r="C661" t="s">
        <v>9</v>
      </c>
      <c r="D661" t="s">
        <v>1570</v>
      </c>
      <c r="E661" t="s">
        <v>5867</v>
      </c>
    </row>
    <row r="662" spans="1:5" ht="15" customHeight="1">
      <c r="A662">
        <v>660</v>
      </c>
      <c r="B662" t="s">
        <v>4949</v>
      </c>
      <c r="C662" t="s">
        <v>9</v>
      </c>
      <c r="D662" t="s">
        <v>1570</v>
      </c>
      <c r="E662" t="s">
        <v>5867</v>
      </c>
    </row>
    <row r="663" spans="1:5" ht="15" customHeight="1">
      <c r="A663">
        <v>661</v>
      </c>
      <c r="B663" t="s">
        <v>2222</v>
      </c>
      <c r="C663" t="s">
        <v>9</v>
      </c>
      <c r="D663" t="s">
        <v>1570</v>
      </c>
      <c r="E663" t="s">
        <v>5867</v>
      </c>
    </row>
    <row r="664" spans="1:5" ht="15" customHeight="1">
      <c r="A664">
        <v>662</v>
      </c>
      <c r="B664" t="s">
        <v>2215</v>
      </c>
      <c r="C664" t="s">
        <v>9</v>
      </c>
      <c r="D664" t="s">
        <v>1570</v>
      </c>
      <c r="E664" t="s">
        <v>5867</v>
      </c>
    </row>
    <row r="665" spans="1:5" ht="15" customHeight="1">
      <c r="A665">
        <v>663</v>
      </c>
      <c r="B665" t="s">
        <v>2218</v>
      </c>
      <c r="C665" t="s">
        <v>9</v>
      </c>
      <c r="D665" t="s">
        <v>1570</v>
      </c>
      <c r="E665" t="s">
        <v>5867</v>
      </c>
    </row>
    <row r="666" spans="1:5" ht="15" customHeight="1">
      <c r="A666">
        <v>664</v>
      </c>
      <c r="B666" t="s">
        <v>493</v>
      </c>
      <c r="C666" t="s">
        <v>10</v>
      </c>
      <c r="D666" t="s">
        <v>5869</v>
      </c>
      <c r="E666" t="s">
        <v>5867</v>
      </c>
    </row>
    <row r="667" spans="1:5" ht="15" customHeight="1">
      <c r="A667">
        <v>665</v>
      </c>
      <c r="B667" t="s">
        <v>495</v>
      </c>
      <c r="C667" t="s">
        <v>10</v>
      </c>
      <c r="D667" t="s">
        <v>5869</v>
      </c>
      <c r="E667" t="s">
        <v>5867</v>
      </c>
    </row>
    <row r="668" spans="1:5" ht="15" customHeight="1">
      <c r="A668">
        <v>666</v>
      </c>
      <c r="B668" t="s">
        <v>2401</v>
      </c>
      <c r="C668" t="s">
        <v>9</v>
      </c>
      <c r="D668" t="s">
        <v>1570</v>
      </c>
      <c r="E668" t="s">
        <v>5867</v>
      </c>
    </row>
    <row r="669" spans="1:5" ht="15" customHeight="1">
      <c r="A669">
        <v>667</v>
      </c>
      <c r="B669" t="s">
        <v>4942</v>
      </c>
      <c r="C669" t="s">
        <v>9</v>
      </c>
      <c r="D669" t="s">
        <v>1570</v>
      </c>
      <c r="E669" t="s">
        <v>5867</v>
      </c>
    </row>
    <row r="670" spans="1:5" ht="15" customHeight="1">
      <c r="A670">
        <v>668</v>
      </c>
      <c r="B670" t="s">
        <v>4509</v>
      </c>
      <c r="C670" t="s">
        <v>9</v>
      </c>
      <c r="D670" t="s">
        <v>1593</v>
      </c>
      <c r="E670" t="s">
        <v>5877</v>
      </c>
    </row>
    <row r="671" spans="1:5" ht="15" customHeight="1">
      <c r="A671">
        <v>669</v>
      </c>
      <c r="B671" t="s">
        <v>4429</v>
      </c>
      <c r="C671" t="s">
        <v>9</v>
      </c>
      <c r="D671" t="s">
        <v>1593</v>
      </c>
      <c r="E671" t="s">
        <v>5877</v>
      </c>
    </row>
    <row r="672" spans="1:5" ht="15" customHeight="1">
      <c r="A672">
        <v>670</v>
      </c>
      <c r="B672" t="s">
        <v>4113</v>
      </c>
      <c r="C672" t="s">
        <v>9</v>
      </c>
      <c r="D672" t="s">
        <v>1593</v>
      </c>
      <c r="E672" t="s">
        <v>5877</v>
      </c>
    </row>
    <row r="673" spans="1:5" ht="15" customHeight="1">
      <c r="A673">
        <v>671</v>
      </c>
      <c r="B673" t="s">
        <v>4088</v>
      </c>
      <c r="C673" t="s">
        <v>9</v>
      </c>
      <c r="D673" t="s">
        <v>1593</v>
      </c>
      <c r="E673" t="s">
        <v>5877</v>
      </c>
    </row>
    <row r="674" spans="1:5" ht="15" customHeight="1">
      <c r="A674">
        <v>672</v>
      </c>
      <c r="B674" t="s">
        <v>4432</v>
      </c>
      <c r="C674" t="s">
        <v>9</v>
      </c>
      <c r="D674" t="s">
        <v>1593</v>
      </c>
      <c r="E674" t="s">
        <v>5877</v>
      </c>
    </row>
    <row r="675" spans="1:5" ht="15" customHeight="1">
      <c r="A675">
        <v>673</v>
      </c>
      <c r="B675" t="s">
        <v>4749</v>
      </c>
      <c r="C675" t="s">
        <v>9</v>
      </c>
      <c r="D675" t="s">
        <v>1593</v>
      </c>
      <c r="E675" t="s">
        <v>5877</v>
      </c>
    </row>
    <row r="676" spans="1:5" ht="15" customHeight="1">
      <c r="A676">
        <v>674</v>
      </c>
      <c r="B676" t="s">
        <v>4171</v>
      </c>
      <c r="C676" t="s">
        <v>9</v>
      </c>
      <c r="D676" t="s">
        <v>1593</v>
      </c>
      <c r="E676" t="s">
        <v>5877</v>
      </c>
    </row>
    <row r="677" spans="1:5" ht="15" customHeight="1">
      <c r="A677">
        <v>675</v>
      </c>
      <c r="B677" t="s">
        <v>4459</v>
      </c>
      <c r="C677" t="s">
        <v>9</v>
      </c>
      <c r="D677" t="s">
        <v>1593</v>
      </c>
      <c r="E677" t="s">
        <v>5877</v>
      </c>
    </row>
    <row r="678" spans="1:5" ht="15" customHeight="1">
      <c r="A678">
        <v>676</v>
      </c>
      <c r="B678" t="s">
        <v>4158</v>
      </c>
      <c r="C678" t="s">
        <v>9</v>
      </c>
      <c r="D678" t="s">
        <v>1593</v>
      </c>
      <c r="E678" t="s">
        <v>5877</v>
      </c>
    </row>
    <row r="679" spans="1:5" ht="15" customHeight="1">
      <c r="A679">
        <v>677</v>
      </c>
      <c r="B679" t="s">
        <v>496</v>
      </c>
      <c r="C679" t="s">
        <v>10</v>
      </c>
      <c r="D679" t="s">
        <v>5878</v>
      </c>
      <c r="E679" t="s">
        <v>5877</v>
      </c>
    </row>
    <row r="680" spans="1:5" ht="15" customHeight="1">
      <c r="A680">
        <v>678</v>
      </c>
      <c r="B680" t="s">
        <v>1513</v>
      </c>
      <c r="C680" t="s">
        <v>13</v>
      </c>
      <c r="D680" t="s">
        <v>1473</v>
      </c>
      <c r="E680" t="s">
        <v>5877</v>
      </c>
    </row>
    <row r="681" spans="1:5" ht="15" customHeight="1">
      <c r="A681">
        <v>679</v>
      </c>
      <c r="B681" t="s">
        <v>4148</v>
      </c>
      <c r="C681" t="s">
        <v>9</v>
      </c>
      <c r="D681" t="s">
        <v>1593</v>
      </c>
      <c r="E681" t="s">
        <v>5877</v>
      </c>
    </row>
    <row r="682" spans="1:5" ht="15" customHeight="1">
      <c r="A682">
        <v>680</v>
      </c>
      <c r="B682" t="s">
        <v>4145</v>
      </c>
      <c r="C682" t="s">
        <v>9</v>
      </c>
      <c r="D682" t="s">
        <v>1593</v>
      </c>
      <c r="E682" t="s">
        <v>5877</v>
      </c>
    </row>
    <row r="683" spans="1:5" ht="15" customHeight="1">
      <c r="A683">
        <v>681</v>
      </c>
      <c r="B683" t="s">
        <v>4095</v>
      </c>
      <c r="C683" t="s">
        <v>9</v>
      </c>
      <c r="D683" t="s">
        <v>1593</v>
      </c>
      <c r="E683" t="s">
        <v>5877</v>
      </c>
    </row>
    <row r="684" spans="1:5" ht="15" customHeight="1">
      <c r="A684">
        <v>682</v>
      </c>
      <c r="B684" t="s">
        <v>1470</v>
      </c>
      <c r="C684" t="s">
        <v>13</v>
      </c>
      <c r="D684" t="s">
        <v>1473</v>
      </c>
      <c r="E684" t="s">
        <v>5877</v>
      </c>
    </row>
    <row r="685" spans="1:5" ht="15" customHeight="1">
      <c r="A685">
        <v>683</v>
      </c>
      <c r="B685" t="s">
        <v>4783</v>
      </c>
      <c r="C685" t="s">
        <v>9</v>
      </c>
      <c r="D685" t="s">
        <v>1593</v>
      </c>
      <c r="E685" t="s">
        <v>5877</v>
      </c>
    </row>
    <row r="686" spans="1:5" ht="15" customHeight="1">
      <c r="A686">
        <v>684</v>
      </c>
      <c r="B686" t="s">
        <v>4496</v>
      </c>
      <c r="C686" t="s">
        <v>9</v>
      </c>
      <c r="D686" t="s">
        <v>1593</v>
      </c>
      <c r="E686" t="s">
        <v>5877</v>
      </c>
    </row>
    <row r="687" spans="1:5" ht="15" customHeight="1">
      <c r="A687">
        <v>685</v>
      </c>
      <c r="B687" t="s">
        <v>4341</v>
      </c>
      <c r="C687" t="s">
        <v>9</v>
      </c>
      <c r="D687" t="s">
        <v>1593</v>
      </c>
      <c r="E687" t="s">
        <v>5877</v>
      </c>
    </row>
    <row r="688" spans="1:5" ht="15" customHeight="1">
      <c r="A688">
        <v>686</v>
      </c>
      <c r="B688" t="s">
        <v>585</v>
      </c>
      <c r="C688" t="s">
        <v>10</v>
      </c>
      <c r="D688" t="s">
        <v>5879</v>
      </c>
      <c r="E688" t="s">
        <v>5877</v>
      </c>
    </row>
    <row r="689" spans="1:5" ht="15" customHeight="1">
      <c r="A689">
        <v>687</v>
      </c>
      <c r="B689" t="s">
        <v>4650</v>
      </c>
      <c r="C689" t="s">
        <v>9</v>
      </c>
      <c r="D689" t="s">
        <v>1593</v>
      </c>
      <c r="E689" t="s">
        <v>5877</v>
      </c>
    </row>
    <row r="690" spans="1:5" ht="15" customHeight="1">
      <c r="A690">
        <v>688</v>
      </c>
      <c r="B690" t="s">
        <v>4632</v>
      </c>
      <c r="C690" t="s">
        <v>9</v>
      </c>
      <c r="D690" t="s">
        <v>1593</v>
      </c>
      <c r="E690" t="s">
        <v>5877</v>
      </c>
    </row>
    <row r="691" spans="1:5" ht="15" customHeight="1">
      <c r="A691">
        <v>689</v>
      </c>
      <c r="B691" t="s">
        <v>4334</v>
      </c>
      <c r="C691" t="s">
        <v>9</v>
      </c>
      <c r="D691" t="s">
        <v>1593</v>
      </c>
      <c r="E691" t="s">
        <v>5877</v>
      </c>
    </row>
    <row r="692" spans="1:5" ht="15" customHeight="1">
      <c r="A692">
        <v>690</v>
      </c>
      <c r="B692" t="s">
        <v>4661</v>
      </c>
      <c r="C692" t="s">
        <v>9</v>
      </c>
      <c r="D692" t="s">
        <v>1593</v>
      </c>
      <c r="E692" t="s">
        <v>5877</v>
      </c>
    </row>
    <row r="693" spans="1:5" ht="15" customHeight="1">
      <c r="A693">
        <v>691</v>
      </c>
      <c r="B693" t="s">
        <v>4624</v>
      </c>
      <c r="C693" t="s">
        <v>9</v>
      </c>
      <c r="D693" t="s">
        <v>1593</v>
      </c>
      <c r="E693" t="s">
        <v>5877</v>
      </c>
    </row>
    <row r="694" spans="1:5" ht="15" customHeight="1">
      <c r="A694">
        <v>692</v>
      </c>
      <c r="B694" t="s">
        <v>4613</v>
      </c>
      <c r="C694" t="s">
        <v>9</v>
      </c>
      <c r="D694" t="s">
        <v>1593</v>
      </c>
      <c r="E694" t="s">
        <v>5877</v>
      </c>
    </row>
    <row r="695" spans="1:5" ht="15" customHeight="1">
      <c r="A695">
        <v>693</v>
      </c>
      <c r="B695" t="s">
        <v>4593</v>
      </c>
      <c r="C695" t="s">
        <v>9</v>
      </c>
      <c r="D695" t="s">
        <v>1593</v>
      </c>
      <c r="E695" t="s">
        <v>5877</v>
      </c>
    </row>
    <row r="696" spans="1:5" ht="15" customHeight="1">
      <c r="A696">
        <v>694</v>
      </c>
      <c r="B696" t="s">
        <v>4673</v>
      </c>
      <c r="C696" t="s">
        <v>9</v>
      </c>
      <c r="D696" t="s">
        <v>1593</v>
      </c>
      <c r="E696" t="s">
        <v>5877</v>
      </c>
    </row>
    <row r="697" spans="1:5" ht="15" customHeight="1">
      <c r="A697">
        <v>695</v>
      </c>
      <c r="B697" t="s">
        <v>4308</v>
      </c>
      <c r="C697" t="s">
        <v>9</v>
      </c>
      <c r="D697" t="s">
        <v>1593</v>
      </c>
      <c r="E697" t="s">
        <v>5877</v>
      </c>
    </row>
    <row r="698" spans="1:5" ht="15" customHeight="1">
      <c r="A698">
        <v>696</v>
      </c>
      <c r="B698" t="s">
        <v>4304</v>
      </c>
      <c r="C698" t="s">
        <v>9</v>
      </c>
      <c r="D698" t="s">
        <v>1593</v>
      </c>
      <c r="E698" t="s">
        <v>5877</v>
      </c>
    </row>
    <row r="699" spans="1:5" ht="15" customHeight="1">
      <c r="A699">
        <v>697</v>
      </c>
      <c r="B699" t="s">
        <v>4297</v>
      </c>
      <c r="C699" t="s">
        <v>9</v>
      </c>
      <c r="D699" t="s">
        <v>1593</v>
      </c>
      <c r="E699" t="s">
        <v>5877</v>
      </c>
    </row>
    <row r="700" spans="1:5" ht="15" customHeight="1">
      <c r="A700">
        <v>698</v>
      </c>
      <c r="B700" t="s">
        <v>4366</v>
      </c>
      <c r="C700" t="s">
        <v>9</v>
      </c>
      <c r="D700" t="s">
        <v>1593</v>
      </c>
      <c r="E700" t="s">
        <v>5877</v>
      </c>
    </row>
    <row r="701" spans="1:5" ht="15" customHeight="1">
      <c r="A701">
        <v>699</v>
      </c>
      <c r="B701" t="s">
        <v>4580</v>
      </c>
      <c r="C701" t="s">
        <v>9</v>
      </c>
      <c r="D701" t="s">
        <v>1593</v>
      </c>
      <c r="E701" t="s">
        <v>5877</v>
      </c>
    </row>
    <row r="702" spans="1:5" ht="15" customHeight="1">
      <c r="A702">
        <v>700</v>
      </c>
      <c r="B702" t="s">
        <v>4284</v>
      </c>
      <c r="C702" t="s">
        <v>9</v>
      </c>
      <c r="D702" t="s">
        <v>1593</v>
      </c>
      <c r="E702" t="s">
        <v>5877</v>
      </c>
    </row>
    <row r="703" spans="1:5" ht="15" customHeight="1">
      <c r="A703">
        <v>701</v>
      </c>
      <c r="B703" t="s">
        <v>4559</v>
      </c>
      <c r="C703" t="s">
        <v>9</v>
      </c>
      <c r="D703" t="s">
        <v>1593</v>
      </c>
      <c r="E703" t="s">
        <v>5877</v>
      </c>
    </row>
    <row r="704" spans="1:5" ht="15" customHeight="1">
      <c r="A704">
        <v>702</v>
      </c>
      <c r="B704" t="s">
        <v>4965</v>
      </c>
      <c r="C704" t="s">
        <v>9</v>
      </c>
      <c r="D704" t="s">
        <v>1593</v>
      </c>
      <c r="E704" t="s">
        <v>5877</v>
      </c>
    </row>
    <row r="705" spans="1:5" ht="15" customHeight="1">
      <c r="A705">
        <v>703</v>
      </c>
      <c r="B705" t="s">
        <v>4871</v>
      </c>
      <c r="C705" t="s">
        <v>9</v>
      </c>
      <c r="D705" t="s">
        <v>1593</v>
      </c>
      <c r="E705" t="s">
        <v>5877</v>
      </c>
    </row>
    <row r="706" spans="1:5" ht="15" customHeight="1">
      <c r="A706">
        <v>704</v>
      </c>
      <c r="B706" t="s">
        <v>4808</v>
      </c>
      <c r="C706" t="s">
        <v>9</v>
      </c>
      <c r="D706" t="s">
        <v>1593</v>
      </c>
      <c r="E706" t="s">
        <v>5877</v>
      </c>
    </row>
    <row r="707" spans="1:5" ht="15" customHeight="1">
      <c r="A707">
        <v>705</v>
      </c>
      <c r="B707" t="s">
        <v>4812</v>
      </c>
      <c r="C707" t="s">
        <v>9</v>
      </c>
      <c r="D707" t="s">
        <v>1593</v>
      </c>
      <c r="E707" t="s">
        <v>5877</v>
      </c>
    </row>
    <row r="708" spans="1:5" ht="15" customHeight="1">
      <c r="A708">
        <v>706</v>
      </c>
      <c r="B708" t="s">
        <v>4513</v>
      </c>
      <c r="C708" t="s">
        <v>9</v>
      </c>
      <c r="D708" t="s">
        <v>1593</v>
      </c>
      <c r="E708" t="s">
        <v>5877</v>
      </c>
    </row>
    <row r="709" spans="1:5" ht="15" customHeight="1">
      <c r="A709">
        <v>707</v>
      </c>
      <c r="B709" t="s">
        <v>483</v>
      </c>
      <c r="C709" t="s">
        <v>10</v>
      </c>
      <c r="D709" t="s">
        <v>5880</v>
      </c>
      <c r="E709" t="s">
        <v>5877</v>
      </c>
    </row>
    <row r="710" spans="1:5" ht="15" customHeight="1">
      <c r="A710">
        <v>708</v>
      </c>
      <c r="B710" t="s">
        <v>481</v>
      </c>
      <c r="C710" t="s">
        <v>10</v>
      </c>
      <c r="D710" t="s">
        <v>5881</v>
      </c>
      <c r="E710" t="s">
        <v>5877</v>
      </c>
    </row>
    <row r="711" spans="1:5" ht="15" customHeight="1">
      <c r="A711">
        <v>709</v>
      </c>
      <c r="B711" t="s">
        <v>4410</v>
      </c>
      <c r="C711" t="s">
        <v>9</v>
      </c>
      <c r="D711" t="s">
        <v>1593</v>
      </c>
      <c r="E711" t="s">
        <v>5877</v>
      </c>
    </row>
    <row r="712" spans="1:5" ht="15" customHeight="1">
      <c r="A712">
        <v>710</v>
      </c>
      <c r="B712" t="s">
        <v>4186</v>
      </c>
      <c r="C712" t="s">
        <v>9</v>
      </c>
      <c r="D712" t="s">
        <v>1593</v>
      </c>
      <c r="E712" t="s">
        <v>5877</v>
      </c>
    </row>
    <row r="713" spans="1:5" ht="15" customHeight="1">
      <c r="A713">
        <v>711</v>
      </c>
      <c r="B713" t="s">
        <v>478</v>
      </c>
      <c r="C713" t="s">
        <v>10</v>
      </c>
      <c r="D713" t="s">
        <v>5878</v>
      </c>
      <c r="E713" t="s">
        <v>5877</v>
      </c>
    </row>
    <row r="714" spans="1:5" ht="15" customHeight="1">
      <c r="A714">
        <v>712</v>
      </c>
      <c r="B714" t="s">
        <v>4242</v>
      </c>
      <c r="C714" t="s">
        <v>9</v>
      </c>
      <c r="D714" t="s">
        <v>1593</v>
      </c>
      <c r="E714" t="s">
        <v>5877</v>
      </c>
    </row>
    <row r="715" spans="1:5" ht="15" customHeight="1">
      <c r="A715">
        <v>713</v>
      </c>
      <c r="B715" t="s">
        <v>4402</v>
      </c>
      <c r="C715" t="s">
        <v>9</v>
      </c>
      <c r="D715" t="s">
        <v>1593</v>
      </c>
      <c r="E715" t="s">
        <v>5877</v>
      </c>
    </row>
    <row r="716" spans="1:5" ht="15" customHeight="1">
      <c r="A716">
        <v>714</v>
      </c>
      <c r="B716" t="s">
        <v>4246</v>
      </c>
      <c r="C716" t="s">
        <v>9</v>
      </c>
      <c r="D716" t="s">
        <v>1593</v>
      </c>
      <c r="E716" t="s">
        <v>5877</v>
      </c>
    </row>
    <row r="717" spans="1:5" ht="15" customHeight="1">
      <c r="A717">
        <v>715</v>
      </c>
      <c r="B717" t="s">
        <v>4722</v>
      </c>
      <c r="C717" t="s">
        <v>9</v>
      </c>
      <c r="D717" t="s">
        <v>1593</v>
      </c>
      <c r="E717" t="s">
        <v>5877</v>
      </c>
    </row>
    <row r="718" spans="1:5" ht="15" customHeight="1">
      <c r="A718">
        <v>716</v>
      </c>
      <c r="B718" t="s">
        <v>4382</v>
      </c>
      <c r="C718" t="s">
        <v>9</v>
      </c>
      <c r="D718" t="s">
        <v>1593</v>
      </c>
      <c r="E718" t="s">
        <v>5877</v>
      </c>
    </row>
    <row r="719" spans="1:5" ht="15" customHeight="1">
      <c r="A719">
        <v>717</v>
      </c>
      <c r="B719" t="s">
        <v>523</v>
      </c>
      <c r="C719" t="s">
        <v>10</v>
      </c>
      <c r="D719" t="s">
        <v>5881</v>
      </c>
      <c r="E719" t="s">
        <v>5877</v>
      </c>
    </row>
    <row r="720" spans="1:5" ht="15" customHeight="1">
      <c r="A720">
        <v>718</v>
      </c>
      <c r="B720" t="s">
        <v>573</v>
      </c>
      <c r="C720" t="s">
        <v>10</v>
      </c>
      <c r="D720" t="s">
        <v>5878</v>
      </c>
      <c r="E720" t="s">
        <v>5877</v>
      </c>
    </row>
    <row r="721" spans="1:5" ht="15" customHeight="1">
      <c r="A721">
        <v>719</v>
      </c>
      <c r="B721" t="s">
        <v>4664</v>
      </c>
      <c r="C721" t="s">
        <v>9</v>
      </c>
      <c r="D721" t="s">
        <v>1593</v>
      </c>
      <c r="E721" t="s">
        <v>5877</v>
      </c>
    </row>
    <row r="722" spans="1:5" ht="15" customHeight="1">
      <c r="A722">
        <v>720</v>
      </c>
      <c r="B722" t="s">
        <v>88</v>
      </c>
      <c r="C722" t="s">
        <v>8</v>
      </c>
      <c r="D722" t="s">
        <v>92</v>
      </c>
      <c r="E722" t="s">
        <v>5877</v>
      </c>
    </row>
    <row r="723" spans="1:5" ht="15" customHeight="1">
      <c r="A723">
        <v>721</v>
      </c>
      <c r="B723" t="s">
        <v>4076</v>
      </c>
      <c r="C723" t="s">
        <v>9</v>
      </c>
      <c r="D723" t="s">
        <v>1593</v>
      </c>
      <c r="E723" t="s">
        <v>5877</v>
      </c>
    </row>
    <row r="724" spans="1:5" ht="15" customHeight="1">
      <c r="A724">
        <v>722</v>
      </c>
      <c r="B724" t="s">
        <v>3060</v>
      </c>
      <c r="C724" t="s">
        <v>9</v>
      </c>
      <c r="D724" t="s">
        <v>1593</v>
      </c>
      <c r="E724" t="s">
        <v>5877</v>
      </c>
    </row>
    <row r="725" spans="1:5" ht="15" customHeight="1">
      <c r="A725">
        <v>723</v>
      </c>
      <c r="B725" t="s">
        <v>3036</v>
      </c>
      <c r="C725" t="s">
        <v>9</v>
      </c>
      <c r="D725" t="s">
        <v>1593</v>
      </c>
      <c r="E725" t="s">
        <v>5877</v>
      </c>
    </row>
    <row r="726" spans="1:5" ht="15" customHeight="1">
      <c r="A726">
        <v>724</v>
      </c>
      <c r="B726" t="s">
        <v>3019</v>
      </c>
      <c r="C726" t="s">
        <v>9</v>
      </c>
      <c r="D726" t="s">
        <v>1593</v>
      </c>
      <c r="E726" t="s">
        <v>5877</v>
      </c>
    </row>
    <row r="727" spans="1:5" ht="15" customHeight="1">
      <c r="A727">
        <v>725</v>
      </c>
      <c r="B727" t="s">
        <v>3008</v>
      </c>
      <c r="C727" t="s">
        <v>9</v>
      </c>
      <c r="D727" t="s">
        <v>1593</v>
      </c>
      <c r="E727" t="s">
        <v>5877</v>
      </c>
    </row>
    <row r="728" spans="1:5" ht="15" customHeight="1">
      <c r="A728">
        <v>726</v>
      </c>
      <c r="B728" t="s">
        <v>2952</v>
      </c>
      <c r="C728" t="s">
        <v>9</v>
      </c>
      <c r="D728" t="s">
        <v>1593</v>
      </c>
      <c r="E728" t="s">
        <v>5877</v>
      </c>
    </row>
    <row r="729" spans="1:5" ht="15" customHeight="1">
      <c r="A729">
        <v>727</v>
      </c>
      <c r="B729" t="s">
        <v>2722</v>
      </c>
      <c r="C729" t="s">
        <v>9</v>
      </c>
      <c r="D729" t="s">
        <v>1593</v>
      </c>
      <c r="E729" t="s">
        <v>5877</v>
      </c>
    </row>
    <row r="730" spans="1:5" ht="15" customHeight="1">
      <c r="A730">
        <v>728</v>
      </c>
      <c r="B730" t="s">
        <v>2702</v>
      </c>
      <c r="C730" t="s">
        <v>9</v>
      </c>
      <c r="D730" t="s">
        <v>1593</v>
      </c>
      <c r="E730" t="s">
        <v>5877</v>
      </c>
    </row>
    <row r="731" spans="1:5" ht="15" customHeight="1">
      <c r="A731">
        <v>729</v>
      </c>
      <c r="B731" t="s">
        <v>2679</v>
      </c>
      <c r="C731" t="s">
        <v>9</v>
      </c>
      <c r="D731" t="s">
        <v>1593</v>
      </c>
      <c r="E731" t="s">
        <v>5877</v>
      </c>
    </row>
    <row r="732" spans="1:5" ht="15" customHeight="1">
      <c r="A732">
        <v>730</v>
      </c>
      <c r="B732" t="s">
        <v>2672</v>
      </c>
      <c r="C732" t="s">
        <v>9</v>
      </c>
      <c r="D732" t="s">
        <v>1593</v>
      </c>
      <c r="E732" t="s">
        <v>5877</v>
      </c>
    </row>
    <row r="733" spans="1:5" ht="15" customHeight="1">
      <c r="A733">
        <v>731</v>
      </c>
      <c r="B733" t="s">
        <v>2658</v>
      </c>
      <c r="C733" t="s">
        <v>9</v>
      </c>
      <c r="D733" t="s">
        <v>1593</v>
      </c>
      <c r="E733" t="s">
        <v>5877</v>
      </c>
    </row>
    <row r="734" spans="1:5" ht="15" customHeight="1">
      <c r="A734">
        <v>732</v>
      </c>
      <c r="B734" t="s">
        <v>2643</v>
      </c>
      <c r="C734" t="s">
        <v>9</v>
      </c>
      <c r="D734" t="s">
        <v>1593</v>
      </c>
      <c r="E734" t="s">
        <v>5877</v>
      </c>
    </row>
    <row r="735" spans="1:5" ht="15" customHeight="1">
      <c r="A735">
        <v>733</v>
      </c>
      <c r="B735" t="s">
        <v>2616</v>
      </c>
      <c r="C735" t="s">
        <v>9</v>
      </c>
      <c r="D735" t="s">
        <v>1593</v>
      </c>
      <c r="E735" t="s">
        <v>5877</v>
      </c>
    </row>
    <row r="736" spans="1:5" ht="15" customHeight="1">
      <c r="A736">
        <v>734</v>
      </c>
      <c r="B736" t="s">
        <v>2533</v>
      </c>
      <c r="C736" t="s">
        <v>9</v>
      </c>
      <c r="D736" t="s">
        <v>1593</v>
      </c>
      <c r="E736" t="s">
        <v>5877</v>
      </c>
    </row>
    <row r="737" spans="1:5" ht="15" customHeight="1">
      <c r="A737">
        <v>735</v>
      </c>
      <c r="B737" t="s">
        <v>2526</v>
      </c>
      <c r="C737" t="s">
        <v>9</v>
      </c>
      <c r="D737" t="s">
        <v>1593</v>
      </c>
      <c r="E737" t="s">
        <v>5877</v>
      </c>
    </row>
    <row r="738" spans="1:5" ht="15" customHeight="1">
      <c r="A738">
        <v>736</v>
      </c>
      <c r="B738" t="s">
        <v>2493</v>
      </c>
      <c r="C738" t="s">
        <v>9</v>
      </c>
      <c r="D738" t="s">
        <v>1593</v>
      </c>
      <c r="E738" t="s">
        <v>5877</v>
      </c>
    </row>
    <row r="739" spans="1:5" ht="15" customHeight="1">
      <c r="A739">
        <v>737</v>
      </c>
      <c r="B739" t="s">
        <v>2476</v>
      </c>
      <c r="C739" t="s">
        <v>9</v>
      </c>
      <c r="D739" t="s">
        <v>1593</v>
      </c>
      <c r="E739" t="s">
        <v>5877</v>
      </c>
    </row>
    <row r="740" spans="1:5" ht="15" customHeight="1">
      <c r="A740">
        <v>738</v>
      </c>
      <c r="B740" t="s">
        <v>2469</v>
      </c>
      <c r="C740" t="s">
        <v>9</v>
      </c>
      <c r="D740" t="s">
        <v>1593</v>
      </c>
      <c r="E740" t="s">
        <v>5877</v>
      </c>
    </row>
    <row r="741" spans="1:5" ht="15" customHeight="1">
      <c r="A741">
        <v>739</v>
      </c>
      <c r="B741" t="s">
        <v>3103</v>
      </c>
      <c r="C741" t="s">
        <v>9</v>
      </c>
      <c r="D741" t="s">
        <v>1593</v>
      </c>
      <c r="E741" t="s">
        <v>5877</v>
      </c>
    </row>
    <row r="742" spans="1:5" ht="15" customHeight="1">
      <c r="A742">
        <v>740</v>
      </c>
      <c r="B742" t="s">
        <v>2455</v>
      </c>
      <c r="C742" t="s">
        <v>9</v>
      </c>
      <c r="D742" t="s">
        <v>1593</v>
      </c>
      <c r="E742" t="s">
        <v>5877</v>
      </c>
    </row>
    <row r="743" spans="1:5" ht="15" customHeight="1">
      <c r="A743">
        <v>741</v>
      </c>
      <c r="B743" t="s">
        <v>3107</v>
      </c>
      <c r="C743" t="s">
        <v>9</v>
      </c>
      <c r="D743" t="s">
        <v>1593</v>
      </c>
      <c r="E743" t="s">
        <v>5877</v>
      </c>
    </row>
    <row r="744" spans="1:5" ht="15" customHeight="1">
      <c r="A744">
        <v>742</v>
      </c>
      <c r="B744" t="s">
        <v>3169</v>
      </c>
      <c r="C744" t="s">
        <v>9</v>
      </c>
      <c r="D744" t="s">
        <v>1593</v>
      </c>
      <c r="E744" t="s">
        <v>5877</v>
      </c>
    </row>
    <row r="745" spans="1:5" ht="15" customHeight="1">
      <c r="A745">
        <v>743</v>
      </c>
      <c r="B745" t="s">
        <v>3511</v>
      </c>
      <c r="C745" t="s">
        <v>9</v>
      </c>
      <c r="D745" t="s">
        <v>1593</v>
      </c>
      <c r="E745" t="s">
        <v>5877</v>
      </c>
    </row>
    <row r="746" spans="1:5" ht="15" customHeight="1">
      <c r="A746">
        <v>744</v>
      </c>
      <c r="B746" t="s">
        <v>3501</v>
      </c>
      <c r="C746" t="s">
        <v>9</v>
      </c>
      <c r="D746" t="s">
        <v>1593</v>
      </c>
      <c r="E746" t="s">
        <v>5877</v>
      </c>
    </row>
    <row r="747" spans="1:5" ht="15" customHeight="1">
      <c r="A747">
        <v>745</v>
      </c>
      <c r="B747" t="s">
        <v>3488</v>
      </c>
      <c r="C747" t="s">
        <v>9</v>
      </c>
      <c r="D747" t="s">
        <v>1593</v>
      </c>
      <c r="E747" t="s">
        <v>5877</v>
      </c>
    </row>
    <row r="748" spans="1:5" ht="15" customHeight="1">
      <c r="A748">
        <v>746</v>
      </c>
      <c r="B748" t="s">
        <v>3451</v>
      </c>
      <c r="C748" t="s">
        <v>9</v>
      </c>
      <c r="D748" t="s">
        <v>1593</v>
      </c>
      <c r="E748" t="s">
        <v>5877</v>
      </c>
    </row>
    <row r="749" spans="1:5" ht="15" customHeight="1">
      <c r="A749">
        <v>747</v>
      </c>
      <c r="B749" t="s">
        <v>3430</v>
      </c>
      <c r="C749" t="s">
        <v>9</v>
      </c>
      <c r="D749" t="s">
        <v>1593</v>
      </c>
      <c r="E749" t="s">
        <v>5877</v>
      </c>
    </row>
    <row r="750" spans="1:5" ht="15" customHeight="1">
      <c r="A750">
        <v>748</v>
      </c>
      <c r="B750" t="s">
        <v>3388</v>
      </c>
      <c r="C750" t="s">
        <v>9</v>
      </c>
      <c r="D750" t="s">
        <v>1593</v>
      </c>
      <c r="E750" t="s">
        <v>5877</v>
      </c>
    </row>
    <row r="751" spans="1:5" ht="15" customHeight="1">
      <c r="A751">
        <v>749</v>
      </c>
      <c r="B751" t="s">
        <v>3372</v>
      </c>
      <c r="C751" t="s">
        <v>9</v>
      </c>
      <c r="D751" t="s">
        <v>1593</v>
      </c>
      <c r="E751" t="s">
        <v>5877</v>
      </c>
    </row>
    <row r="752" spans="1:5" ht="15" customHeight="1">
      <c r="A752">
        <v>750</v>
      </c>
      <c r="B752" t="s">
        <v>3353</v>
      </c>
      <c r="C752" t="s">
        <v>9</v>
      </c>
      <c r="D752" t="s">
        <v>1593</v>
      </c>
      <c r="E752" t="s">
        <v>5877</v>
      </c>
    </row>
    <row r="753" spans="1:5" ht="15" customHeight="1">
      <c r="A753">
        <v>751</v>
      </c>
      <c r="B753" t="s">
        <v>3349</v>
      </c>
      <c r="C753" t="s">
        <v>9</v>
      </c>
      <c r="D753" t="s">
        <v>1593</v>
      </c>
      <c r="E753" t="s">
        <v>5877</v>
      </c>
    </row>
    <row r="754" spans="1:5" ht="15" customHeight="1">
      <c r="A754">
        <v>752</v>
      </c>
      <c r="B754" t="s">
        <v>3346</v>
      </c>
      <c r="C754" t="s">
        <v>9</v>
      </c>
      <c r="D754" t="s">
        <v>1593</v>
      </c>
      <c r="E754" t="s">
        <v>5877</v>
      </c>
    </row>
    <row r="755" spans="1:5" ht="15" customHeight="1">
      <c r="A755">
        <v>753</v>
      </c>
      <c r="B755" t="s">
        <v>3339</v>
      </c>
      <c r="C755" t="s">
        <v>9</v>
      </c>
      <c r="D755" t="s">
        <v>1593</v>
      </c>
      <c r="E755" t="s">
        <v>5877</v>
      </c>
    </row>
    <row r="756" spans="1:5" ht="15" customHeight="1">
      <c r="A756">
        <v>754</v>
      </c>
      <c r="B756" t="s">
        <v>3336</v>
      </c>
      <c r="C756" t="s">
        <v>9</v>
      </c>
      <c r="D756" t="s">
        <v>1593</v>
      </c>
      <c r="E756" t="s">
        <v>5877</v>
      </c>
    </row>
    <row r="757" spans="1:5" ht="15" customHeight="1">
      <c r="A757">
        <v>755</v>
      </c>
      <c r="B757" t="s">
        <v>3308</v>
      </c>
      <c r="C757" t="s">
        <v>9</v>
      </c>
      <c r="D757" t="s">
        <v>1593</v>
      </c>
      <c r="E757" t="s">
        <v>5877</v>
      </c>
    </row>
    <row r="758" spans="1:5" ht="15" customHeight="1">
      <c r="A758">
        <v>756</v>
      </c>
      <c r="B758" t="s">
        <v>3254</v>
      </c>
      <c r="C758" t="s">
        <v>9</v>
      </c>
      <c r="D758" t="s">
        <v>1593</v>
      </c>
      <c r="E758" t="s">
        <v>5877</v>
      </c>
    </row>
    <row r="759" spans="1:5" ht="15" customHeight="1">
      <c r="A759">
        <v>757</v>
      </c>
      <c r="B759" t="s">
        <v>3208</v>
      </c>
      <c r="C759" t="s">
        <v>9</v>
      </c>
      <c r="D759" t="s">
        <v>1593</v>
      </c>
      <c r="E759" t="s">
        <v>5877</v>
      </c>
    </row>
    <row r="760" spans="1:5" ht="15" customHeight="1">
      <c r="A760">
        <v>758</v>
      </c>
      <c r="B760" t="s">
        <v>3183</v>
      </c>
      <c r="C760" t="s">
        <v>9</v>
      </c>
      <c r="D760" t="s">
        <v>1593</v>
      </c>
      <c r="E760" t="s">
        <v>5877</v>
      </c>
    </row>
    <row r="761" spans="1:5" ht="15" customHeight="1">
      <c r="A761">
        <v>759</v>
      </c>
      <c r="B761" t="s">
        <v>3173</v>
      </c>
      <c r="C761" t="s">
        <v>9</v>
      </c>
      <c r="D761" t="s">
        <v>1593</v>
      </c>
      <c r="E761" t="s">
        <v>5877</v>
      </c>
    </row>
    <row r="762" spans="1:5" ht="15" customHeight="1">
      <c r="A762">
        <v>760</v>
      </c>
      <c r="B762" t="s">
        <v>3162</v>
      </c>
      <c r="C762" t="s">
        <v>9</v>
      </c>
      <c r="D762" t="s">
        <v>1593</v>
      </c>
      <c r="E762" t="s">
        <v>5877</v>
      </c>
    </row>
    <row r="763" spans="1:5" ht="15" customHeight="1">
      <c r="A763">
        <v>761</v>
      </c>
      <c r="B763" t="s">
        <v>1538</v>
      </c>
      <c r="C763" t="s">
        <v>13</v>
      </c>
      <c r="D763" t="s">
        <v>1473</v>
      </c>
      <c r="E763" t="s">
        <v>5877</v>
      </c>
    </row>
    <row r="764" spans="1:5" ht="15" customHeight="1">
      <c r="A764">
        <v>762</v>
      </c>
      <c r="B764" t="s">
        <v>2447</v>
      </c>
      <c r="C764" t="s">
        <v>9</v>
      </c>
      <c r="D764" t="s">
        <v>1593</v>
      </c>
      <c r="E764" t="s">
        <v>5877</v>
      </c>
    </row>
    <row r="765" spans="1:5" ht="15" customHeight="1">
      <c r="A765">
        <v>763</v>
      </c>
      <c r="B765" t="s">
        <v>2397</v>
      </c>
      <c r="C765" t="s">
        <v>9</v>
      </c>
      <c r="D765" t="s">
        <v>1593</v>
      </c>
      <c r="E765" t="s">
        <v>5877</v>
      </c>
    </row>
    <row r="766" spans="1:5" ht="15" customHeight="1">
      <c r="A766">
        <v>764</v>
      </c>
      <c r="B766" t="s">
        <v>1819</v>
      </c>
      <c r="C766" t="s">
        <v>9</v>
      </c>
      <c r="D766" t="s">
        <v>1593</v>
      </c>
      <c r="E766" t="s">
        <v>5877</v>
      </c>
    </row>
    <row r="767" spans="1:5" ht="15" customHeight="1">
      <c r="A767">
        <v>765</v>
      </c>
      <c r="B767" t="s">
        <v>1803</v>
      </c>
      <c r="C767" t="s">
        <v>9</v>
      </c>
      <c r="D767" t="s">
        <v>1593</v>
      </c>
      <c r="E767" t="s">
        <v>5877</v>
      </c>
    </row>
    <row r="768" spans="1:5" ht="15" customHeight="1">
      <c r="A768">
        <v>766</v>
      </c>
      <c r="B768" t="s">
        <v>1782</v>
      </c>
      <c r="C768" t="s">
        <v>9</v>
      </c>
      <c r="D768" t="s">
        <v>1593</v>
      </c>
      <c r="E768" t="s">
        <v>5877</v>
      </c>
    </row>
    <row r="769" spans="1:5" ht="15" customHeight="1">
      <c r="A769">
        <v>767</v>
      </c>
      <c r="B769" t="s">
        <v>1727</v>
      </c>
      <c r="C769" t="s">
        <v>9</v>
      </c>
      <c r="D769" t="s">
        <v>1593</v>
      </c>
      <c r="E769" t="s">
        <v>5877</v>
      </c>
    </row>
    <row r="770" spans="1:5" ht="15" customHeight="1">
      <c r="A770">
        <v>768</v>
      </c>
      <c r="B770" t="s">
        <v>1707</v>
      </c>
      <c r="C770" t="s">
        <v>9</v>
      </c>
      <c r="D770" t="s">
        <v>1593</v>
      </c>
      <c r="E770" t="s">
        <v>5877</v>
      </c>
    </row>
    <row r="771" spans="1:5" ht="15" customHeight="1">
      <c r="A771">
        <v>769</v>
      </c>
      <c r="B771" t="s">
        <v>1678</v>
      </c>
      <c r="C771" t="s">
        <v>9</v>
      </c>
      <c r="D771" t="s">
        <v>1593</v>
      </c>
      <c r="E771" t="s">
        <v>5877</v>
      </c>
    </row>
    <row r="772" spans="1:5" ht="15" customHeight="1">
      <c r="A772">
        <v>770</v>
      </c>
      <c r="B772" t="s">
        <v>1626</v>
      </c>
      <c r="C772" t="s">
        <v>9</v>
      </c>
      <c r="D772" t="s">
        <v>1593</v>
      </c>
      <c r="E772" t="s">
        <v>5877</v>
      </c>
    </row>
    <row r="773" spans="1:5" ht="15" customHeight="1">
      <c r="A773">
        <v>771</v>
      </c>
      <c r="B773" t="s">
        <v>1615</v>
      </c>
      <c r="C773" t="s">
        <v>9</v>
      </c>
      <c r="D773" t="s">
        <v>1593</v>
      </c>
      <c r="E773" t="s">
        <v>5877</v>
      </c>
    </row>
    <row r="774" spans="1:5" ht="15" customHeight="1">
      <c r="A774">
        <v>772</v>
      </c>
      <c r="B774" t="s">
        <v>1589</v>
      </c>
      <c r="C774" t="s">
        <v>9</v>
      </c>
      <c r="D774" t="s">
        <v>1593</v>
      </c>
      <c r="E774" t="s">
        <v>5877</v>
      </c>
    </row>
    <row r="775" spans="1:5" ht="15" customHeight="1">
      <c r="A775">
        <v>773</v>
      </c>
      <c r="B775" t="s">
        <v>425</v>
      </c>
      <c r="C775" t="s">
        <v>8</v>
      </c>
      <c r="D775" t="s">
        <v>92</v>
      </c>
      <c r="E775" t="s">
        <v>5877</v>
      </c>
    </row>
    <row r="776" spans="1:5" ht="15" customHeight="1">
      <c r="A776">
        <v>774</v>
      </c>
      <c r="B776" t="s">
        <v>383</v>
      </c>
      <c r="C776" t="s">
        <v>8</v>
      </c>
      <c r="D776" t="s">
        <v>92</v>
      </c>
      <c r="E776" t="s">
        <v>5877</v>
      </c>
    </row>
    <row r="777" spans="1:5" ht="15" customHeight="1">
      <c r="A777">
        <v>775</v>
      </c>
      <c r="B777" t="s">
        <v>373</v>
      </c>
      <c r="C777" t="s">
        <v>8</v>
      </c>
      <c r="D777" t="s">
        <v>92</v>
      </c>
      <c r="E777" t="s">
        <v>5877</v>
      </c>
    </row>
    <row r="778" spans="1:5" ht="15" customHeight="1">
      <c r="A778">
        <v>776</v>
      </c>
      <c r="B778" t="s">
        <v>213</v>
      </c>
      <c r="C778" t="s">
        <v>8</v>
      </c>
      <c r="D778" t="s">
        <v>92</v>
      </c>
      <c r="E778" t="s">
        <v>5877</v>
      </c>
    </row>
    <row r="779" spans="1:5" ht="15" customHeight="1">
      <c r="A779">
        <v>777</v>
      </c>
      <c r="B779" t="s">
        <v>194</v>
      </c>
      <c r="C779" t="s">
        <v>8</v>
      </c>
      <c r="D779" t="s">
        <v>92</v>
      </c>
      <c r="E779" t="s">
        <v>5877</v>
      </c>
    </row>
    <row r="780" spans="1:5" ht="15" customHeight="1">
      <c r="A780">
        <v>778</v>
      </c>
      <c r="B780" t="s">
        <v>164</v>
      </c>
      <c r="C780" t="s">
        <v>8</v>
      </c>
      <c r="D780" t="s">
        <v>169</v>
      </c>
      <c r="E780" t="s">
        <v>5877</v>
      </c>
    </row>
    <row r="781" spans="1:5" ht="15" customHeight="1">
      <c r="A781">
        <v>779</v>
      </c>
      <c r="B781" t="s">
        <v>126</v>
      </c>
      <c r="C781" t="s">
        <v>8</v>
      </c>
      <c r="D781" t="s">
        <v>92</v>
      </c>
      <c r="E781" t="s">
        <v>5877</v>
      </c>
    </row>
    <row r="782" spans="1:5" ht="15" customHeight="1">
      <c r="A782">
        <v>780</v>
      </c>
      <c r="B782" t="s">
        <v>107</v>
      </c>
      <c r="C782" t="s">
        <v>8</v>
      </c>
      <c r="D782" t="s">
        <v>92</v>
      </c>
      <c r="E782" t="s">
        <v>5877</v>
      </c>
    </row>
    <row r="783" spans="1:5" ht="15" customHeight="1">
      <c r="A783">
        <v>781</v>
      </c>
      <c r="B783" t="s">
        <v>1838</v>
      </c>
      <c r="C783" t="s">
        <v>9</v>
      </c>
      <c r="D783" t="s">
        <v>1593</v>
      </c>
      <c r="E783" t="s">
        <v>5877</v>
      </c>
    </row>
    <row r="784" spans="1:5" ht="15" customHeight="1">
      <c r="A784">
        <v>782</v>
      </c>
      <c r="B784" t="s">
        <v>2428</v>
      </c>
      <c r="C784" t="s">
        <v>9</v>
      </c>
      <c r="D784" t="s">
        <v>1593</v>
      </c>
      <c r="E784" t="s">
        <v>5877</v>
      </c>
    </row>
    <row r="785" spans="1:5" ht="15" customHeight="1">
      <c r="A785">
        <v>783</v>
      </c>
      <c r="B785" t="s">
        <v>1861</v>
      </c>
      <c r="C785" t="s">
        <v>9</v>
      </c>
      <c r="D785" t="s">
        <v>1593</v>
      </c>
      <c r="E785" t="s">
        <v>5877</v>
      </c>
    </row>
    <row r="786" spans="1:5" ht="15" customHeight="1">
      <c r="A786">
        <v>784</v>
      </c>
      <c r="B786" t="s">
        <v>1887</v>
      </c>
      <c r="C786" t="s">
        <v>9</v>
      </c>
      <c r="D786" t="s">
        <v>1593</v>
      </c>
      <c r="E786" t="s">
        <v>5877</v>
      </c>
    </row>
    <row r="787" spans="1:5" ht="15" customHeight="1">
      <c r="A787">
        <v>785</v>
      </c>
      <c r="B787" t="s">
        <v>2390</v>
      </c>
      <c r="C787" t="s">
        <v>9</v>
      </c>
      <c r="D787" t="s">
        <v>1593</v>
      </c>
      <c r="E787" t="s">
        <v>5877</v>
      </c>
    </row>
    <row r="788" spans="1:5" ht="15" customHeight="1">
      <c r="A788">
        <v>786</v>
      </c>
      <c r="B788" t="s">
        <v>2378</v>
      </c>
      <c r="C788" t="s">
        <v>9</v>
      </c>
      <c r="D788" t="s">
        <v>1593</v>
      </c>
      <c r="E788" t="s">
        <v>5877</v>
      </c>
    </row>
    <row r="789" spans="1:5" ht="15" customHeight="1">
      <c r="A789">
        <v>787</v>
      </c>
      <c r="B789" t="s">
        <v>2359</v>
      </c>
      <c r="C789" t="s">
        <v>9</v>
      </c>
      <c r="D789" t="s">
        <v>1593</v>
      </c>
      <c r="E789" t="s">
        <v>5877</v>
      </c>
    </row>
    <row r="790" spans="1:5" ht="15" customHeight="1">
      <c r="A790">
        <v>788</v>
      </c>
      <c r="B790" t="s">
        <v>2264</v>
      </c>
      <c r="C790" t="s">
        <v>9</v>
      </c>
      <c r="D790" t="s">
        <v>1593</v>
      </c>
      <c r="E790" t="s">
        <v>5877</v>
      </c>
    </row>
    <row r="791" spans="1:5" ht="15" customHeight="1">
      <c r="A791">
        <v>789</v>
      </c>
      <c r="B791" t="s">
        <v>2225</v>
      </c>
      <c r="C791" t="s">
        <v>9</v>
      </c>
      <c r="D791" t="s">
        <v>1593</v>
      </c>
      <c r="E791" t="s">
        <v>5877</v>
      </c>
    </row>
    <row r="792" spans="1:5" ht="15" customHeight="1">
      <c r="A792">
        <v>790</v>
      </c>
      <c r="B792" t="s">
        <v>2204</v>
      </c>
      <c r="C792" t="s">
        <v>9</v>
      </c>
      <c r="D792" t="s">
        <v>1593</v>
      </c>
      <c r="E792" t="s">
        <v>5877</v>
      </c>
    </row>
    <row r="793" spans="1:5" ht="15" customHeight="1">
      <c r="A793">
        <v>791</v>
      </c>
      <c r="B793" t="s">
        <v>2173</v>
      </c>
      <c r="C793" t="s">
        <v>9</v>
      </c>
      <c r="D793" t="s">
        <v>1593</v>
      </c>
      <c r="E793" t="s">
        <v>5877</v>
      </c>
    </row>
    <row r="794" spans="1:5" ht="15" customHeight="1">
      <c r="A794">
        <v>792</v>
      </c>
      <c r="B794" t="s">
        <v>2138</v>
      </c>
      <c r="C794" t="s">
        <v>9</v>
      </c>
      <c r="D794" t="s">
        <v>1593</v>
      </c>
      <c r="E794" t="s">
        <v>5877</v>
      </c>
    </row>
    <row r="795" spans="1:5" ht="15" customHeight="1">
      <c r="A795">
        <v>793</v>
      </c>
      <c r="B795" t="s">
        <v>2094</v>
      </c>
      <c r="C795" t="s">
        <v>9</v>
      </c>
      <c r="D795" t="s">
        <v>1593</v>
      </c>
      <c r="E795" t="s">
        <v>5877</v>
      </c>
    </row>
    <row r="796" spans="1:5" ht="15" customHeight="1">
      <c r="A796">
        <v>794</v>
      </c>
      <c r="B796" t="s">
        <v>2084</v>
      </c>
      <c r="C796" t="s">
        <v>9</v>
      </c>
      <c r="D796" t="s">
        <v>1593</v>
      </c>
      <c r="E796" t="s">
        <v>5877</v>
      </c>
    </row>
    <row r="797" spans="1:5" ht="15" customHeight="1">
      <c r="A797">
        <v>795</v>
      </c>
      <c r="B797" t="s">
        <v>2072</v>
      </c>
      <c r="C797" t="s">
        <v>9</v>
      </c>
      <c r="D797" t="s">
        <v>1593</v>
      </c>
      <c r="E797" t="s">
        <v>5877</v>
      </c>
    </row>
    <row r="798" spans="1:5" ht="15" customHeight="1">
      <c r="A798">
        <v>796</v>
      </c>
      <c r="B798" t="s">
        <v>2007</v>
      </c>
      <c r="C798" t="s">
        <v>9</v>
      </c>
      <c r="D798" t="s">
        <v>1593</v>
      </c>
      <c r="E798" t="s">
        <v>5877</v>
      </c>
    </row>
    <row r="799" spans="1:5" ht="15" customHeight="1">
      <c r="A799">
        <v>797</v>
      </c>
      <c r="B799" t="s">
        <v>1978</v>
      </c>
      <c r="C799" t="s">
        <v>9</v>
      </c>
      <c r="D799" t="s">
        <v>1593</v>
      </c>
      <c r="E799" t="s">
        <v>5877</v>
      </c>
    </row>
    <row r="800" spans="1:5" ht="15" customHeight="1">
      <c r="A800">
        <v>798</v>
      </c>
      <c r="B800" t="s">
        <v>1974</v>
      </c>
      <c r="C800" t="s">
        <v>9</v>
      </c>
      <c r="D800" t="s">
        <v>1593</v>
      </c>
      <c r="E800" t="s">
        <v>5877</v>
      </c>
    </row>
    <row r="801" spans="1:5" ht="15" customHeight="1">
      <c r="A801">
        <v>799</v>
      </c>
      <c r="B801" t="s">
        <v>1967</v>
      </c>
      <c r="C801" t="s">
        <v>9</v>
      </c>
      <c r="D801" t="s">
        <v>1593</v>
      </c>
      <c r="E801" t="s">
        <v>5877</v>
      </c>
    </row>
    <row r="802" spans="1:5" ht="15" customHeight="1">
      <c r="A802">
        <v>800</v>
      </c>
      <c r="B802" t="s">
        <v>1960</v>
      </c>
      <c r="C802" t="s">
        <v>9</v>
      </c>
      <c r="D802" t="s">
        <v>1593</v>
      </c>
      <c r="E802" t="s">
        <v>5877</v>
      </c>
    </row>
    <row r="803" spans="1:5" ht="15" customHeight="1">
      <c r="A803">
        <v>801</v>
      </c>
      <c r="B803" t="s">
        <v>1904</v>
      </c>
      <c r="C803" t="s">
        <v>9</v>
      </c>
      <c r="D803" t="s">
        <v>1593</v>
      </c>
      <c r="E803" t="s">
        <v>5877</v>
      </c>
    </row>
    <row r="804" spans="1:5" ht="15" customHeight="1">
      <c r="A804">
        <v>802</v>
      </c>
      <c r="B804" t="s">
        <v>1883</v>
      </c>
      <c r="C804" t="s">
        <v>9</v>
      </c>
      <c r="D804" t="s">
        <v>1593</v>
      </c>
      <c r="E804" t="s">
        <v>5877</v>
      </c>
    </row>
    <row r="805" spans="1:5" ht="15" customHeight="1">
      <c r="A805">
        <v>803</v>
      </c>
      <c r="B805" t="s">
        <v>3607</v>
      </c>
      <c r="C805" t="s">
        <v>9</v>
      </c>
      <c r="D805" t="s">
        <v>1593</v>
      </c>
      <c r="E805" t="s">
        <v>5877</v>
      </c>
    </row>
    <row r="806" spans="1:5" ht="15" customHeight="1">
      <c r="A806">
        <v>804</v>
      </c>
      <c r="B806" t="s">
        <v>2826</v>
      </c>
      <c r="C806" t="s">
        <v>9</v>
      </c>
      <c r="D806" t="s">
        <v>1593</v>
      </c>
      <c r="E806" t="s">
        <v>5877</v>
      </c>
    </row>
    <row r="807" spans="1:5" ht="15" customHeight="1">
      <c r="A807">
        <v>805</v>
      </c>
      <c r="B807" t="s">
        <v>3922</v>
      </c>
      <c r="C807" t="s">
        <v>9</v>
      </c>
      <c r="D807" t="s">
        <v>1593</v>
      </c>
      <c r="E807" t="s">
        <v>5877</v>
      </c>
    </row>
    <row r="808" spans="1:5" ht="15" customHeight="1">
      <c r="A808">
        <v>806</v>
      </c>
      <c r="B808" t="s">
        <v>4013</v>
      </c>
      <c r="C808" t="s">
        <v>9</v>
      </c>
      <c r="D808" t="s">
        <v>1593</v>
      </c>
      <c r="E808" t="s">
        <v>5877</v>
      </c>
    </row>
    <row r="809" spans="1:5" ht="15" customHeight="1">
      <c r="A809">
        <v>807</v>
      </c>
      <c r="B809" t="s">
        <v>3933</v>
      </c>
      <c r="C809" t="s">
        <v>9</v>
      </c>
      <c r="D809" t="s">
        <v>1593</v>
      </c>
      <c r="E809" t="s">
        <v>5877</v>
      </c>
    </row>
    <row r="810" spans="1:5" ht="15" customHeight="1">
      <c r="A810">
        <v>808</v>
      </c>
      <c r="B810" t="s">
        <v>3937</v>
      </c>
      <c r="C810" t="s">
        <v>9</v>
      </c>
      <c r="D810" t="s">
        <v>1593</v>
      </c>
      <c r="E810" t="s">
        <v>5877</v>
      </c>
    </row>
    <row r="811" spans="1:5" ht="15" customHeight="1">
      <c r="A811">
        <v>809</v>
      </c>
      <c r="B811" t="s">
        <v>3774</v>
      </c>
      <c r="C811" t="s">
        <v>9</v>
      </c>
      <c r="D811" t="s">
        <v>1593</v>
      </c>
      <c r="E811" t="s">
        <v>5877</v>
      </c>
    </row>
    <row r="812" spans="1:5" ht="15" customHeight="1">
      <c r="A812">
        <v>810</v>
      </c>
      <c r="B812" t="s">
        <v>3997</v>
      </c>
      <c r="C812" t="s">
        <v>9</v>
      </c>
      <c r="D812" t="s">
        <v>1593</v>
      </c>
      <c r="E812" t="s">
        <v>5877</v>
      </c>
    </row>
    <row r="813" spans="1:5" ht="15" customHeight="1">
      <c r="A813">
        <v>811</v>
      </c>
      <c r="B813" t="s">
        <v>4038</v>
      </c>
      <c r="C813" t="s">
        <v>9</v>
      </c>
      <c r="D813" t="s">
        <v>1593</v>
      </c>
      <c r="E813" t="s">
        <v>5877</v>
      </c>
    </row>
    <row r="814" spans="1:5" ht="15" customHeight="1">
      <c r="A814">
        <v>812</v>
      </c>
      <c r="B814" t="s">
        <v>3745</v>
      </c>
      <c r="C814" t="s">
        <v>9</v>
      </c>
      <c r="D814" t="s">
        <v>1593</v>
      </c>
      <c r="E814" t="s">
        <v>5877</v>
      </c>
    </row>
    <row r="815" spans="1:5" ht="15" customHeight="1">
      <c r="A815">
        <v>813</v>
      </c>
      <c r="B815" t="s">
        <v>4055</v>
      </c>
      <c r="C815" t="s">
        <v>9</v>
      </c>
      <c r="D815" t="s">
        <v>1593</v>
      </c>
      <c r="E815" t="s">
        <v>5877</v>
      </c>
    </row>
    <row r="816" spans="1:5" ht="15" customHeight="1">
      <c r="A816">
        <v>814</v>
      </c>
      <c r="B816" t="s">
        <v>3645</v>
      </c>
      <c r="C816" t="s">
        <v>9</v>
      </c>
      <c r="D816" t="s">
        <v>1593</v>
      </c>
      <c r="E816" t="s">
        <v>5877</v>
      </c>
    </row>
    <row r="817" spans="1:5" ht="15" customHeight="1">
      <c r="A817">
        <v>815</v>
      </c>
      <c r="B817" t="s">
        <v>3652</v>
      </c>
      <c r="C817" t="s">
        <v>9</v>
      </c>
      <c r="D817" t="s">
        <v>1593</v>
      </c>
      <c r="E817" t="s">
        <v>5877</v>
      </c>
    </row>
    <row r="818" spans="1:5" ht="15" customHeight="1">
      <c r="A818">
        <v>816</v>
      </c>
      <c r="B818" t="s">
        <v>3786</v>
      </c>
      <c r="C818" t="s">
        <v>9</v>
      </c>
      <c r="D818" t="s">
        <v>1593</v>
      </c>
      <c r="E818" t="s">
        <v>5877</v>
      </c>
    </row>
    <row r="819" spans="1:5" ht="15" customHeight="1">
      <c r="A819">
        <v>817</v>
      </c>
      <c r="B819" t="s">
        <v>4069</v>
      </c>
      <c r="C819" t="s">
        <v>9</v>
      </c>
      <c r="D819" t="s">
        <v>1593</v>
      </c>
      <c r="E819" t="s">
        <v>5877</v>
      </c>
    </row>
    <row r="820" spans="1:5" ht="15" customHeight="1">
      <c r="A820">
        <v>818</v>
      </c>
      <c r="B820" t="s">
        <v>3756</v>
      </c>
      <c r="C820" t="s">
        <v>9</v>
      </c>
      <c r="D820" t="s">
        <v>1593</v>
      </c>
      <c r="E820" t="s">
        <v>5877</v>
      </c>
    </row>
    <row r="821" spans="1:5" ht="15" customHeight="1">
      <c r="A821">
        <v>819</v>
      </c>
      <c r="B821" t="s">
        <v>3632</v>
      </c>
      <c r="C821" t="s">
        <v>9</v>
      </c>
      <c r="D821" t="s">
        <v>1593</v>
      </c>
      <c r="E821" t="s">
        <v>5877</v>
      </c>
    </row>
    <row r="822" spans="1:5" ht="15" customHeight="1">
      <c r="A822">
        <v>820</v>
      </c>
      <c r="B822" t="s">
        <v>3856</v>
      </c>
      <c r="C822" t="s">
        <v>9</v>
      </c>
      <c r="D822" t="s">
        <v>1593</v>
      </c>
      <c r="E822" t="s">
        <v>5877</v>
      </c>
    </row>
    <row r="823" spans="1:5" ht="15" customHeight="1">
      <c r="A823">
        <v>821</v>
      </c>
      <c r="B823" t="s">
        <v>2211</v>
      </c>
      <c r="C823" t="s">
        <v>9</v>
      </c>
      <c r="D823" t="s">
        <v>1587</v>
      </c>
      <c r="E823" t="s">
        <v>5882</v>
      </c>
    </row>
    <row r="824" spans="1:5" ht="15" customHeight="1">
      <c r="A824">
        <v>822</v>
      </c>
      <c r="B824" t="s">
        <v>3947</v>
      </c>
      <c r="C824" t="s">
        <v>9</v>
      </c>
      <c r="D824" t="s">
        <v>1587</v>
      </c>
      <c r="E824" t="s">
        <v>5882</v>
      </c>
    </row>
    <row r="825" spans="1:5" ht="15" customHeight="1">
      <c r="A825">
        <v>823</v>
      </c>
      <c r="B825" t="s">
        <v>4922</v>
      </c>
      <c r="C825" t="s">
        <v>9</v>
      </c>
      <c r="D825" t="s">
        <v>1587</v>
      </c>
      <c r="E825" t="s">
        <v>5882</v>
      </c>
    </row>
    <row r="826" spans="1:5" ht="15" customHeight="1">
      <c r="A826">
        <v>824</v>
      </c>
      <c r="B826" t="s">
        <v>2237</v>
      </c>
      <c r="C826" t="s">
        <v>9</v>
      </c>
      <c r="D826" t="s">
        <v>1587</v>
      </c>
      <c r="E826" t="s">
        <v>5882</v>
      </c>
    </row>
    <row r="827" spans="1:5" ht="15" customHeight="1">
      <c r="A827">
        <v>825</v>
      </c>
      <c r="B827" t="s">
        <v>4925</v>
      </c>
      <c r="C827" t="s">
        <v>9</v>
      </c>
      <c r="D827" t="s">
        <v>1587</v>
      </c>
      <c r="E827" t="s">
        <v>5882</v>
      </c>
    </row>
    <row r="828" spans="1:5" ht="15" customHeight="1">
      <c r="A828">
        <v>826</v>
      </c>
      <c r="B828" t="s">
        <v>4217</v>
      </c>
      <c r="C828" t="s">
        <v>9</v>
      </c>
      <c r="D828" t="s">
        <v>1587</v>
      </c>
      <c r="E828" t="s">
        <v>5882</v>
      </c>
    </row>
    <row r="829" spans="1:5" ht="15" customHeight="1">
      <c r="A829">
        <v>827</v>
      </c>
      <c r="B829" t="s">
        <v>3943</v>
      </c>
      <c r="C829" t="s">
        <v>9</v>
      </c>
      <c r="D829" t="s">
        <v>1587</v>
      </c>
      <c r="E829" t="s">
        <v>5882</v>
      </c>
    </row>
    <row r="830" spans="1:5" ht="15" customHeight="1">
      <c r="A830">
        <v>828</v>
      </c>
      <c r="B830" t="s">
        <v>2282</v>
      </c>
      <c r="C830" t="s">
        <v>9</v>
      </c>
      <c r="D830" t="s">
        <v>1587</v>
      </c>
      <c r="E830" t="s">
        <v>5882</v>
      </c>
    </row>
    <row r="831" spans="1:5" ht="15" customHeight="1">
      <c r="A831">
        <v>829</v>
      </c>
      <c r="B831" t="s">
        <v>2407</v>
      </c>
      <c r="C831" t="s">
        <v>9</v>
      </c>
      <c r="D831" t="s">
        <v>1587</v>
      </c>
      <c r="E831" t="s">
        <v>5882</v>
      </c>
    </row>
    <row r="832" spans="1:5" ht="15" customHeight="1">
      <c r="A832">
        <v>830</v>
      </c>
      <c r="B832" t="s">
        <v>2393</v>
      </c>
      <c r="C832" t="s">
        <v>9</v>
      </c>
      <c r="D832" t="s">
        <v>1587</v>
      </c>
      <c r="E832" t="s">
        <v>5882</v>
      </c>
    </row>
    <row r="833" spans="1:5" ht="15" customHeight="1">
      <c r="A833">
        <v>831</v>
      </c>
      <c r="B833" t="s">
        <v>2275</v>
      </c>
      <c r="C833" t="s">
        <v>9</v>
      </c>
      <c r="D833" t="s">
        <v>1587</v>
      </c>
      <c r="E833" t="s">
        <v>5882</v>
      </c>
    </row>
    <row r="834" spans="1:5" ht="15" customHeight="1">
      <c r="A834">
        <v>832</v>
      </c>
      <c r="B834" t="s">
        <v>4206</v>
      </c>
      <c r="C834" t="s">
        <v>9</v>
      </c>
      <c r="D834" t="s">
        <v>1587</v>
      </c>
      <c r="E834" t="s">
        <v>5882</v>
      </c>
    </row>
    <row r="835" spans="1:5" ht="15" customHeight="1">
      <c r="A835">
        <v>833</v>
      </c>
      <c r="B835" t="s">
        <v>4900</v>
      </c>
      <c r="C835" t="s">
        <v>9</v>
      </c>
      <c r="D835" t="s">
        <v>1587</v>
      </c>
      <c r="E835" t="s">
        <v>5882</v>
      </c>
    </row>
    <row r="836" spans="1:5" ht="15" customHeight="1">
      <c r="A836">
        <v>834</v>
      </c>
      <c r="B836" t="s">
        <v>2370</v>
      </c>
      <c r="C836" t="s">
        <v>9</v>
      </c>
      <c r="D836" t="s">
        <v>1587</v>
      </c>
      <c r="E836" t="s">
        <v>5882</v>
      </c>
    </row>
    <row r="837" spans="1:5" ht="15" customHeight="1">
      <c r="A837">
        <v>835</v>
      </c>
      <c r="B837" t="s">
        <v>4203</v>
      </c>
      <c r="C837" t="s">
        <v>9</v>
      </c>
      <c r="D837" t="s">
        <v>1587</v>
      </c>
      <c r="E837" t="s">
        <v>5882</v>
      </c>
    </row>
    <row r="838" spans="1:5" ht="15" customHeight="1">
      <c r="A838">
        <v>836</v>
      </c>
      <c r="B838" t="s">
        <v>4968</v>
      </c>
      <c r="C838" t="s">
        <v>9</v>
      </c>
      <c r="D838" t="s">
        <v>1587</v>
      </c>
      <c r="E838" t="s">
        <v>5882</v>
      </c>
    </row>
    <row r="839" spans="1:5" ht="15" customHeight="1">
      <c r="A839">
        <v>837</v>
      </c>
      <c r="B839" t="s">
        <v>2285</v>
      </c>
      <c r="C839" t="s">
        <v>9</v>
      </c>
      <c r="D839" t="s">
        <v>1587</v>
      </c>
      <c r="E839" t="s">
        <v>5882</v>
      </c>
    </row>
    <row r="840" spans="1:5" ht="15" customHeight="1">
      <c r="A840">
        <v>838</v>
      </c>
      <c r="B840" t="s">
        <v>2423</v>
      </c>
      <c r="C840" t="s">
        <v>9</v>
      </c>
      <c r="D840" t="s">
        <v>1587</v>
      </c>
      <c r="E840" t="s">
        <v>5882</v>
      </c>
    </row>
    <row r="841" spans="1:5" ht="15" customHeight="1">
      <c r="A841">
        <v>839</v>
      </c>
      <c r="B841" t="s">
        <v>2416</v>
      </c>
      <c r="C841" t="s">
        <v>9</v>
      </c>
      <c r="D841" t="s">
        <v>1587</v>
      </c>
      <c r="E841" t="s">
        <v>5882</v>
      </c>
    </row>
    <row r="842" spans="1:5" ht="15" customHeight="1">
      <c r="A842">
        <v>840</v>
      </c>
      <c r="B842" t="s">
        <v>2522</v>
      </c>
      <c r="C842" t="s">
        <v>9</v>
      </c>
      <c r="D842" t="s">
        <v>1587</v>
      </c>
      <c r="E842" t="s">
        <v>5882</v>
      </c>
    </row>
    <row r="843" spans="1:5" ht="15" customHeight="1">
      <c r="A843">
        <v>841</v>
      </c>
      <c r="B843" t="s">
        <v>2507</v>
      </c>
      <c r="C843" t="s">
        <v>9</v>
      </c>
      <c r="D843" t="s">
        <v>1587</v>
      </c>
      <c r="E843" t="s">
        <v>5882</v>
      </c>
    </row>
    <row r="844" spans="1:5" ht="15" customHeight="1">
      <c r="A844">
        <v>842</v>
      </c>
      <c r="B844" t="s">
        <v>2729</v>
      </c>
      <c r="C844" t="s">
        <v>9</v>
      </c>
      <c r="D844" t="s">
        <v>1587</v>
      </c>
      <c r="E844" t="s">
        <v>5882</v>
      </c>
    </row>
    <row r="845" spans="1:5" ht="15" customHeight="1">
      <c r="A845">
        <v>843</v>
      </c>
      <c r="B845" t="s">
        <v>3833</v>
      </c>
      <c r="C845" t="s">
        <v>9</v>
      </c>
      <c r="D845" t="s">
        <v>1587</v>
      </c>
      <c r="E845" t="s">
        <v>5882</v>
      </c>
    </row>
    <row r="846" spans="1:5" ht="15" customHeight="1">
      <c r="A846">
        <v>844</v>
      </c>
      <c r="B846" t="s">
        <v>4776</v>
      </c>
      <c r="C846" t="s">
        <v>9</v>
      </c>
      <c r="D846" t="s">
        <v>1587</v>
      </c>
      <c r="E846" t="s">
        <v>5882</v>
      </c>
    </row>
    <row r="847" spans="1:5" ht="15" customHeight="1">
      <c r="A847">
        <v>845</v>
      </c>
      <c r="B847" t="s">
        <v>3844</v>
      </c>
      <c r="C847" t="s">
        <v>9</v>
      </c>
      <c r="D847" t="s">
        <v>1587</v>
      </c>
      <c r="E847" t="s">
        <v>5882</v>
      </c>
    </row>
    <row r="848" spans="1:5" ht="15" customHeight="1">
      <c r="A848">
        <v>846</v>
      </c>
      <c r="B848" t="s">
        <v>2698</v>
      </c>
      <c r="C848" t="s">
        <v>9</v>
      </c>
      <c r="D848" t="s">
        <v>1587</v>
      </c>
      <c r="E848" t="s">
        <v>5882</v>
      </c>
    </row>
    <row r="849" spans="1:5" ht="15" customHeight="1">
      <c r="A849">
        <v>847</v>
      </c>
      <c r="B849" t="s">
        <v>2682</v>
      </c>
      <c r="C849" t="s">
        <v>9</v>
      </c>
      <c r="D849" t="s">
        <v>1587</v>
      </c>
      <c r="E849" t="s">
        <v>5882</v>
      </c>
    </row>
    <row r="850" spans="1:5" ht="15" customHeight="1">
      <c r="A850">
        <v>848</v>
      </c>
      <c r="B850" t="s">
        <v>4801</v>
      </c>
      <c r="C850" t="s">
        <v>9</v>
      </c>
      <c r="D850" t="s">
        <v>1587</v>
      </c>
      <c r="E850" t="s">
        <v>5882</v>
      </c>
    </row>
    <row r="851" spans="1:5" ht="15" customHeight="1">
      <c r="A851">
        <v>849</v>
      </c>
      <c r="B851" t="s">
        <v>3862</v>
      </c>
      <c r="C851" t="s">
        <v>9</v>
      </c>
      <c r="D851" t="s">
        <v>1587</v>
      </c>
      <c r="E851" t="s">
        <v>5882</v>
      </c>
    </row>
    <row r="852" spans="1:5" ht="15" customHeight="1">
      <c r="A852">
        <v>850</v>
      </c>
      <c r="B852" t="s">
        <v>2662</v>
      </c>
      <c r="C852" t="s">
        <v>9</v>
      </c>
      <c r="D852" t="s">
        <v>1587</v>
      </c>
      <c r="E852" t="s">
        <v>5882</v>
      </c>
    </row>
    <row r="853" spans="1:5" ht="15" customHeight="1">
      <c r="A853">
        <v>851</v>
      </c>
      <c r="B853" t="s">
        <v>4824</v>
      </c>
      <c r="C853" t="s">
        <v>9</v>
      </c>
      <c r="D853" t="s">
        <v>1587</v>
      </c>
      <c r="E853" t="s">
        <v>5882</v>
      </c>
    </row>
    <row r="854" spans="1:5" ht="15" customHeight="1">
      <c r="A854">
        <v>852</v>
      </c>
      <c r="B854" t="s">
        <v>3876</v>
      </c>
      <c r="C854" t="s">
        <v>9</v>
      </c>
      <c r="D854" t="s">
        <v>1587</v>
      </c>
      <c r="E854" t="s">
        <v>5882</v>
      </c>
    </row>
    <row r="855" spans="1:5" ht="15" customHeight="1">
      <c r="A855">
        <v>853</v>
      </c>
      <c r="B855" t="s">
        <v>3918</v>
      </c>
      <c r="C855" t="s">
        <v>9</v>
      </c>
      <c r="D855" t="s">
        <v>1587</v>
      </c>
      <c r="E855" t="s">
        <v>5882</v>
      </c>
    </row>
    <row r="856" spans="1:5" ht="15" customHeight="1">
      <c r="A856">
        <v>854</v>
      </c>
      <c r="B856" t="s">
        <v>2639</v>
      </c>
      <c r="C856" t="s">
        <v>9</v>
      </c>
      <c r="D856" t="s">
        <v>1587</v>
      </c>
      <c r="E856" t="s">
        <v>5882</v>
      </c>
    </row>
    <row r="857" spans="1:5" ht="15" customHeight="1">
      <c r="A857">
        <v>855</v>
      </c>
      <c r="B857" t="s">
        <v>4841</v>
      </c>
      <c r="C857" t="s">
        <v>9</v>
      </c>
      <c r="D857" t="s">
        <v>1587</v>
      </c>
      <c r="E857" t="s">
        <v>5882</v>
      </c>
    </row>
    <row r="858" spans="1:5" ht="15" customHeight="1">
      <c r="A858">
        <v>856</v>
      </c>
      <c r="B858" t="s">
        <v>2604</v>
      </c>
      <c r="C858" t="s">
        <v>9</v>
      </c>
      <c r="D858" t="s">
        <v>1587</v>
      </c>
      <c r="E858" t="s">
        <v>5882</v>
      </c>
    </row>
    <row r="859" spans="1:5" ht="15" customHeight="1">
      <c r="A859">
        <v>857</v>
      </c>
      <c r="B859" t="s">
        <v>2585</v>
      </c>
      <c r="C859" t="s">
        <v>9</v>
      </c>
      <c r="D859" t="s">
        <v>1587</v>
      </c>
      <c r="E859" t="s">
        <v>5882</v>
      </c>
    </row>
    <row r="860" spans="1:5" ht="15" customHeight="1">
      <c r="A860">
        <v>858</v>
      </c>
      <c r="B860" t="s">
        <v>4852</v>
      </c>
      <c r="C860" t="s">
        <v>9</v>
      </c>
      <c r="D860" t="s">
        <v>1587</v>
      </c>
      <c r="E860" t="s">
        <v>5882</v>
      </c>
    </row>
    <row r="861" spans="1:5" ht="15" customHeight="1">
      <c r="A861">
        <v>859</v>
      </c>
      <c r="B861" t="s">
        <v>4863</v>
      </c>
      <c r="C861" t="s">
        <v>9</v>
      </c>
      <c r="D861" t="s">
        <v>1587</v>
      </c>
      <c r="E861" t="s">
        <v>5882</v>
      </c>
    </row>
    <row r="862" spans="1:5" ht="15" customHeight="1">
      <c r="A862">
        <v>860</v>
      </c>
      <c r="B862" t="s">
        <v>2571</v>
      </c>
      <c r="C862" t="s">
        <v>9</v>
      </c>
      <c r="D862" t="s">
        <v>1587</v>
      </c>
      <c r="E862" t="s">
        <v>5882</v>
      </c>
    </row>
    <row r="863" spans="1:5" ht="15" customHeight="1">
      <c r="A863">
        <v>861</v>
      </c>
      <c r="B863" t="s">
        <v>2557</v>
      </c>
      <c r="C863" t="s">
        <v>9</v>
      </c>
      <c r="D863" t="s">
        <v>1587</v>
      </c>
      <c r="E863" t="s">
        <v>5882</v>
      </c>
    </row>
    <row r="864" spans="1:5" ht="15" customHeight="1">
      <c r="A864">
        <v>862</v>
      </c>
      <c r="B864" t="s">
        <v>3906</v>
      </c>
      <c r="C864" t="s">
        <v>9</v>
      </c>
      <c r="D864" t="s">
        <v>1587</v>
      </c>
      <c r="E864" t="s">
        <v>5882</v>
      </c>
    </row>
    <row r="865" spans="1:5" ht="15" customHeight="1">
      <c r="A865">
        <v>863</v>
      </c>
      <c r="B865" t="s">
        <v>4882</v>
      </c>
      <c r="C865" t="s">
        <v>9</v>
      </c>
      <c r="D865" t="s">
        <v>1587</v>
      </c>
      <c r="E865" t="s">
        <v>5882</v>
      </c>
    </row>
    <row r="866" spans="1:5" ht="15" customHeight="1">
      <c r="A866">
        <v>864</v>
      </c>
      <c r="B866" t="s">
        <v>3910</v>
      </c>
      <c r="C866" t="s">
        <v>9</v>
      </c>
      <c r="D866" t="s">
        <v>1587</v>
      </c>
      <c r="E866" t="s">
        <v>5882</v>
      </c>
    </row>
    <row r="867" spans="1:5" ht="15" customHeight="1">
      <c r="A867">
        <v>865</v>
      </c>
      <c r="B867" t="s">
        <v>2207</v>
      </c>
      <c r="C867" t="s">
        <v>9</v>
      </c>
      <c r="D867" t="s">
        <v>1587</v>
      </c>
      <c r="E867" t="s">
        <v>5882</v>
      </c>
    </row>
    <row r="868" spans="1:5" ht="15" customHeight="1">
      <c r="A868">
        <v>866</v>
      </c>
      <c r="B868" t="s">
        <v>3898</v>
      </c>
      <c r="C868" t="s">
        <v>9</v>
      </c>
      <c r="D868" t="s">
        <v>1587</v>
      </c>
      <c r="E868" t="s">
        <v>5882</v>
      </c>
    </row>
    <row r="869" spans="1:5" ht="15" customHeight="1">
      <c r="A869">
        <v>867</v>
      </c>
      <c r="B869" t="s">
        <v>4192</v>
      </c>
      <c r="C869" t="s">
        <v>9</v>
      </c>
      <c r="D869" t="s">
        <v>1587</v>
      </c>
      <c r="E869" t="s">
        <v>5882</v>
      </c>
    </row>
    <row r="870" spans="1:5" ht="15" customHeight="1">
      <c r="A870">
        <v>868</v>
      </c>
      <c r="B870" t="s">
        <v>3962</v>
      </c>
      <c r="C870" t="s">
        <v>9</v>
      </c>
      <c r="D870" t="s">
        <v>1587</v>
      </c>
      <c r="E870" t="s">
        <v>5882</v>
      </c>
    </row>
    <row r="871" spans="1:5" ht="15" customHeight="1">
      <c r="A871">
        <v>869</v>
      </c>
      <c r="B871" t="s">
        <v>2188</v>
      </c>
      <c r="C871" t="s">
        <v>9</v>
      </c>
      <c r="D871" t="s">
        <v>1587</v>
      </c>
      <c r="E871" t="s">
        <v>5882</v>
      </c>
    </row>
    <row r="872" spans="1:5" ht="15" customHeight="1">
      <c r="A872">
        <v>870</v>
      </c>
      <c r="B872" t="s">
        <v>1779</v>
      </c>
      <c r="C872" t="s">
        <v>9</v>
      </c>
      <c r="D872" t="s">
        <v>1587</v>
      </c>
      <c r="E872" t="s">
        <v>5882</v>
      </c>
    </row>
    <row r="873" spans="1:5" ht="15" customHeight="1">
      <c r="A873">
        <v>871</v>
      </c>
      <c r="B873" t="s">
        <v>1775</v>
      </c>
      <c r="C873" t="s">
        <v>9</v>
      </c>
      <c r="D873" t="s">
        <v>1587</v>
      </c>
      <c r="E873" t="s">
        <v>5882</v>
      </c>
    </row>
    <row r="874" spans="1:5" ht="15" customHeight="1">
      <c r="A874">
        <v>872</v>
      </c>
      <c r="B874" t="s">
        <v>1740</v>
      </c>
      <c r="C874" t="s">
        <v>9</v>
      </c>
      <c r="D874" t="s">
        <v>1587</v>
      </c>
      <c r="E874" t="s">
        <v>5882</v>
      </c>
    </row>
    <row r="875" spans="1:5" ht="15" customHeight="1">
      <c r="A875">
        <v>873</v>
      </c>
      <c r="B875" t="s">
        <v>4032</v>
      </c>
      <c r="C875" t="s">
        <v>9</v>
      </c>
      <c r="D875" t="s">
        <v>1587</v>
      </c>
      <c r="E875" t="s">
        <v>5882</v>
      </c>
    </row>
    <row r="876" spans="1:5" ht="15" customHeight="1">
      <c r="A876">
        <v>874</v>
      </c>
      <c r="B876" t="s">
        <v>1719</v>
      </c>
      <c r="C876" t="s">
        <v>9</v>
      </c>
      <c r="D876" t="s">
        <v>1587</v>
      </c>
      <c r="E876" t="s">
        <v>5882</v>
      </c>
    </row>
    <row r="877" spans="1:5" ht="15" customHeight="1">
      <c r="A877">
        <v>875</v>
      </c>
      <c r="B877" t="s">
        <v>4124</v>
      </c>
      <c r="C877" t="s">
        <v>9</v>
      </c>
      <c r="D877" t="s">
        <v>1587</v>
      </c>
      <c r="E877" t="s">
        <v>5882</v>
      </c>
    </row>
    <row r="878" spans="1:5" ht="15" customHeight="1">
      <c r="A878">
        <v>876</v>
      </c>
      <c r="B878" t="s">
        <v>1649</v>
      </c>
      <c r="C878" t="s">
        <v>9</v>
      </c>
      <c r="D878" t="s">
        <v>1587</v>
      </c>
      <c r="E878" t="s">
        <v>5882</v>
      </c>
    </row>
    <row r="879" spans="1:5" ht="15" customHeight="1">
      <c r="A879">
        <v>877</v>
      </c>
      <c r="B879" t="s">
        <v>1633</v>
      </c>
      <c r="C879" t="s">
        <v>9</v>
      </c>
      <c r="D879" t="s">
        <v>1587</v>
      </c>
      <c r="E879" t="s">
        <v>5882</v>
      </c>
    </row>
    <row r="880" spans="1:5" ht="15" customHeight="1">
      <c r="A880">
        <v>878</v>
      </c>
      <c r="B880" t="s">
        <v>4117</v>
      </c>
      <c r="C880" t="s">
        <v>9</v>
      </c>
      <c r="D880" t="s">
        <v>1587</v>
      </c>
      <c r="E880" t="s">
        <v>5882</v>
      </c>
    </row>
    <row r="881" spans="1:5" ht="15" customHeight="1">
      <c r="A881">
        <v>879</v>
      </c>
      <c r="B881" t="s">
        <v>1583</v>
      </c>
      <c r="C881" t="s">
        <v>9</v>
      </c>
      <c r="D881" t="s">
        <v>1587</v>
      </c>
      <c r="E881" t="s">
        <v>5882</v>
      </c>
    </row>
    <row r="882" spans="1:5" ht="15" customHeight="1">
      <c r="A882">
        <v>880</v>
      </c>
      <c r="B882" t="s">
        <v>4110</v>
      </c>
      <c r="C882" t="s">
        <v>9</v>
      </c>
      <c r="D882" t="s">
        <v>1587</v>
      </c>
      <c r="E882" t="s">
        <v>5882</v>
      </c>
    </row>
    <row r="883" spans="1:5" ht="15" customHeight="1">
      <c r="A883">
        <v>881</v>
      </c>
      <c r="B883" t="s">
        <v>4107</v>
      </c>
      <c r="C883" t="s">
        <v>9</v>
      </c>
      <c r="D883" t="s">
        <v>1587</v>
      </c>
      <c r="E883" t="s">
        <v>5882</v>
      </c>
    </row>
    <row r="884" spans="1:5" ht="15" customHeight="1">
      <c r="A884">
        <v>882</v>
      </c>
      <c r="B884" t="s">
        <v>1295</v>
      </c>
      <c r="C884" t="s">
        <v>11</v>
      </c>
      <c r="D884" t="s">
        <v>1297</v>
      </c>
      <c r="E884" t="s">
        <v>5882</v>
      </c>
    </row>
    <row r="885" spans="1:5" ht="15" customHeight="1">
      <c r="A885">
        <v>883</v>
      </c>
      <c r="B885" t="s">
        <v>1299</v>
      </c>
      <c r="C885" t="s">
        <v>11</v>
      </c>
      <c r="D885" t="s">
        <v>1301</v>
      </c>
      <c r="E885" t="s">
        <v>5882</v>
      </c>
    </row>
    <row r="886" spans="1:5" ht="15" customHeight="1">
      <c r="A886">
        <v>884</v>
      </c>
      <c r="B886" t="s">
        <v>1303</v>
      </c>
      <c r="C886" t="s">
        <v>11</v>
      </c>
      <c r="D886" t="s">
        <v>1305</v>
      </c>
      <c r="E886" t="s">
        <v>5882</v>
      </c>
    </row>
    <row r="887" spans="1:5" ht="15" customHeight="1">
      <c r="A887">
        <v>885</v>
      </c>
      <c r="B887" t="s">
        <v>1307</v>
      </c>
      <c r="C887" t="s">
        <v>11</v>
      </c>
      <c r="D887" t="s">
        <v>1309</v>
      </c>
      <c r="E887" t="s">
        <v>5882</v>
      </c>
    </row>
    <row r="888" spans="1:5" ht="15" customHeight="1">
      <c r="A888">
        <v>886</v>
      </c>
      <c r="B888" t="s">
        <v>1311</v>
      </c>
      <c r="C888" t="s">
        <v>11</v>
      </c>
      <c r="D888" t="s">
        <v>1313</v>
      </c>
      <c r="E888" t="s">
        <v>5882</v>
      </c>
    </row>
    <row r="889" spans="1:5" ht="15" customHeight="1">
      <c r="A889">
        <v>887</v>
      </c>
      <c r="B889" t="s">
        <v>1319</v>
      </c>
      <c r="C889" t="s">
        <v>11</v>
      </c>
      <c r="D889" t="s">
        <v>1321</v>
      </c>
      <c r="E889" t="s">
        <v>5882</v>
      </c>
    </row>
    <row r="890" spans="1:5" ht="15" customHeight="1">
      <c r="A890">
        <v>888</v>
      </c>
      <c r="B890" t="s">
        <v>1343</v>
      </c>
      <c r="C890" t="s">
        <v>13</v>
      </c>
      <c r="D890" t="s">
        <v>1347</v>
      </c>
      <c r="E890" t="s">
        <v>5882</v>
      </c>
    </row>
    <row r="891" spans="1:5" ht="15" customHeight="1">
      <c r="A891">
        <v>889</v>
      </c>
      <c r="B891" t="s">
        <v>1400</v>
      </c>
      <c r="C891" t="s">
        <v>13</v>
      </c>
      <c r="D891" t="s">
        <v>1347</v>
      </c>
      <c r="E891" t="s">
        <v>5882</v>
      </c>
    </row>
    <row r="892" spans="1:5" ht="15" customHeight="1">
      <c r="A892">
        <v>890</v>
      </c>
      <c r="B892" t="s">
        <v>4059</v>
      </c>
      <c r="C892" t="s">
        <v>9</v>
      </c>
      <c r="D892" t="s">
        <v>1587</v>
      </c>
      <c r="E892" t="s">
        <v>5882</v>
      </c>
    </row>
    <row r="893" spans="1:5" ht="15" customHeight="1">
      <c r="A893">
        <v>891</v>
      </c>
      <c r="B893" t="s">
        <v>4066</v>
      </c>
      <c r="C893" t="s">
        <v>9</v>
      </c>
      <c r="D893" t="s">
        <v>1587</v>
      </c>
      <c r="E893" t="s">
        <v>5882</v>
      </c>
    </row>
    <row r="894" spans="1:5" ht="15" customHeight="1">
      <c r="A894">
        <v>892</v>
      </c>
      <c r="B894" t="s">
        <v>1521</v>
      </c>
      <c r="C894" t="s">
        <v>13</v>
      </c>
      <c r="D894" t="s">
        <v>1347</v>
      </c>
      <c r="E894" t="s">
        <v>5882</v>
      </c>
    </row>
    <row r="895" spans="1:5" ht="15" customHeight="1">
      <c r="A895">
        <v>893</v>
      </c>
      <c r="B895" t="s">
        <v>4132</v>
      </c>
      <c r="C895" t="s">
        <v>9</v>
      </c>
      <c r="D895" t="s">
        <v>1587</v>
      </c>
      <c r="E895" t="s">
        <v>5882</v>
      </c>
    </row>
    <row r="896" spans="1:5" ht="15" customHeight="1">
      <c r="A896">
        <v>894</v>
      </c>
      <c r="B896" t="s">
        <v>2200</v>
      </c>
      <c r="C896" t="s">
        <v>9</v>
      </c>
      <c r="D896" t="s">
        <v>1587</v>
      </c>
      <c r="E896" t="s">
        <v>5882</v>
      </c>
    </row>
    <row r="897" spans="1:5" ht="15" customHeight="1">
      <c r="A897">
        <v>895</v>
      </c>
      <c r="B897" t="s">
        <v>1794</v>
      </c>
      <c r="C897" t="s">
        <v>9</v>
      </c>
      <c r="D897" t="s">
        <v>1587</v>
      </c>
      <c r="E897" t="s">
        <v>5882</v>
      </c>
    </row>
    <row r="898" spans="1:5" ht="15" customHeight="1">
      <c r="A898">
        <v>896</v>
      </c>
      <c r="B898" t="s">
        <v>4138</v>
      </c>
      <c r="C898" t="s">
        <v>9</v>
      </c>
      <c r="D898" t="s">
        <v>1587</v>
      </c>
      <c r="E898" t="s">
        <v>5882</v>
      </c>
    </row>
    <row r="899" spans="1:5" ht="15" customHeight="1">
      <c r="A899">
        <v>897</v>
      </c>
      <c r="B899" t="s">
        <v>3951</v>
      </c>
      <c r="C899" t="s">
        <v>9</v>
      </c>
      <c r="D899" t="s">
        <v>1587</v>
      </c>
      <c r="E899" t="s">
        <v>5882</v>
      </c>
    </row>
    <row r="900" spans="1:5" ht="15" customHeight="1">
      <c r="A900">
        <v>898</v>
      </c>
      <c r="B900" t="s">
        <v>2142</v>
      </c>
      <c r="C900" t="s">
        <v>9</v>
      </c>
      <c r="D900" t="s">
        <v>1587</v>
      </c>
      <c r="E900" t="s">
        <v>5882</v>
      </c>
    </row>
    <row r="901" spans="1:5" ht="15" customHeight="1">
      <c r="A901">
        <v>899</v>
      </c>
      <c r="B901" t="s">
        <v>2760</v>
      </c>
      <c r="C901" t="s">
        <v>9</v>
      </c>
      <c r="D901" t="s">
        <v>1587</v>
      </c>
      <c r="E901" t="s">
        <v>5882</v>
      </c>
    </row>
    <row r="902" spans="1:5" ht="15" customHeight="1">
      <c r="A902">
        <v>900</v>
      </c>
      <c r="B902" t="s">
        <v>3969</v>
      </c>
      <c r="C902" t="s">
        <v>9</v>
      </c>
      <c r="D902" t="s">
        <v>1587</v>
      </c>
      <c r="E902" t="s">
        <v>5882</v>
      </c>
    </row>
    <row r="903" spans="1:5" ht="15" customHeight="1">
      <c r="A903">
        <v>901</v>
      </c>
      <c r="B903" t="s">
        <v>4179</v>
      </c>
      <c r="C903" t="s">
        <v>9</v>
      </c>
      <c r="D903" t="s">
        <v>1587</v>
      </c>
      <c r="E903" t="s">
        <v>5882</v>
      </c>
    </row>
    <row r="904" spans="1:5" ht="15" customHeight="1">
      <c r="A904">
        <v>902</v>
      </c>
      <c r="B904" t="s">
        <v>3975</v>
      </c>
      <c r="C904" t="s">
        <v>9</v>
      </c>
      <c r="D904" t="s">
        <v>1587</v>
      </c>
      <c r="E904" t="s">
        <v>5882</v>
      </c>
    </row>
    <row r="905" spans="1:5" ht="15" customHeight="1">
      <c r="A905">
        <v>903</v>
      </c>
      <c r="B905" t="s">
        <v>2052</v>
      </c>
      <c r="C905" t="s">
        <v>9</v>
      </c>
      <c r="D905" t="s">
        <v>1587</v>
      </c>
      <c r="E905" t="s">
        <v>5882</v>
      </c>
    </row>
    <row r="906" spans="1:5" ht="15" customHeight="1">
      <c r="A906">
        <v>904</v>
      </c>
      <c r="B906" t="s">
        <v>2048</v>
      </c>
      <c r="C906" t="s">
        <v>9</v>
      </c>
      <c r="D906" t="s">
        <v>1587</v>
      </c>
      <c r="E906" t="s">
        <v>5882</v>
      </c>
    </row>
    <row r="907" spans="1:5" ht="15" customHeight="1">
      <c r="A907">
        <v>905</v>
      </c>
      <c r="B907" t="s">
        <v>2034</v>
      </c>
      <c r="C907" t="s">
        <v>9</v>
      </c>
      <c r="D907" t="s">
        <v>1587</v>
      </c>
      <c r="E907" t="s">
        <v>5882</v>
      </c>
    </row>
    <row r="908" spans="1:5" ht="15" customHeight="1">
      <c r="A908">
        <v>906</v>
      </c>
      <c r="B908" t="s">
        <v>2031</v>
      </c>
      <c r="C908" t="s">
        <v>9</v>
      </c>
      <c r="D908" t="s">
        <v>1587</v>
      </c>
      <c r="E908" t="s">
        <v>5882</v>
      </c>
    </row>
    <row r="909" spans="1:5" ht="15" customHeight="1">
      <c r="A909">
        <v>907</v>
      </c>
      <c r="B909" t="s">
        <v>2021</v>
      </c>
      <c r="C909" t="s">
        <v>9</v>
      </c>
      <c r="D909" t="s">
        <v>1587</v>
      </c>
      <c r="E909" t="s">
        <v>5882</v>
      </c>
    </row>
    <row r="910" spans="1:5" ht="15" customHeight="1">
      <c r="A910">
        <v>908</v>
      </c>
      <c r="B910" t="s">
        <v>2011</v>
      </c>
      <c r="C910" t="s">
        <v>9</v>
      </c>
      <c r="D910" t="s">
        <v>1587</v>
      </c>
      <c r="E910" t="s">
        <v>5882</v>
      </c>
    </row>
    <row r="911" spans="1:5" ht="15" customHeight="1">
      <c r="A911">
        <v>909</v>
      </c>
      <c r="B911" t="s">
        <v>2001</v>
      </c>
      <c r="C911" t="s">
        <v>9</v>
      </c>
      <c r="D911" t="s">
        <v>1587</v>
      </c>
      <c r="E911" t="s">
        <v>5882</v>
      </c>
    </row>
    <row r="912" spans="1:5" ht="15" customHeight="1">
      <c r="A912">
        <v>910</v>
      </c>
      <c r="B912" t="s">
        <v>1998</v>
      </c>
      <c r="C912" t="s">
        <v>9</v>
      </c>
      <c r="D912" t="s">
        <v>1587</v>
      </c>
      <c r="E912" t="s">
        <v>5882</v>
      </c>
    </row>
    <row r="913" spans="1:5" ht="15" customHeight="1">
      <c r="A913">
        <v>911</v>
      </c>
      <c r="B913" t="s">
        <v>3989</v>
      </c>
      <c r="C913" t="s">
        <v>9</v>
      </c>
      <c r="D913" t="s">
        <v>1587</v>
      </c>
      <c r="E913" t="s">
        <v>5882</v>
      </c>
    </row>
    <row r="914" spans="1:5" ht="15" customHeight="1">
      <c r="A914">
        <v>912</v>
      </c>
      <c r="B914" t="s">
        <v>3993</v>
      </c>
      <c r="C914" t="s">
        <v>9</v>
      </c>
      <c r="D914" t="s">
        <v>1587</v>
      </c>
      <c r="E914" t="s">
        <v>5882</v>
      </c>
    </row>
    <row r="915" spans="1:5" ht="15" customHeight="1">
      <c r="A915">
        <v>913</v>
      </c>
      <c r="B915" t="s">
        <v>4161</v>
      </c>
      <c r="C915" t="s">
        <v>9</v>
      </c>
      <c r="D915" t="s">
        <v>1587</v>
      </c>
      <c r="E915" t="s">
        <v>5882</v>
      </c>
    </row>
    <row r="916" spans="1:5" ht="15" customHeight="1">
      <c r="A916">
        <v>914</v>
      </c>
      <c r="B916" t="s">
        <v>1954</v>
      </c>
      <c r="C916" t="s">
        <v>9</v>
      </c>
      <c r="D916" t="s">
        <v>1587</v>
      </c>
      <c r="E916" t="s">
        <v>5882</v>
      </c>
    </row>
    <row r="917" spans="1:5" ht="15" customHeight="1">
      <c r="A917">
        <v>915</v>
      </c>
      <c r="B917" t="s">
        <v>1933</v>
      </c>
      <c r="C917" t="s">
        <v>9</v>
      </c>
      <c r="D917" t="s">
        <v>1587</v>
      </c>
      <c r="E917" t="s">
        <v>5882</v>
      </c>
    </row>
    <row r="918" spans="1:5" ht="15" customHeight="1">
      <c r="A918">
        <v>916</v>
      </c>
      <c r="B918" t="s">
        <v>4000</v>
      </c>
      <c r="C918" t="s">
        <v>9</v>
      </c>
      <c r="D918" t="s">
        <v>1587</v>
      </c>
      <c r="E918" t="s">
        <v>5882</v>
      </c>
    </row>
    <row r="919" spans="1:5" ht="15" customHeight="1">
      <c r="A919">
        <v>917</v>
      </c>
      <c r="B919" t="s">
        <v>1872</v>
      </c>
      <c r="C919" t="s">
        <v>9</v>
      </c>
      <c r="D919" t="s">
        <v>1587</v>
      </c>
      <c r="E919" t="s">
        <v>5882</v>
      </c>
    </row>
    <row r="920" spans="1:5" ht="15" customHeight="1">
      <c r="A920">
        <v>918</v>
      </c>
      <c r="B920" t="s">
        <v>4008</v>
      </c>
      <c r="C920" t="s">
        <v>9</v>
      </c>
      <c r="D920" t="s">
        <v>1587</v>
      </c>
      <c r="E920" t="s">
        <v>5882</v>
      </c>
    </row>
    <row r="921" spans="1:5" ht="15" customHeight="1">
      <c r="A921">
        <v>919</v>
      </c>
      <c r="B921" t="s">
        <v>1854</v>
      </c>
      <c r="C921" t="s">
        <v>9</v>
      </c>
      <c r="D921" t="s">
        <v>1587</v>
      </c>
      <c r="E921" t="s">
        <v>5882</v>
      </c>
    </row>
    <row r="922" spans="1:5" ht="15" customHeight="1">
      <c r="A922">
        <v>920</v>
      </c>
      <c r="B922" t="s">
        <v>1815</v>
      </c>
      <c r="C922" t="s">
        <v>9</v>
      </c>
      <c r="D922" t="s">
        <v>1587</v>
      </c>
      <c r="E922" t="s">
        <v>5882</v>
      </c>
    </row>
    <row r="923" spans="1:5" ht="15" customHeight="1">
      <c r="A923">
        <v>921</v>
      </c>
      <c r="B923" t="s">
        <v>2800</v>
      </c>
      <c r="C923" t="s">
        <v>9</v>
      </c>
      <c r="D923" t="s">
        <v>1587</v>
      </c>
      <c r="E923" t="s">
        <v>5882</v>
      </c>
    </row>
    <row r="924" spans="1:5" ht="15" customHeight="1">
      <c r="A924">
        <v>922</v>
      </c>
      <c r="B924" t="s">
        <v>3599</v>
      </c>
      <c r="C924" t="s">
        <v>9</v>
      </c>
      <c r="D924" t="s">
        <v>1587</v>
      </c>
      <c r="E924" t="s">
        <v>5882</v>
      </c>
    </row>
    <row r="925" spans="1:5" ht="15" customHeight="1">
      <c r="A925">
        <v>923</v>
      </c>
      <c r="B925" t="s">
        <v>2804</v>
      </c>
      <c r="C925" t="s">
        <v>9</v>
      </c>
      <c r="D925" t="s">
        <v>1587</v>
      </c>
      <c r="E925" t="s">
        <v>5882</v>
      </c>
    </row>
    <row r="926" spans="1:5" ht="15" customHeight="1">
      <c r="A926">
        <v>924</v>
      </c>
      <c r="B926" t="s">
        <v>3287</v>
      </c>
      <c r="C926" t="s">
        <v>9</v>
      </c>
      <c r="D926" t="s">
        <v>1587</v>
      </c>
      <c r="E926" t="s">
        <v>5882</v>
      </c>
    </row>
    <row r="927" spans="1:5" ht="15" customHeight="1">
      <c r="A927">
        <v>925</v>
      </c>
      <c r="B927" t="s">
        <v>4759</v>
      </c>
      <c r="C927" t="s">
        <v>9</v>
      </c>
      <c r="D927" t="s">
        <v>1587</v>
      </c>
      <c r="E927" t="s">
        <v>5882</v>
      </c>
    </row>
    <row r="928" spans="1:5" ht="15" customHeight="1">
      <c r="A928">
        <v>926</v>
      </c>
      <c r="B928" t="s">
        <v>3261</v>
      </c>
      <c r="C928" t="s">
        <v>9</v>
      </c>
      <c r="D928" t="s">
        <v>1587</v>
      </c>
      <c r="E928" t="s">
        <v>5882</v>
      </c>
    </row>
    <row r="929" spans="1:5" ht="15" customHeight="1">
      <c r="A929">
        <v>927</v>
      </c>
      <c r="B929" t="s">
        <v>3233</v>
      </c>
      <c r="C929" t="s">
        <v>9</v>
      </c>
      <c r="D929" t="s">
        <v>1587</v>
      </c>
      <c r="E929" t="s">
        <v>5882</v>
      </c>
    </row>
    <row r="930" spans="1:5" ht="15" customHeight="1">
      <c r="A930">
        <v>928</v>
      </c>
      <c r="B930" t="s">
        <v>4538</v>
      </c>
      <c r="C930" t="s">
        <v>9</v>
      </c>
      <c r="D930" t="s">
        <v>1587</v>
      </c>
      <c r="E930" t="s">
        <v>5882</v>
      </c>
    </row>
    <row r="931" spans="1:5" ht="15" customHeight="1">
      <c r="A931">
        <v>929</v>
      </c>
      <c r="B931" t="s">
        <v>3223</v>
      </c>
      <c r="C931" t="s">
        <v>9</v>
      </c>
      <c r="D931" t="s">
        <v>1587</v>
      </c>
      <c r="E931" t="s">
        <v>5882</v>
      </c>
    </row>
    <row r="932" spans="1:5" ht="15" customHeight="1">
      <c r="A932">
        <v>930</v>
      </c>
      <c r="B932" t="s">
        <v>4549</v>
      </c>
      <c r="C932" t="s">
        <v>9</v>
      </c>
      <c r="D932" t="s">
        <v>1587</v>
      </c>
      <c r="E932" t="s">
        <v>5882</v>
      </c>
    </row>
    <row r="933" spans="1:5" ht="15" customHeight="1">
      <c r="A933">
        <v>931</v>
      </c>
      <c r="B933" t="s">
        <v>3211</v>
      </c>
      <c r="C933" t="s">
        <v>9</v>
      </c>
      <c r="D933" t="s">
        <v>1587</v>
      </c>
      <c r="E933" t="s">
        <v>5882</v>
      </c>
    </row>
    <row r="934" spans="1:5" ht="15" customHeight="1">
      <c r="A934">
        <v>932</v>
      </c>
      <c r="B934" t="s">
        <v>3205</v>
      </c>
      <c r="C934" t="s">
        <v>9</v>
      </c>
      <c r="D934" t="s">
        <v>1587</v>
      </c>
      <c r="E934" t="s">
        <v>5882</v>
      </c>
    </row>
    <row r="935" spans="1:5" ht="15" customHeight="1">
      <c r="A935">
        <v>933</v>
      </c>
      <c r="B935" t="s">
        <v>3291</v>
      </c>
      <c r="C935" t="s">
        <v>9</v>
      </c>
      <c r="D935" t="s">
        <v>1587</v>
      </c>
      <c r="E935" t="s">
        <v>5882</v>
      </c>
    </row>
    <row r="936" spans="1:5" ht="15" customHeight="1">
      <c r="A936">
        <v>934</v>
      </c>
      <c r="B936" t="s">
        <v>3200</v>
      </c>
      <c r="C936" t="s">
        <v>9</v>
      </c>
      <c r="D936" t="s">
        <v>1587</v>
      </c>
      <c r="E936" t="s">
        <v>5882</v>
      </c>
    </row>
    <row r="937" spans="1:5" ht="15" customHeight="1">
      <c r="A937">
        <v>935</v>
      </c>
      <c r="B937" t="s">
        <v>4568</v>
      </c>
      <c r="C937" t="s">
        <v>9</v>
      </c>
      <c r="D937" t="s">
        <v>1587</v>
      </c>
      <c r="E937" t="s">
        <v>5882</v>
      </c>
    </row>
    <row r="938" spans="1:5" ht="15" customHeight="1">
      <c r="A938">
        <v>936</v>
      </c>
      <c r="B938" t="s">
        <v>3196</v>
      </c>
      <c r="C938" t="s">
        <v>9</v>
      </c>
      <c r="D938" t="s">
        <v>1587</v>
      </c>
      <c r="E938" t="s">
        <v>5882</v>
      </c>
    </row>
    <row r="939" spans="1:5" ht="15" customHeight="1">
      <c r="A939">
        <v>937</v>
      </c>
      <c r="B939" t="s">
        <v>3186</v>
      </c>
      <c r="C939" t="s">
        <v>9</v>
      </c>
      <c r="D939" t="s">
        <v>1587</v>
      </c>
      <c r="E939" t="s">
        <v>5882</v>
      </c>
    </row>
    <row r="940" spans="1:5" ht="15" customHeight="1">
      <c r="A940">
        <v>938</v>
      </c>
      <c r="B940" t="s">
        <v>3180</v>
      </c>
      <c r="C940" t="s">
        <v>9</v>
      </c>
      <c r="D940" t="s">
        <v>1587</v>
      </c>
      <c r="E940" t="s">
        <v>5882</v>
      </c>
    </row>
    <row r="941" spans="1:5" ht="15" customHeight="1">
      <c r="A941">
        <v>939</v>
      </c>
      <c r="B941" t="s">
        <v>3177</v>
      </c>
      <c r="C941" t="s">
        <v>9</v>
      </c>
      <c r="D941" t="s">
        <v>1587</v>
      </c>
      <c r="E941" t="s">
        <v>5882</v>
      </c>
    </row>
    <row r="942" spans="1:5" ht="15" customHeight="1">
      <c r="A942">
        <v>940</v>
      </c>
      <c r="B942" t="s">
        <v>4301</v>
      </c>
      <c r="C942" t="s">
        <v>9</v>
      </c>
      <c r="D942" t="s">
        <v>1587</v>
      </c>
      <c r="E942" t="s">
        <v>5882</v>
      </c>
    </row>
    <row r="943" spans="1:5" ht="15" customHeight="1">
      <c r="A943">
        <v>941</v>
      </c>
      <c r="B943" t="s">
        <v>3767</v>
      </c>
      <c r="C943" t="s">
        <v>9</v>
      </c>
      <c r="D943" t="s">
        <v>1587</v>
      </c>
      <c r="E943" t="s">
        <v>5882</v>
      </c>
    </row>
    <row r="944" spans="1:5" ht="15" customHeight="1">
      <c r="A944">
        <v>942</v>
      </c>
      <c r="B944" t="s">
        <v>4600</v>
      </c>
      <c r="C944" t="s">
        <v>9</v>
      </c>
      <c r="D944" t="s">
        <v>1587</v>
      </c>
      <c r="E944" t="s">
        <v>5882</v>
      </c>
    </row>
    <row r="945" spans="1:5" ht="15" customHeight="1">
      <c r="A945">
        <v>943</v>
      </c>
      <c r="B945" t="s">
        <v>4294</v>
      </c>
      <c r="C945" t="s">
        <v>9</v>
      </c>
      <c r="D945" t="s">
        <v>1587</v>
      </c>
      <c r="E945" t="s">
        <v>5882</v>
      </c>
    </row>
    <row r="946" spans="1:5" ht="15" customHeight="1">
      <c r="A946">
        <v>944</v>
      </c>
      <c r="B946" t="s">
        <v>4565</v>
      </c>
      <c r="C946" t="s">
        <v>9</v>
      </c>
      <c r="D946" t="s">
        <v>1587</v>
      </c>
      <c r="E946" t="s">
        <v>5882</v>
      </c>
    </row>
    <row r="947" spans="1:5" ht="15" customHeight="1">
      <c r="A947">
        <v>945</v>
      </c>
      <c r="B947" t="s">
        <v>3738</v>
      </c>
      <c r="C947" t="s">
        <v>9</v>
      </c>
      <c r="D947" t="s">
        <v>1587</v>
      </c>
      <c r="E947" t="s">
        <v>5882</v>
      </c>
    </row>
    <row r="948" spans="1:5" ht="15" customHeight="1">
      <c r="A948">
        <v>946</v>
      </c>
      <c r="B948" t="s">
        <v>3319</v>
      </c>
      <c r="C948" t="s">
        <v>9</v>
      </c>
      <c r="D948" t="s">
        <v>1587</v>
      </c>
      <c r="E948" t="s">
        <v>5882</v>
      </c>
    </row>
    <row r="949" spans="1:5" ht="15" customHeight="1">
      <c r="A949">
        <v>947</v>
      </c>
      <c r="B949" t="s">
        <v>3329</v>
      </c>
      <c r="C949" t="s">
        <v>9</v>
      </c>
      <c r="D949" t="s">
        <v>1587</v>
      </c>
      <c r="E949" t="s">
        <v>5882</v>
      </c>
    </row>
    <row r="950" spans="1:5" ht="15" customHeight="1">
      <c r="A950">
        <v>948</v>
      </c>
      <c r="B950" t="s">
        <v>3574</v>
      </c>
      <c r="C950" t="s">
        <v>9</v>
      </c>
      <c r="D950" t="s">
        <v>1587</v>
      </c>
      <c r="E950" t="s">
        <v>5882</v>
      </c>
    </row>
    <row r="951" spans="1:5" ht="15" customHeight="1">
      <c r="A951">
        <v>949</v>
      </c>
      <c r="B951" t="s">
        <v>3549</v>
      </c>
      <c r="C951" t="s">
        <v>9</v>
      </c>
      <c r="D951" t="s">
        <v>1587</v>
      </c>
      <c r="E951" t="s">
        <v>5882</v>
      </c>
    </row>
    <row r="952" spans="1:5" ht="15" customHeight="1">
      <c r="A952">
        <v>950</v>
      </c>
      <c r="B952" t="s">
        <v>3532</v>
      </c>
      <c r="C952" t="s">
        <v>9</v>
      </c>
      <c r="D952" t="s">
        <v>1587</v>
      </c>
      <c r="E952" t="s">
        <v>5882</v>
      </c>
    </row>
    <row r="953" spans="1:5" ht="15" customHeight="1">
      <c r="A953">
        <v>951</v>
      </c>
      <c r="B953" t="s">
        <v>4355</v>
      </c>
      <c r="C953" t="s">
        <v>9</v>
      </c>
      <c r="D953" t="s">
        <v>1587</v>
      </c>
      <c r="E953" t="s">
        <v>5882</v>
      </c>
    </row>
    <row r="954" spans="1:5" ht="15" customHeight="1">
      <c r="A954">
        <v>952</v>
      </c>
      <c r="B954" t="s">
        <v>4351</v>
      </c>
      <c r="C954" t="s">
        <v>9</v>
      </c>
      <c r="D954" t="s">
        <v>1587</v>
      </c>
      <c r="E954" t="s">
        <v>5882</v>
      </c>
    </row>
    <row r="955" spans="1:5" ht="15" customHeight="1">
      <c r="A955">
        <v>953</v>
      </c>
      <c r="B955" t="s">
        <v>3486</v>
      </c>
      <c r="C955" t="s">
        <v>9</v>
      </c>
      <c r="D955" t="s">
        <v>1587</v>
      </c>
      <c r="E955" t="s">
        <v>5882</v>
      </c>
    </row>
    <row r="956" spans="1:5" ht="15" customHeight="1">
      <c r="A956">
        <v>954</v>
      </c>
      <c r="B956" t="s">
        <v>4414</v>
      </c>
      <c r="C956" t="s">
        <v>9</v>
      </c>
      <c r="D956" t="s">
        <v>1587</v>
      </c>
      <c r="E956" t="s">
        <v>5882</v>
      </c>
    </row>
    <row r="957" spans="1:5" ht="15" customHeight="1">
      <c r="A957">
        <v>955</v>
      </c>
      <c r="B957" t="s">
        <v>4418</v>
      </c>
      <c r="C957" t="s">
        <v>9</v>
      </c>
      <c r="D957" t="s">
        <v>1587</v>
      </c>
      <c r="E957" t="s">
        <v>5882</v>
      </c>
    </row>
    <row r="958" spans="1:5" ht="15" customHeight="1">
      <c r="A958">
        <v>956</v>
      </c>
      <c r="B958" t="s">
        <v>3442</v>
      </c>
      <c r="C958" t="s">
        <v>9</v>
      </c>
      <c r="D958" t="s">
        <v>1587</v>
      </c>
      <c r="E958" t="s">
        <v>5882</v>
      </c>
    </row>
    <row r="959" spans="1:5" ht="15" customHeight="1">
      <c r="A959">
        <v>957</v>
      </c>
      <c r="B959" t="s">
        <v>3670</v>
      </c>
      <c r="C959" t="s">
        <v>9</v>
      </c>
      <c r="D959" t="s">
        <v>1587</v>
      </c>
      <c r="E959" t="s">
        <v>5882</v>
      </c>
    </row>
    <row r="960" spans="1:5" ht="15" customHeight="1">
      <c r="A960">
        <v>958</v>
      </c>
      <c r="B960" t="s">
        <v>3398</v>
      </c>
      <c r="C960" t="s">
        <v>9</v>
      </c>
      <c r="D960" t="s">
        <v>1587</v>
      </c>
      <c r="E960" t="s">
        <v>5882</v>
      </c>
    </row>
    <row r="961" spans="1:5" ht="15" customHeight="1">
      <c r="A961">
        <v>959</v>
      </c>
      <c r="B961" t="s">
        <v>3674</v>
      </c>
      <c r="C961" t="s">
        <v>9</v>
      </c>
      <c r="D961" t="s">
        <v>1587</v>
      </c>
      <c r="E961" t="s">
        <v>5882</v>
      </c>
    </row>
    <row r="962" spans="1:5" ht="15" customHeight="1">
      <c r="A962">
        <v>960</v>
      </c>
      <c r="B962" t="s">
        <v>3707</v>
      </c>
      <c r="C962" t="s">
        <v>9</v>
      </c>
      <c r="D962" t="s">
        <v>1587</v>
      </c>
      <c r="E962" t="s">
        <v>5882</v>
      </c>
    </row>
    <row r="963" spans="1:5" ht="15" customHeight="1">
      <c r="A963">
        <v>961</v>
      </c>
      <c r="B963" t="s">
        <v>3368</v>
      </c>
      <c r="C963" t="s">
        <v>9</v>
      </c>
      <c r="D963" t="s">
        <v>1587</v>
      </c>
      <c r="E963" t="s">
        <v>5882</v>
      </c>
    </row>
    <row r="964" spans="1:5" ht="15" customHeight="1">
      <c r="A964">
        <v>962</v>
      </c>
      <c r="B964" t="s">
        <v>3365</v>
      </c>
      <c r="C964" t="s">
        <v>9</v>
      </c>
      <c r="D964" t="s">
        <v>1587</v>
      </c>
      <c r="E964" t="s">
        <v>5882</v>
      </c>
    </row>
    <row r="965" spans="1:5" ht="15" customHeight="1">
      <c r="A965">
        <v>963</v>
      </c>
      <c r="B965" t="s">
        <v>4469</v>
      </c>
      <c r="C965" t="s">
        <v>9</v>
      </c>
      <c r="D965" t="s">
        <v>1587</v>
      </c>
      <c r="E965" t="s">
        <v>5882</v>
      </c>
    </row>
    <row r="966" spans="1:5" ht="15" customHeight="1">
      <c r="A966">
        <v>964</v>
      </c>
      <c r="B966" t="s">
        <v>4472</v>
      </c>
      <c r="C966" t="s">
        <v>9</v>
      </c>
      <c r="D966" t="s">
        <v>1587</v>
      </c>
      <c r="E966" t="s">
        <v>5882</v>
      </c>
    </row>
    <row r="967" spans="1:5" ht="15" customHeight="1">
      <c r="A967">
        <v>965</v>
      </c>
      <c r="B967" t="s">
        <v>3713</v>
      </c>
      <c r="C967" t="s">
        <v>9</v>
      </c>
      <c r="D967" t="s">
        <v>1587</v>
      </c>
      <c r="E967" t="s">
        <v>5882</v>
      </c>
    </row>
    <row r="968" spans="1:5" ht="15" customHeight="1">
      <c r="A968">
        <v>966</v>
      </c>
      <c r="B968" t="s">
        <v>4319</v>
      </c>
      <c r="C968" t="s">
        <v>9</v>
      </c>
      <c r="D968" t="s">
        <v>1587</v>
      </c>
      <c r="E968" t="s">
        <v>5882</v>
      </c>
    </row>
    <row r="969" spans="1:5" ht="15" customHeight="1">
      <c r="A969">
        <v>967</v>
      </c>
      <c r="B969" t="s">
        <v>4493</v>
      </c>
      <c r="C969" t="s">
        <v>9</v>
      </c>
      <c r="D969" t="s">
        <v>1587</v>
      </c>
      <c r="E969" t="s">
        <v>5882</v>
      </c>
    </row>
    <row r="970" spans="1:5" ht="15" customHeight="1">
      <c r="A970">
        <v>968</v>
      </c>
      <c r="B970" t="s">
        <v>3725</v>
      </c>
      <c r="C970" t="s">
        <v>9</v>
      </c>
      <c r="D970" t="s">
        <v>1587</v>
      </c>
      <c r="E970" t="s">
        <v>5882</v>
      </c>
    </row>
    <row r="971" spans="1:5" ht="15" customHeight="1">
      <c r="A971">
        <v>969</v>
      </c>
      <c r="B971" t="s">
        <v>4610</v>
      </c>
      <c r="C971" t="s">
        <v>9</v>
      </c>
      <c r="D971" t="s">
        <v>1587</v>
      </c>
      <c r="E971" t="s">
        <v>5882</v>
      </c>
    </row>
    <row r="972" spans="1:5" ht="15" customHeight="1">
      <c r="A972">
        <v>970</v>
      </c>
      <c r="B972" t="s">
        <v>3144</v>
      </c>
      <c r="C972" t="s">
        <v>9</v>
      </c>
      <c r="D972" t="s">
        <v>1587</v>
      </c>
      <c r="E972" t="s">
        <v>5882</v>
      </c>
    </row>
    <row r="973" spans="1:5" ht="15" customHeight="1">
      <c r="A973">
        <v>971</v>
      </c>
      <c r="B973" t="s">
        <v>1543</v>
      </c>
      <c r="C973" t="s">
        <v>13</v>
      </c>
      <c r="D973" t="s">
        <v>1347</v>
      </c>
      <c r="E973" t="s">
        <v>5882</v>
      </c>
    </row>
    <row r="974" spans="1:5" ht="15" customHeight="1">
      <c r="A974">
        <v>972</v>
      </c>
      <c r="B974" t="s">
        <v>3822</v>
      </c>
      <c r="C974" t="s">
        <v>9</v>
      </c>
      <c r="D974" t="s">
        <v>1587</v>
      </c>
      <c r="E974" t="s">
        <v>5882</v>
      </c>
    </row>
    <row r="975" spans="1:5" ht="15" customHeight="1">
      <c r="A975">
        <v>973</v>
      </c>
      <c r="B975" t="s">
        <v>3070</v>
      </c>
      <c r="C975" t="s">
        <v>9</v>
      </c>
      <c r="D975" t="s">
        <v>1587</v>
      </c>
      <c r="E975" t="s">
        <v>5882</v>
      </c>
    </row>
    <row r="976" spans="1:5" ht="15" customHeight="1">
      <c r="A976">
        <v>974</v>
      </c>
      <c r="B976" t="s">
        <v>3812</v>
      </c>
      <c r="C976" t="s">
        <v>9</v>
      </c>
      <c r="D976" t="s">
        <v>1587</v>
      </c>
      <c r="E976" t="s">
        <v>5882</v>
      </c>
    </row>
    <row r="977" spans="1:5" ht="15" customHeight="1">
      <c r="A977">
        <v>975</v>
      </c>
      <c r="B977" t="s">
        <v>2870</v>
      </c>
      <c r="C977" t="s">
        <v>9</v>
      </c>
      <c r="D977" t="s">
        <v>1587</v>
      </c>
      <c r="E977" t="s">
        <v>5882</v>
      </c>
    </row>
    <row r="978" spans="1:5" ht="15" customHeight="1">
      <c r="A978">
        <v>976</v>
      </c>
      <c r="B978" t="s">
        <v>2902</v>
      </c>
      <c r="C978" t="s">
        <v>9</v>
      </c>
      <c r="D978" t="s">
        <v>1587</v>
      </c>
      <c r="E978" t="s">
        <v>5882</v>
      </c>
    </row>
    <row r="979" spans="1:5" ht="15" customHeight="1">
      <c r="A979">
        <v>977</v>
      </c>
      <c r="B979" t="s">
        <v>2929</v>
      </c>
      <c r="C979" t="s">
        <v>9</v>
      </c>
      <c r="D979" t="s">
        <v>1587</v>
      </c>
      <c r="E979" t="s">
        <v>5882</v>
      </c>
    </row>
    <row r="980" spans="1:5" ht="15" customHeight="1">
      <c r="A980">
        <v>978</v>
      </c>
      <c r="B980" t="s">
        <v>3087</v>
      </c>
      <c r="C980" t="s">
        <v>9</v>
      </c>
      <c r="D980" t="s">
        <v>1587</v>
      </c>
      <c r="E980" t="s">
        <v>5882</v>
      </c>
    </row>
    <row r="981" spans="1:5" ht="15" customHeight="1">
      <c r="A981">
        <v>979</v>
      </c>
      <c r="B981" t="s">
        <v>3090</v>
      </c>
      <c r="C981" t="s">
        <v>9</v>
      </c>
      <c r="D981" t="s">
        <v>1587</v>
      </c>
      <c r="E981" t="s">
        <v>5882</v>
      </c>
    </row>
    <row r="982" spans="1:5" ht="15" customHeight="1">
      <c r="A982">
        <v>980</v>
      </c>
      <c r="B982" t="s">
        <v>2895</v>
      </c>
      <c r="C982" t="s">
        <v>9</v>
      </c>
      <c r="D982" t="s">
        <v>1587</v>
      </c>
      <c r="E982" t="s">
        <v>5882</v>
      </c>
    </row>
    <row r="983" spans="1:5" ht="15" customHeight="1">
      <c r="A983">
        <v>981</v>
      </c>
      <c r="B983" t="s">
        <v>4647</v>
      </c>
      <c r="C983" t="s">
        <v>9</v>
      </c>
      <c r="D983" t="s">
        <v>1587</v>
      </c>
      <c r="E983" t="s">
        <v>5882</v>
      </c>
    </row>
    <row r="984" spans="1:5" ht="15" customHeight="1">
      <c r="A984">
        <v>982</v>
      </c>
      <c r="B984" t="s">
        <v>3054</v>
      </c>
      <c r="C984" t="s">
        <v>9</v>
      </c>
      <c r="D984" t="s">
        <v>1587</v>
      </c>
      <c r="E984" t="s">
        <v>5882</v>
      </c>
    </row>
    <row r="985" spans="1:5" ht="15" customHeight="1">
      <c r="A985">
        <v>983</v>
      </c>
      <c r="B985" t="s">
        <v>2973</v>
      </c>
      <c r="C985" t="s">
        <v>9</v>
      </c>
      <c r="D985" t="s">
        <v>1587</v>
      </c>
      <c r="E985" t="s">
        <v>5882</v>
      </c>
    </row>
    <row r="986" spans="1:5" ht="15" customHeight="1">
      <c r="A986">
        <v>984</v>
      </c>
      <c r="B986" t="s">
        <v>3016</v>
      </c>
      <c r="C986" t="s">
        <v>9</v>
      </c>
      <c r="D986" t="s">
        <v>1587</v>
      </c>
      <c r="E986" t="s">
        <v>5882</v>
      </c>
    </row>
    <row r="987" spans="1:5" ht="15" customHeight="1">
      <c r="A987">
        <v>985</v>
      </c>
      <c r="B987" t="s">
        <v>4695</v>
      </c>
      <c r="C987" t="s">
        <v>9</v>
      </c>
      <c r="D987" t="s">
        <v>1587</v>
      </c>
      <c r="E987" t="s">
        <v>5882</v>
      </c>
    </row>
    <row r="988" spans="1:5" ht="15" customHeight="1">
      <c r="A988">
        <v>986</v>
      </c>
      <c r="B988" t="s">
        <v>4290</v>
      </c>
      <c r="C988" t="s">
        <v>9</v>
      </c>
      <c r="D988" t="s">
        <v>1587</v>
      </c>
      <c r="E988" t="s">
        <v>5882</v>
      </c>
    </row>
    <row r="989" spans="1:5" ht="15" customHeight="1">
      <c r="A989">
        <v>987</v>
      </c>
      <c r="B989" t="s">
        <v>3117</v>
      </c>
      <c r="C989" t="s">
        <v>9</v>
      </c>
      <c r="D989" t="s">
        <v>1587</v>
      </c>
      <c r="E989" t="s">
        <v>5882</v>
      </c>
    </row>
    <row r="990" spans="1:5" ht="15" customHeight="1">
      <c r="A990">
        <v>988</v>
      </c>
      <c r="B990" t="s">
        <v>4083</v>
      </c>
      <c r="C990" t="s">
        <v>9</v>
      </c>
      <c r="D990" t="s">
        <v>1587</v>
      </c>
      <c r="E990" t="s">
        <v>5882</v>
      </c>
    </row>
    <row r="991" spans="1:5" ht="15" customHeight="1">
      <c r="A991">
        <v>989</v>
      </c>
      <c r="B991" t="s">
        <v>3126</v>
      </c>
      <c r="C991" t="s">
        <v>9</v>
      </c>
      <c r="D991" t="s">
        <v>1587</v>
      </c>
      <c r="E991" t="s">
        <v>5882</v>
      </c>
    </row>
    <row r="992" spans="1:5" ht="15" customHeight="1">
      <c r="A992">
        <v>990</v>
      </c>
      <c r="B992" t="s">
        <v>2959</v>
      </c>
      <c r="C992" t="s">
        <v>9</v>
      </c>
      <c r="D992" t="s">
        <v>1587</v>
      </c>
      <c r="E992" t="s">
        <v>5882</v>
      </c>
    </row>
    <row r="993" spans="1:5" ht="15" customHeight="1">
      <c r="A993">
        <v>991</v>
      </c>
      <c r="B993" t="s">
        <v>2847</v>
      </c>
      <c r="C993" t="s">
        <v>9</v>
      </c>
      <c r="D993" t="s">
        <v>1587</v>
      </c>
      <c r="E993" t="s">
        <v>5882</v>
      </c>
    </row>
    <row r="994" spans="1:5" ht="15" customHeight="1">
      <c r="A994">
        <v>992</v>
      </c>
      <c r="B994" t="s">
        <v>3140</v>
      </c>
      <c r="C994" t="s">
        <v>9</v>
      </c>
      <c r="D994" t="s">
        <v>1587</v>
      </c>
      <c r="E994" t="s">
        <v>5882</v>
      </c>
    </row>
    <row r="995" spans="1:5" ht="15" customHeight="1">
      <c r="A995">
        <v>993</v>
      </c>
      <c r="B995" t="s">
        <v>2970</v>
      </c>
      <c r="C995" t="s">
        <v>9</v>
      </c>
      <c r="D995" t="s">
        <v>1587</v>
      </c>
      <c r="E995" t="s">
        <v>5882</v>
      </c>
    </row>
    <row r="996" spans="1:5" ht="15" customHeight="1">
      <c r="A996">
        <v>994</v>
      </c>
      <c r="B996" t="s">
        <v>3133</v>
      </c>
      <c r="C996" t="s">
        <v>9</v>
      </c>
      <c r="D996" t="s">
        <v>1587</v>
      </c>
      <c r="E996" t="s">
        <v>5882</v>
      </c>
    </row>
    <row r="997" spans="1:5" ht="15" customHeight="1">
      <c r="A997">
        <v>995</v>
      </c>
      <c r="B997" t="s">
        <v>2829</v>
      </c>
      <c r="C997" t="s">
        <v>9</v>
      </c>
      <c r="D997" t="s">
        <v>1587</v>
      </c>
      <c r="E997" t="s">
        <v>5882</v>
      </c>
    </row>
    <row r="998" spans="1:5" ht="15" customHeight="1">
      <c r="A998">
        <v>996</v>
      </c>
      <c r="B998" t="s">
        <v>3826</v>
      </c>
      <c r="C998" t="s">
        <v>9</v>
      </c>
      <c r="D998" t="s">
        <v>1587</v>
      </c>
      <c r="E998" t="s">
        <v>5882</v>
      </c>
    </row>
    <row r="999" spans="1:5" ht="15" customHeight="1">
      <c r="A999">
        <v>997</v>
      </c>
      <c r="B999" t="s">
        <v>1662</v>
      </c>
      <c r="C999" t="s">
        <v>9</v>
      </c>
      <c r="D999" t="s">
        <v>1554</v>
      </c>
      <c r="E999" t="s">
        <v>5883</v>
      </c>
    </row>
    <row r="1000" spans="1:5" ht="15" customHeight="1">
      <c r="A1000">
        <v>998</v>
      </c>
      <c r="B1000" t="s">
        <v>1606</v>
      </c>
      <c r="C1000" t="s">
        <v>9</v>
      </c>
      <c r="D1000" t="s">
        <v>1554</v>
      </c>
      <c r="E1000" t="s">
        <v>5883</v>
      </c>
    </row>
    <row r="1001" spans="1:5" ht="15" customHeight="1">
      <c r="A1001">
        <v>999</v>
      </c>
      <c r="B1001" t="s">
        <v>4042</v>
      </c>
      <c r="C1001" t="s">
        <v>9</v>
      </c>
      <c r="D1001" t="s">
        <v>1554</v>
      </c>
      <c r="E1001" t="s">
        <v>5883</v>
      </c>
    </row>
    <row r="1002" spans="1:5" ht="15" customHeight="1">
      <c r="A1002">
        <v>1000</v>
      </c>
      <c r="B1002" t="s">
        <v>1602</v>
      </c>
      <c r="C1002" t="s">
        <v>9</v>
      </c>
      <c r="D1002" t="s">
        <v>1554</v>
      </c>
      <c r="E1002" t="s">
        <v>5883</v>
      </c>
    </row>
    <row r="1003" spans="1:5" ht="15" customHeight="1">
      <c r="A1003">
        <v>1001</v>
      </c>
      <c r="B1003" t="s">
        <v>3423</v>
      </c>
      <c r="C1003" t="s">
        <v>9</v>
      </c>
      <c r="D1003" t="s">
        <v>1554</v>
      </c>
      <c r="E1003" t="s">
        <v>5883</v>
      </c>
    </row>
    <row r="1004" spans="1:5" ht="15" customHeight="1">
      <c r="A1004">
        <v>1002</v>
      </c>
      <c r="B1004" t="s">
        <v>587</v>
      </c>
      <c r="C1004" t="s">
        <v>10</v>
      </c>
      <c r="D1004" t="s">
        <v>5884</v>
      </c>
      <c r="E1004" t="s">
        <v>5883</v>
      </c>
    </row>
    <row r="1005" spans="1:5" ht="15" customHeight="1">
      <c r="A1005">
        <v>1003</v>
      </c>
      <c r="B1005" t="s">
        <v>3940</v>
      </c>
      <c r="C1005" t="s">
        <v>9</v>
      </c>
      <c r="D1005" t="s">
        <v>1554</v>
      </c>
      <c r="E1005" t="s">
        <v>5883</v>
      </c>
    </row>
    <row r="1006" spans="1:5" ht="15" customHeight="1">
      <c r="A1006">
        <v>1004</v>
      </c>
      <c r="B1006" t="s">
        <v>576</v>
      </c>
      <c r="C1006" t="s">
        <v>10</v>
      </c>
      <c r="D1006" t="s">
        <v>5884</v>
      </c>
      <c r="E1006" t="s">
        <v>5883</v>
      </c>
    </row>
    <row r="1007" spans="1:5" ht="15" customHeight="1">
      <c r="A1007">
        <v>1005</v>
      </c>
      <c r="B1007" t="s">
        <v>4449</v>
      </c>
      <c r="C1007" t="s">
        <v>9</v>
      </c>
      <c r="D1007" t="s">
        <v>1554</v>
      </c>
      <c r="E1007" t="s">
        <v>5883</v>
      </c>
    </row>
    <row r="1008" spans="1:5" ht="15" customHeight="1">
      <c r="A1008">
        <v>1006</v>
      </c>
      <c r="B1008" t="s">
        <v>1703</v>
      </c>
      <c r="C1008" t="s">
        <v>9</v>
      </c>
      <c r="D1008" t="s">
        <v>1554</v>
      </c>
      <c r="E1008" t="s">
        <v>5883</v>
      </c>
    </row>
    <row r="1009" spans="1:5" ht="15" customHeight="1">
      <c r="A1009">
        <v>1007</v>
      </c>
      <c r="B1009" t="s">
        <v>2676</v>
      </c>
      <c r="C1009" t="s">
        <v>9</v>
      </c>
      <c r="D1009" t="s">
        <v>1554</v>
      </c>
      <c r="E1009" t="s">
        <v>5883</v>
      </c>
    </row>
    <row r="1010" spans="1:5" ht="15" customHeight="1">
      <c r="A1010">
        <v>1008</v>
      </c>
      <c r="B1010" t="s">
        <v>1711</v>
      </c>
      <c r="C1010" t="s">
        <v>9</v>
      </c>
      <c r="D1010" t="s">
        <v>1554</v>
      </c>
      <c r="E1010" t="s">
        <v>5883</v>
      </c>
    </row>
    <row r="1011" spans="1:5" ht="15" customHeight="1">
      <c r="A1011">
        <v>1009</v>
      </c>
      <c r="B1011" t="s">
        <v>592</v>
      </c>
      <c r="C1011" t="s">
        <v>10</v>
      </c>
      <c r="D1011" t="s">
        <v>5885</v>
      </c>
      <c r="E1011" t="s">
        <v>5883</v>
      </c>
    </row>
    <row r="1012" spans="1:5" ht="15" customHeight="1">
      <c r="A1012">
        <v>1010</v>
      </c>
      <c r="B1012" t="s">
        <v>565</v>
      </c>
      <c r="C1012" t="s">
        <v>10</v>
      </c>
      <c r="D1012" t="s">
        <v>5884</v>
      </c>
      <c r="E1012" t="s">
        <v>5883</v>
      </c>
    </row>
    <row r="1013" spans="1:5" ht="15" customHeight="1">
      <c r="A1013">
        <v>1011</v>
      </c>
      <c r="B1013" t="s">
        <v>3873</v>
      </c>
      <c r="C1013" t="s">
        <v>9</v>
      </c>
      <c r="D1013" t="s">
        <v>1554</v>
      </c>
      <c r="E1013" t="s">
        <v>5883</v>
      </c>
    </row>
    <row r="1014" spans="1:5" ht="15" customHeight="1">
      <c r="A1014">
        <v>1012</v>
      </c>
      <c r="B1014" t="s">
        <v>1766</v>
      </c>
      <c r="C1014" t="s">
        <v>9</v>
      </c>
      <c r="D1014" t="s">
        <v>1554</v>
      </c>
      <c r="E1014" t="s">
        <v>5883</v>
      </c>
    </row>
    <row r="1015" spans="1:5" ht="15" customHeight="1">
      <c r="A1015">
        <v>1013</v>
      </c>
      <c r="B1015" t="s">
        <v>561</v>
      </c>
      <c r="C1015" t="s">
        <v>10</v>
      </c>
      <c r="D1015" t="s">
        <v>5884</v>
      </c>
      <c r="E1015" t="s">
        <v>5883</v>
      </c>
    </row>
    <row r="1016" spans="1:5" ht="15" customHeight="1">
      <c r="A1016">
        <v>1014</v>
      </c>
      <c r="B1016" t="s">
        <v>4330</v>
      </c>
      <c r="C1016" t="s">
        <v>9</v>
      </c>
      <c r="D1016" t="s">
        <v>1554</v>
      </c>
      <c r="E1016" t="s">
        <v>5883</v>
      </c>
    </row>
    <row r="1017" spans="1:5" ht="15" customHeight="1">
      <c r="A1017">
        <v>1015</v>
      </c>
      <c r="B1017" t="s">
        <v>1667</v>
      </c>
      <c r="C1017" t="s">
        <v>9</v>
      </c>
      <c r="D1017" t="s">
        <v>1554</v>
      </c>
      <c r="E1017" t="s">
        <v>5883</v>
      </c>
    </row>
    <row r="1018" spans="1:5" ht="15" customHeight="1">
      <c r="A1018">
        <v>1016</v>
      </c>
      <c r="B1018" t="s">
        <v>2921</v>
      </c>
      <c r="C1018" t="s">
        <v>9</v>
      </c>
      <c r="D1018" t="s">
        <v>1554</v>
      </c>
      <c r="E1018" t="s">
        <v>5883</v>
      </c>
    </row>
    <row r="1019" spans="1:5" ht="15" customHeight="1">
      <c r="A1019">
        <v>1017</v>
      </c>
      <c r="B1019" t="s">
        <v>601</v>
      </c>
      <c r="C1019" t="s">
        <v>10</v>
      </c>
      <c r="D1019" t="s">
        <v>5884</v>
      </c>
      <c r="E1019" t="s">
        <v>5883</v>
      </c>
    </row>
    <row r="1020" spans="1:5" ht="15" customHeight="1">
      <c r="A1020">
        <v>1018</v>
      </c>
      <c r="B1020" t="s">
        <v>4436</v>
      </c>
      <c r="C1020" t="s">
        <v>9</v>
      </c>
      <c r="D1020" t="s">
        <v>1554</v>
      </c>
      <c r="E1020" t="s">
        <v>5883</v>
      </c>
    </row>
    <row r="1021" spans="1:5" ht="15" customHeight="1">
      <c r="A1021">
        <v>1019</v>
      </c>
      <c r="B1021" t="s">
        <v>4073</v>
      </c>
      <c r="C1021" t="s">
        <v>9</v>
      </c>
      <c r="D1021" t="s">
        <v>1554</v>
      </c>
      <c r="E1021" t="s">
        <v>5883</v>
      </c>
    </row>
    <row r="1022" spans="1:5" ht="15" customHeight="1">
      <c r="A1022">
        <v>1020</v>
      </c>
      <c r="B1022" t="s">
        <v>1446</v>
      </c>
      <c r="C1022" t="s">
        <v>5886</v>
      </c>
      <c r="D1022" t="s">
        <v>1554</v>
      </c>
      <c r="E1022" t="s">
        <v>5883</v>
      </c>
    </row>
    <row r="1023" spans="1:5" ht="15" customHeight="1">
      <c r="A1023">
        <v>1021</v>
      </c>
      <c r="B1023" t="s">
        <v>2709</v>
      </c>
      <c r="C1023" t="s">
        <v>9</v>
      </c>
      <c r="D1023" t="s">
        <v>1554</v>
      </c>
      <c r="E1023" t="s">
        <v>5883</v>
      </c>
    </row>
    <row r="1024" spans="1:5" ht="15" customHeight="1">
      <c r="A1024">
        <v>1022</v>
      </c>
      <c r="B1024" t="s">
        <v>4101</v>
      </c>
      <c r="C1024" t="s">
        <v>9</v>
      </c>
      <c r="D1024" t="s">
        <v>1554</v>
      </c>
      <c r="E1024" t="s">
        <v>5883</v>
      </c>
    </row>
    <row r="1025" spans="1:5" ht="15" customHeight="1">
      <c r="A1025">
        <v>1023</v>
      </c>
      <c r="B1025" t="s">
        <v>2706</v>
      </c>
      <c r="C1025" t="s">
        <v>9</v>
      </c>
      <c r="D1025" t="s">
        <v>1554</v>
      </c>
      <c r="E1025" t="s">
        <v>5883</v>
      </c>
    </row>
    <row r="1026" spans="1:5" ht="15" customHeight="1">
      <c r="A1026">
        <v>1024</v>
      </c>
      <c r="B1026" t="s">
        <v>1370</v>
      </c>
      <c r="C1026" t="s">
        <v>5886</v>
      </c>
      <c r="D1026" t="s">
        <v>1554</v>
      </c>
      <c r="E1026" t="s">
        <v>5883</v>
      </c>
    </row>
    <row r="1027" spans="1:5" ht="15" customHeight="1">
      <c r="A1027">
        <v>1025</v>
      </c>
      <c r="B1027" t="s">
        <v>4390</v>
      </c>
      <c r="C1027" t="s">
        <v>9</v>
      </c>
      <c r="D1027" t="s">
        <v>1554</v>
      </c>
      <c r="E1027" t="s">
        <v>5883</v>
      </c>
    </row>
    <row r="1028" spans="1:5" ht="15" customHeight="1">
      <c r="A1028">
        <v>1026</v>
      </c>
      <c r="B1028" t="s">
        <v>3497</v>
      </c>
      <c r="C1028" t="s">
        <v>9</v>
      </c>
      <c r="D1028" t="s">
        <v>1554</v>
      </c>
      <c r="E1028" t="s">
        <v>5883</v>
      </c>
    </row>
    <row r="1029" spans="1:5" ht="15" customHeight="1">
      <c r="A1029">
        <v>1027</v>
      </c>
      <c r="B1029" t="s">
        <v>4398</v>
      </c>
      <c r="C1029" t="s">
        <v>9</v>
      </c>
      <c r="D1029" t="s">
        <v>1554</v>
      </c>
      <c r="E1029" t="s">
        <v>5883</v>
      </c>
    </row>
    <row r="1030" spans="1:5" ht="15" customHeight="1">
      <c r="A1030">
        <v>1028</v>
      </c>
      <c r="B1030" t="s">
        <v>3494</v>
      </c>
      <c r="C1030" t="s">
        <v>9</v>
      </c>
      <c r="D1030" t="s">
        <v>1554</v>
      </c>
      <c r="E1030" t="s">
        <v>5883</v>
      </c>
    </row>
    <row r="1031" spans="1:5" ht="15" customHeight="1">
      <c r="A1031">
        <v>1029</v>
      </c>
      <c r="B1031" t="s">
        <v>2850</v>
      </c>
      <c r="C1031" t="s">
        <v>9</v>
      </c>
      <c r="D1031" t="s">
        <v>1554</v>
      </c>
      <c r="E1031" t="s">
        <v>5883</v>
      </c>
    </row>
    <row r="1032" spans="1:5" ht="15" customHeight="1">
      <c r="A1032">
        <v>1030</v>
      </c>
      <c r="B1032" t="s">
        <v>2692</v>
      </c>
      <c r="C1032" t="s">
        <v>9</v>
      </c>
      <c r="D1032" t="s">
        <v>1554</v>
      </c>
      <c r="E1032" t="s">
        <v>5883</v>
      </c>
    </row>
    <row r="1033" spans="1:5" ht="15" customHeight="1">
      <c r="A1033">
        <v>1031</v>
      </c>
      <c r="B1033" t="s">
        <v>1283</v>
      </c>
      <c r="C1033" t="s">
        <v>11</v>
      </c>
      <c r="D1033" t="s">
        <v>1285</v>
      </c>
      <c r="E1033" t="s">
        <v>5883</v>
      </c>
    </row>
    <row r="1034" spans="1:5" ht="15" customHeight="1">
      <c r="A1034">
        <v>1032</v>
      </c>
      <c r="B1034" t="s">
        <v>1279</v>
      </c>
      <c r="C1034" t="s">
        <v>11</v>
      </c>
      <c r="D1034" t="s">
        <v>1281</v>
      </c>
      <c r="E1034" t="s">
        <v>5883</v>
      </c>
    </row>
    <row r="1035" spans="1:5" ht="15" customHeight="1">
      <c r="A1035">
        <v>1033</v>
      </c>
      <c r="B1035" t="s">
        <v>1275</v>
      </c>
      <c r="C1035" t="s">
        <v>11</v>
      </c>
      <c r="D1035" t="s">
        <v>1277</v>
      </c>
      <c r="E1035" t="s">
        <v>5883</v>
      </c>
    </row>
    <row r="1036" spans="1:5" ht="15" customHeight="1">
      <c r="A1036">
        <v>1034</v>
      </c>
      <c r="B1036" t="s">
        <v>1269</v>
      </c>
      <c r="C1036" t="s">
        <v>11</v>
      </c>
      <c r="D1036" t="s">
        <v>1272</v>
      </c>
      <c r="E1036" t="s">
        <v>5883</v>
      </c>
    </row>
    <row r="1037" spans="1:5" ht="15" customHeight="1">
      <c r="A1037">
        <v>1035</v>
      </c>
      <c r="B1037" t="s">
        <v>608</v>
      </c>
      <c r="C1037" t="s">
        <v>10</v>
      </c>
      <c r="D1037" t="s">
        <v>5884</v>
      </c>
      <c r="E1037" t="s">
        <v>5883</v>
      </c>
    </row>
    <row r="1038" spans="1:5" ht="15" customHeight="1">
      <c r="A1038">
        <v>1036</v>
      </c>
      <c r="B1038" t="s">
        <v>4422</v>
      </c>
      <c r="C1038" t="s">
        <v>9</v>
      </c>
      <c r="D1038" t="s">
        <v>1554</v>
      </c>
      <c r="E1038" t="s">
        <v>5883</v>
      </c>
    </row>
    <row r="1039" spans="1:5" ht="15" customHeight="1">
      <c r="A1039">
        <v>1037</v>
      </c>
      <c r="B1039" t="s">
        <v>606</v>
      </c>
      <c r="C1039" t="s">
        <v>10</v>
      </c>
      <c r="D1039" t="s">
        <v>5884</v>
      </c>
      <c r="E1039" t="s">
        <v>5883</v>
      </c>
    </row>
    <row r="1040" spans="1:5" ht="15" customHeight="1">
      <c r="A1040">
        <v>1038</v>
      </c>
      <c r="B1040" t="s">
        <v>3455</v>
      </c>
      <c r="C1040" t="s">
        <v>9</v>
      </c>
      <c r="D1040" t="s">
        <v>1554</v>
      </c>
      <c r="E1040" t="s">
        <v>5883</v>
      </c>
    </row>
    <row r="1041" spans="1:5" ht="15" customHeight="1">
      <c r="A1041">
        <v>1039</v>
      </c>
      <c r="B1041" t="s">
        <v>1550</v>
      </c>
      <c r="C1041" t="s">
        <v>9</v>
      </c>
      <c r="D1041" t="s">
        <v>1554</v>
      </c>
      <c r="E1041" t="s">
        <v>5883</v>
      </c>
    </row>
    <row r="1042" spans="1:5" ht="15" customHeight="1">
      <c r="A1042">
        <v>1040</v>
      </c>
      <c r="B1042" t="s">
        <v>602</v>
      </c>
      <c r="C1042" t="s">
        <v>10</v>
      </c>
      <c r="D1042" t="s">
        <v>5884</v>
      </c>
      <c r="E1042" t="s">
        <v>5883</v>
      </c>
    </row>
    <row r="1043" spans="1:5" ht="15" customHeight="1">
      <c r="A1043">
        <v>1041</v>
      </c>
      <c r="B1043" t="s">
        <v>2647</v>
      </c>
      <c r="C1043" t="s">
        <v>9</v>
      </c>
      <c r="D1043" t="s">
        <v>1554</v>
      </c>
      <c r="E1043" t="s">
        <v>5883</v>
      </c>
    </row>
    <row r="1044" spans="1:5" ht="15" customHeight="1">
      <c r="A1044">
        <v>1042</v>
      </c>
      <c r="B1044" t="s">
        <v>1558</v>
      </c>
      <c r="C1044" t="s">
        <v>9</v>
      </c>
      <c r="D1044" t="s">
        <v>1554</v>
      </c>
      <c r="E1044" t="s">
        <v>5883</v>
      </c>
    </row>
    <row r="1045" spans="1:5" ht="15" customHeight="1">
      <c r="A1045">
        <v>1043</v>
      </c>
      <c r="B1045" t="s">
        <v>1563</v>
      </c>
      <c r="C1045" t="s">
        <v>9</v>
      </c>
      <c r="D1045" t="s">
        <v>1554</v>
      </c>
      <c r="E1045" t="s">
        <v>5883</v>
      </c>
    </row>
    <row r="1046" spans="1:5" ht="15" customHeight="1">
      <c r="A1046">
        <v>1044</v>
      </c>
      <c r="B1046" t="s">
        <v>598</v>
      </c>
      <c r="C1046" t="s">
        <v>10</v>
      </c>
      <c r="D1046" t="s">
        <v>5885</v>
      </c>
      <c r="E1046" t="s">
        <v>5883</v>
      </c>
    </row>
    <row r="1047" spans="1:5" ht="15" customHeight="1">
      <c r="A1047">
        <v>1045</v>
      </c>
      <c r="B1047" t="s">
        <v>1575</v>
      </c>
      <c r="C1047" t="s">
        <v>9</v>
      </c>
      <c r="D1047" t="s">
        <v>1554</v>
      </c>
      <c r="E1047" t="s">
        <v>5883</v>
      </c>
    </row>
    <row r="1048" spans="1:5" ht="15" customHeight="1">
      <c r="A1048">
        <v>1046</v>
      </c>
      <c r="B1048" t="s">
        <v>594</v>
      </c>
      <c r="C1048" t="s">
        <v>10</v>
      </c>
      <c r="D1048" t="s">
        <v>5884</v>
      </c>
      <c r="E1048" t="s">
        <v>5883</v>
      </c>
    </row>
    <row r="1049" spans="1:5" ht="15" customHeight="1">
      <c r="A1049">
        <v>1047</v>
      </c>
      <c r="B1049" t="s">
        <v>1786</v>
      </c>
      <c r="C1049" t="s">
        <v>9</v>
      </c>
      <c r="D1049" t="s">
        <v>1554</v>
      </c>
      <c r="E1049" t="s">
        <v>5883</v>
      </c>
    </row>
    <row r="1050" spans="1:5" ht="15" customHeight="1">
      <c r="A1050">
        <v>1048</v>
      </c>
      <c r="B1050" t="s">
        <v>4483</v>
      </c>
      <c r="C1050" t="s">
        <v>9</v>
      </c>
      <c r="D1050" t="s">
        <v>1554</v>
      </c>
      <c r="E1050" t="s">
        <v>5883</v>
      </c>
    </row>
    <row r="1051" spans="1:5" ht="15" customHeight="1">
      <c r="A1051">
        <v>1049</v>
      </c>
      <c r="B1051" t="s">
        <v>3709</v>
      </c>
      <c r="C1051" t="s">
        <v>9</v>
      </c>
      <c r="D1051" t="s">
        <v>1554</v>
      </c>
      <c r="E1051" t="s">
        <v>5883</v>
      </c>
    </row>
    <row r="1052" spans="1:5" ht="15" customHeight="1">
      <c r="A1052">
        <v>1050</v>
      </c>
      <c r="B1052" t="s">
        <v>1789</v>
      </c>
      <c r="C1052" t="s">
        <v>9</v>
      </c>
      <c r="D1052" t="s">
        <v>1554</v>
      </c>
      <c r="E1052" t="s">
        <v>5883</v>
      </c>
    </row>
    <row r="1053" spans="1:5" ht="15" customHeight="1">
      <c r="A1053">
        <v>1051</v>
      </c>
      <c r="B1053" t="s">
        <v>2038</v>
      </c>
      <c r="C1053" t="s">
        <v>9</v>
      </c>
      <c r="D1053" t="s">
        <v>1554</v>
      </c>
      <c r="E1053" t="s">
        <v>5883</v>
      </c>
    </row>
    <row r="1054" spans="1:5" ht="15" customHeight="1">
      <c r="A1054">
        <v>1052</v>
      </c>
      <c r="B1054" t="s">
        <v>2045</v>
      </c>
      <c r="C1054" t="s">
        <v>9</v>
      </c>
      <c r="D1054" t="s">
        <v>1554</v>
      </c>
      <c r="E1054" t="s">
        <v>5883</v>
      </c>
    </row>
    <row r="1055" spans="1:5" ht="15" customHeight="1">
      <c r="A1055">
        <v>1053</v>
      </c>
      <c r="B1055" t="s">
        <v>4277</v>
      </c>
      <c r="C1055" t="s">
        <v>9</v>
      </c>
      <c r="D1055" t="s">
        <v>1554</v>
      </c>
      <c r="E1055" t="s">
        <v>5883</v>
      </c>
    </row>
    <row r="1056" spans="1:5" ht="15" customHeight="1">
      <c r="A1056">
        <v>1054</v>
      </c>
      <c r="B1056" t="s">
        <v>3028</v>
      </c>
      <c r="C1056" t="s">
        <v>9</v>
      </c>
      <c r="D1056" t="s">
        <v>1554</v>
      </c>
      <c r="E1056" t="s">
        <v>5883</v>
      </c>
    </row>
    <row r="1057" spans="1:5" ht="15" customHeight="1">
      <c r="A1057">
        <v>1055</v>
      </c>
      <c r="B1057" t="s">
        <v>2061</v>
      </c>
      <c r="C1057" t="s">
        <v>9</v>
      </c>
      <c r="D1057" t="s">
        <v>1554</v>
      </c>
      <c r="E1057" t="s">
        <v>5883</v>
      </c>
    </row>
    <row r="1058" spans="1:5" ht="15" customHeight="1">
      <c r="A1058">
        <v>1056</v>
      </c>
      <c r="B1058" t="s">
        <v>3057</v>
      </c>
      <c r="C1058" t="s">
        <v>9</v>
      </c>
      <c r="D1058" t="s">
        <v>1554</v>
      </c>
      <c r="E1058" t="s">
        <v>5883</v>
      </c>
    </row>
    <row r="1059" spans="1:5" ht="15" customHeight="1">
      <c r="A1059">
        <v>1057</v>
      </c>
      <c r="B1059" t="s">
        <v>2115</v>
      </c>
      <c r="C1059" t="s">
        <v>9</v>
      </c>
      <c r="D1059" t="s">
        <v>1554</v>
      </c>
      <c r="E1059" t="s">
        <v>5883</v>
      </c>
    </row>
    <row r="1060" spans="1:5" ht="15" customHeight="1">
      <c r="A1060">
        <v>1058</v>
      </c>
      <c r="B1060" t="s">
        <v>3084</v>
      </c>
      <c r="C1060" t="s">
        <v>9</v>
      </c>
      <c r="D1060" t="s">
        <v>1554</v>
      </c>
      <c r="E1060" t="s">
        <v>5883</v>
      </c>
    </row>
    <row r="1061" spans="1:5" ht="15" customHeight="1">
      <c r="A1061">
        <v>1059</v>
      </c>
      <c r="B1061" t="s">
        <v>506</v>
      </c>
      <c r="C1061" t="s">
        <v>10</v>
      </c>
      <c r="D1061" t="s">
        <v>5884</v>
      </c>
      <c r="E1061" t="s">
        <v>5883</v>
      </c>
    </row>
    <row r="1062" spans="1:5" ht="15" customHeight="1">
      <c r="A1062">
        <v>1060</v>
      </c>
      <c r="B1062" t="s">
        <v>2159</v>
      </c>
      <c r="C1062" t="s">
        <v>9</v>
      </c>
      <c r="D1062" t="s">
        <v>1554</v>
      </c>
      <c r="E1062" t="s">
        <v>5883</v>
      </c>
    </row>
    <row r="1063" spans="1:5" ht="15" customHeight="1">
      <c r="A1063">
        <v>1061</v>
      </c>
      <c r="B1063" t="s">
        <v>503</v>
      </c>
      <c r="C1063" t="s">
        <v>10</v>
      </c>
      <c r="D1063" t="s">
        <v>5884</v>
      </c>
      <c r="E1063" t="s">
        <v>5883</v>
      </c>
    </row>
    <row r="1064" spans="1:5" ht="15" customHeight="1">
      <c r="A1064">
        <v>1062</v>
      </c>
      <c r="B1064" t="s">
        <v>3614</v>
      </c>
      <c r="C1064" t="s">
        <v>9</v>
      </c>
      <c r="D1064" t="s">
        <v>1554</v>
      </c>
      <c r="E1064" t="s">
        <v>5883</v>
      </c>
    </row>
    <row r="1065" spans="1:5" ht="15" customHeight="1">
      <c r="A1065">
        <v>1063</v>
      </c>
      <c r="B1065" t="s">
        <v>519</v>
      </c>
      <c r="C1065" t="s">
        <v>10</v>
      </c>
      <c r="D1065" t="s">
        <v>5884</v>
      </c>
      <c r="E1065" t="s">
        <v>5883</v>
      </c>
    </row>
    <row r="1066" spans="1:5" ht="15" customHeight="1">
      <c r="A1066">
        <v>1064</v>
      </c>
      <c r="B1066" t="s">
        <v>500</v>
      </c>
      <c r="C1066" t="s">
        <v>10</v>
      </c>
      <c r="D1066" t="s">
        <v>5887</v>
      </c>
      <c r="E1066" t="s">
        <v>5883</v>
      </c>
    </row>
    <row r="1067" spans="1:5" ht="15" customHeight="1">
      <c r="A1067">
        <v>1065</v>
      </c>
      <c r="B1067" t="s">
        <v>3763</v>
      </c>
      <c r="C1067" t="s">
        <v>9</v>
      </c>
      <c r="D1067" t="s">
        <v>1554</v>
      </c>
      <c r="E1067" t="s">
        <v>5883</v>
      </c>
    </row>
    <row r="1068" spans="1:5" ht="15" customHeight="1">
      <c r="A1068">
        <v>1066</v>
      </c>
      <c r="B1068" t="s">
        <v>4221</v>
      </c>
      <c r="C1068" t="s">
        <v>9</v>
      </c>
      <c r="D1068" t="s">
        <v>1554</v>
      </c>
      <c r="E1068" t="s">
        <v>5883</v>
      </c>
    </row>
    <row r="1069" spans="1:5" ht="15" customHeight="1">
      <c r="A1069">
        <v>1067</v>
      </c>
      <c r="B1069" t="s">
        <v>3165</v>
      </c>
      <c r="C1069" t="s">
        <v>9</v>
      </c>
      <c r="D1069" t="s">
        <v>1554</v>
      </c>
      <c r="E1069" t="s">
        <v>5883</v>
      </c>
    </row>
    <row r="1070" spans="1:5" ht="15" customHeight="1">
      <c r="A1070">
        <v>1068</v>
      </c>
      <c r="B1070" t="s">
        <v>2241</v>
      </c>
      <c r="C1070" t="s">
        <v>9</v>
      </c>
      <c r="D1070" t="s">
        <v>1554</v>
      </c>
      <c r="E1070" t="s">
        <v>5883</v>
      </c>
    </row>
    <row r="1071" spans="1:5" ht="15" customHeight="1">
      <c r="A1071">
        <v>1069</v>
      </c>
      <c r="B1071" t="s">
        <v>2256</v>
      </c>
      <c r="C1071" t="s">
        <v>9</v>
      </c>
      <c r="D1071" t="s">
        <v>1554</v>
      </c>
      <c r="E1071" t="s">
        <v>5883</v>
      </c>
    </row>
    <row r="1072" spans="1:5" ht="15" customHeight="1">
      <c r="A1072">
        <v>1070</v>
      </c>
      <c r="B1072" t="s">
        <v>4597</v>
      </c>
      <c r="C1072" t="s">
        <v>9</v>
      </c>
      <c r="D1072" t="s">
        <v>1554</v>
      </c>
      <c r="E1072" t="s">
        <v>5883</v>
      </c>
    </row>
    <row r="1073" spans="1:5" ht="15" customHeight="1">
      <c r="A1073">
        <v>1071</v>
      </c>
      <c r="B1073" t="s">
        <v>3159</v>
      </c>
      <c r="C1073" t="s">
        <v>9</v>
      </c>
      <c r="D1073" t="s">
        <v>1554</v>
      </c>
      <c r="E1073" t="s">
        <v>5883</v>
      </c>
    </row>
    <row r="1074" spans="1:5" ht="15" customHeight="1">
      <c r="A1074">
        <v>1072</v>
      </c>
      <c r="B1074" t="s">
        <v>3155</v>
      </c>
      <c r="C1074" t="s">
        <v>9</v>
      </c>
      <c r="D1074" t="s">
        <v>1554</v>
      </c>
      <c r="E1074" t="s">
        <v>5883</v>
      </c>
    </row>
    <row r="1075" spans="1:5" ht="15" customHeight="1">
      <c r="A1075">
        <v>1073</v>
      </c>
      <c r="B1075" t="s">
        <v>4962</v>
      </c>
      <c r="C1075" t="s">
        <v>9</v>
      </c>
      <c r="D1075" t="s">
        <v>1554</v>
      </c>
      <c r="E1075" t="s">
        <v>5883</v>
      </c>
    </row>
    <row r="1076" spans="1:5" ht="15" customHeight="1">
      <c r="A1076">
        <v>1074</v>
      </c>
      <c r="B1076" t="s">
        <v>4617</v>
      </c>
      <c r="C1076" t="s">
        <v>9</v>
      </c>
      <c r="D1076" t="s">
        <v>1554</v>
      </c>
      <c r="E1076" t="s">
        <v>5883</v>
      </c>
    </row>
    <row r="1077" spans="1:5" ht="15" customHeight="1">
      <c r="A1077">
        <v>1075</v>
      </c>
      <c r="B1077" t="s">
        <v>3148</v>
      </c>
      <c r="C1077" t="s">
        <v>9</v>
      </c>
      <c r="D1077" t="s">
        <v>1554</v>
      </c>
      <c r="E1077" t="s">
        <v>5883</v>
      </c>
    </row>
    <row r="1078" spans="1:5" ht="15" customHeight="1">
      <c r="A1078">
        <v>1076</v>
      </c>
      <c r="B1078" t="s">
        <v>4210</v>
      </c>
      <c r="C1078" t="s">
        <v>9</v>
      </c>
      <c r="D1078" t="s">
        <v>1554</v>
      </c>
      <c r="E1078" t="s">
        <v>5883</v>
      </c>
    </row>
    <row r="1079" spans="1:5" ht="15" customHeight="1">
      <c r="A1079">
        <v>1077</v>
      </c>
      <c r="B1079" t="s">
        <v>4945</v>
      </c>
      <c r="C1079" t="s">
        <v>9</v>
      </c>
      <c r="D1079" t="s">
        <v>1554</v>
      </c>
      <c r="E1079" t="s">
        <v>5883</v>
      </c>
    </row>
    <row r="1080" spans="1:5" ht="15" customHeight="1">
      <c r="A1080">
        <v>1078</v>
      </c>
      <c r="B1080" t="s">
        <v>2473</v>
      </c>
      <c r="C1080" t="s">
        <v>9</v>
      </c>
      <c r="D1080" t="s">
        <v>1554</v>
      </c>
      <c r="E1080" t="s">
        <v>5883</v>
      </c>
    </row>
    <row r="1081" spans="1:5" ht="15" customHeight="1">
      <c r="A1081">
        <v>1079</v>
      </c>
      <c r="B1081" t="s">
        <v>2028</v>
      </c>
      <c r="C1081" t="s">
        <v>9</v>
      </c>
      <c r="D1081" t="s">
        <v>1554</v>
      </c>
      <c r="E1081" t="s">
        <v>5883</v>
      </c>
    </row>
    <row r="1082" spans="1:5" ht="15" customHeight="1">
      <c r="A1082">
        <v>1080</v>
      </c>
      <c r="B1082" t="s">
        <v>3227</v>
      </c>
      <c r="C1082" t="s">
        <v>9</v>
      </c>
      <c r="D1082" t="s">
        <v>1554</v>
      </c>
      <c r="E1082" t="s">
        <v>5883</v>
      </c>
    </row>
    <row r="1083" spans="1:5" ht="15" customHeight="1">
      <c r="A1083">
        <v>1081</v>
      </c>
      <c r="B1083" t="s">
        <v>2565</v>
      </c>
      <c r="C1083" t="s">
        <v>9</v>
      </c>
      <c r="D1083" t="s">
        <v>1554</v>
      </c>
      <c r="E1083" t="s">
        <v>5883</v>
      </c>
    </row>
    <row r="1084" spans="1:5" ht="15" customHeight="1">
      <c r="A1084">
        <v>1082</v>
      </c>
      <c r="B1084" t="s">
        <v>541</v>
      </c>
      <c r="C1084" t="s">
        <v>10</v>
      </c>
      <c r="D1084" t="s">
        <v>5884</v>
      </c>
      <c r="E1084" t="s">
        <v>5883</v>
      </c>
    </row>
    <row r="1085" spans="1:5" ht="15" customHeight="1">
      <c r="A1085">
        <v>1083</v>
      </c>
      <c r="B1085" t="s">
        <v>540</v>
      </c>
      <c r="C1085" t="s">
        <v>10</v>
      </c>
      <c r="D1085" t="s">
        <v>5884</v>
      </c>
      <c r="E1085" t="s">
        <v>5883</v>
      </c>
    </row>
    <row r="1086" spans="1:5" ht="15" customHeight="1">
      <c r="A1086">
        <v>1084</v>
      </c>
      <c r="B1086" t="s">
        <v>4151</v>
      </c>
      <c r="C1086" t="s">
        <v>9</v>
      </c>
      <c r="D1086" t="s">
        <v>1554</v>
      </c>
      <c r="E1086" t="s">
        <v>5883</v>
      </c>
    </row>
    <row r="1087" spans="1:5" ht="15" customHeight="1">
      <c r="A1087">
        <v>1085</v>
      </c>
      <c r="B1087" t="s">
        <v>2998</v>
      </c>
      <c r="C1087" t="s">
        <v>9</v>
      </c>
      <c r="D1087" t="s">
        <v>1554</v>
      </c>
      <c r="E1087" t="s">
        <v>5883</v>
      </c>
    </row>
    <row r="1088" spans="1:5" ht="15" customHeight="1">
      <c r="A1088">
        <v>1086</v>
      </c>
      <c r="B1088" t="s">
        <v>4506</v>
      </c>
      <c r="C1088" t="s">
        <v>9</v>
      </c>
      <c r="D1088" t="s">
        <v>1554</v>
      </c>
      <c r="E1088" t="s">
        <v>5883</v>
      </c>
    </row>
    <row r="1089" spans="1:5" ht="15" customHeight="1">
      <c r="A1089">
        <v>1087</v>
      </c>
      <c r="B1089" t="s">
        <v>522</v>
      </c>
      <c r="C1089" t="s">
        <v>10</v>
      </c>
      <c r="D1089" t="s">
        <v>5884</v>
      </c>
      <c r="E1089" t="s">
        <v>5883</v>
      </c>
    </row>
    <row r="1090" spans="1:5" ht="15" customHeight="1">
      <c r="A1090">
        <v>1088</v>
      </c>
      <c r="B1090" t="s">
        <v>537</v>
      </c>
      <c r="C1090" t="s">
        <v>10</v>
      </c>
      <c r="D1090" t="s">
        <v>5884</v>
      </c>
      <c r="E1090" t="s">
        <v>5883</v>
      </c>
    </row>
    <row r="1091" spans="1:5" ht="15" customHeight="1">
      <c r="A1091">
        <v>1089</v>
      </c>
      <c r="B1091" t="s">
        <v>4004</v>
      </c>
      <c r="C1091" t="s">
        <v>9</v>
      </c>
      <c r="D1091" t="s">
        <v>1554</v>
      </c>
      <c r="E1091" t="s">
        <v>5883</v>
      </c>
    </row>
    <row r="1092" spans="1:5" ht="15" customHeight="1">
      <c r="A1092">
        <v>1090</v>
      </c>
      <c r="B1092" t="s">
        <v>546</v>
      </c>
      <c r="C1092" t="s">
        <v>10</v>
      </c>
      <c r="D1092" t="s">
        <v>5884</v>
      </c>
      <c r="E1092" t="s">
        <v>5883</v>
      </c>
    </row>
    <row r="1093" spans="1:5" ht="15" customHeight="1">
      <c r="A1093">
        <v>1091</v>
      </c>
      <c r="B1093" t="s">
        <v>2582</v>
      </c>
      <c r="C1093" t="s">
        <v>9</v>
      </c>
      <c r="D1093" t="s">
        <v>1554</v>
      </c>
      <c r="E1093" t="s">
        <v>5883</v>
      </c>
    </row>
    <row r="1094" spans="1:5" ht="15" customHeight="1">
      <c r="A1094">
        <v>1092</v>
      </c>
      <c r="B1094" t="s">
        <v>1911</v>
      </c>
      <c r="C1094" t="s">
        <v>9</v>
      </c>
      <c r="D1094" t="s">
        <v>1554</v>
      </c>
      <c r="E1094" t="s">
        <v>5883</v>
      </c>
    </row>
    <row r="1095" spans="1:5" ht="15" customHeight="1">
      <c r="A1095">
        <v>1093</v>
      </c>
      <c r="B1095" t="s">
        <v>2977</v>
      </c>
      <c r="C1095" t="s">
        <v>9</v>
      </c>
      <c r="D1095" t="s">
        <v>1554</v>
      </c>
      <c r="E1095" t="s">
        <v>5883</v>
      </c>
    </row>
    <row r="1096" spans="1:5" ht="15" customHeight="1">
      <c r="A1096">
        <v>1094</v>
      </c>
      <c r="B1096" t="s">
        <v>1858</v>
      </c>
      <c r="C1096" t="s">
        <v>9</v>
      </c>
      <c r="D1096" t="s">
        <v>1554</v>
      </c>
      <c r="E1096" t="s">
        <v>5883</v>
      </c>
    </row>
    <row r="1097" spans="1:5" ht="15" customHeight="1">
      <c r="A1097">
        <v>1095</v>
      </c>
      <c r="B1097" t="s">
        <v>4519</v>
      </c>
      <c r="C1097" t="s">
        <v>9</v>
      </c>
      <c r="D1097" t="s">
        <v>1554</v>
      </c>
      <c r="E1097" t="s">
        <v>5883</v>
      </c>
    </row>
    <row r="1098" spans="1:5" ht="15" customHeight="1">
      <c r="A1098">
        <v>1096</v>
      </c>
      <c r="B1098" t="s">
        <v>532</v>
      </c>
      <c r="C1098" t="s">
        <v>10</v>
      </c>
      <c r="D1098" t="s">
        <v>5884</v>
      </c>
      <c r="E1098" t="s">
        <v>5883</v>
      </c>
    </row>
    <row r="1099" spans="1:5" ht="15" customHeight="1">
      <c r="A1099">
        <v>1097</v>
      </c>
      <c r="B1099" t="s">
        <v>531</v>
      </c>
      <c r="C1099" t="s">
        <v>10</v>
      </c>
      <c r="D1099" t="s">
        <v>5884</v>
      </c>
      <c r="E1099" t="s">
        <v>5883</v>
      </c>
    </row>
    <row r="1100" spans="1:5" ht="15" customHeight="1">
      <c r="A1100">
        <v>1098</v>
      </c>
      <c r="B1100" t="s">
        <v>3265</v>
      </c>
      <c r="C1100" t="s">
        <v>9</v>
      </c>
      <c r="D1100" t="s">
        <v>1554</v>
      </c>
      <c r="E1100" t="s">
        <v>5883</v>
      </c>
    </row>
    <row r="1101" spans="1:5" ht="15" customHeight="1">
      <c r="A1101">
        <v>1099</v>
      </c>
      <c r="B1101" t="s">
        <v>3001</v>
      </c>
      <c r="C1101" t="s">
        <v>9</v>
      </c>
      <c r="D1101" t="s">
        <v>1554</v>
      </c>
      <c r="E1101" t="s">
        <v>5883</v>
      </c>
    </row>
    <row r="1102" spans="1:5" ht="15" customHeight="1">
      <c r="A1102">
        <v>1100</v>
      </c>
      <c r="B1102" t="s">
        <v>2004</v>
      </c>
      <c r="C1102" t="s">
        <v>9</v>
      </c>
      <c r="D1102" t="s">
        <v>1554</v>
      </c>
      <c r="E1102" t="s">
        <v>5883</v>
      </c>
    </row>
    <row r="1103" spans="1:5" ht="15" customHeight="1">
      <c r="A1103">
        <v>1101</v>
      </c>
      <c r="B1103" t="s">
        <v>4142</v>
      </c>
      <c r="C1103" t="s">
        <v>9</v>
      </c>
      <c r="D1103" t="s">
        <v>1554</v>
      </c>
      <c r="E1103" t="s">
        <v>5883</v>
      </c>
    </row>
    <row r="1104" spans="1:5" ht="15" customHeight="1">
      <c r="A1104">
        <v>1102</v>
      </c>
      <c r="B1104" t="s">
        <v>3986</v>
      </c>
      <c r="C1104" t="s">
        <v>9</v>
      </c>
      <c r="D1104" t="s">
        <v>1554</v>
      </c>
      <c r="E1104" t="s">
        <v>5883</v>
      </c>
    </row>
    <row r="1105" spans="1:5" ht="15" customHeight="1">
      <c r="A1105">
        <v>1103</v>
      </c>
      <c r="B1105" t="s">
        <v>525</v>
      </c>
      <c r="C1105" t="s">
        <v>10</v>
      </c>
      <c r="D1105" t="s">
        <v>5884</v>
      </c>
      <c r="E1105" t="s">
        <v>5883</v>
      </c>
    </row>
    <row r="1106" spans="1:5" ht="15" customHeight="1">
      <c r="A1106">
        <v>1104</v>
      </c>
      <c r="B1106" t="s">
        <v>4479</v>
      </c>
      <c r="C1106" t="s">
        <v>9</v>
      </c>
      <c r="D1106" t="s">
        <v>1554</v>
      </c>
      <c r="E1106" t="s">
        <v>5883</v>
      </c>
    </row>
    <row r="1107" spans="1:5" ht="15" customHeight="1">
      <c r="A1107">
        <v>1105</v>
      </c>
      <c r="B1107" t="s">
        <v>2578</v>
      </c>
      <c r="C1107" t="s">
        <v>9</v>
      </c>
      <c r="D1107" t="s">
        <v>1554</v>
      </c>
      <c r="E1107" t="s">
        <v>5883</v>
      </c>
    </row>
    <row r="1108" spans="1:5" ht="15" customHeight="1">
      <c r="A1108">
        <v>1106</v>
      </c>
      <c r="B1108" t="s">
        <v>2985</v>
      </c>
      <c r="C1108" t="s">
        <v>9</v>
      </c>
      <c r="D1108" t="s">
        <v>1554</v>
      </c>
      <c r="E1108" t="s">
        <v>5883</v>
      </c>
    </row>
    <row r="1109" spans="1:5" ht="15" customHeight="1">
      <c r="A1109">
        <v>1107</v>
      </c>
      <c r="B1109" t="s">
        <v>197</v>
      </c>
      <c r="C1109" t="s">
        <v>8</v>
      </c>
      <c r="D1109" t="s">
        <v>201</v>
      </c>
      <c r="E1109" t="s">
        <v>5888</v>
      </c>
    </row>
    <row r="1110" spans="1:5" ht="15" customHeight="1">
      <c r="A1110">
        <v>1108</v>
      </c>
      <c r="B1110" t="s">
        <v>2854</v>
      </c>
      <c r="C1110" t="s">
        <v>9</v>
      </c>
      <c r="D1110" t="s">
        <v>1601</v>
      </c>
      <c r="E1110" t="s">
        <v>5888</v>
      </c>
    </row>
    <row r="1111" spans="1:5" ht="15" customHeight="1">
      <c r="A1111">
        <v>1109</v>
      </c>
      <c r="B1111" t="s">
        <v>574</v>
      </c>
      <c r="C1111" t="s">
        <v>10</v>
      </c>
      <c r="D1111" t="s">
        <v>5889</v>
      </c>
      <c r="E1111" t="s">
        <v>5888</v>
      </c>
    </row>
    <row r="1112" spans="1:5" ht="15" customHeight="1">
      <c r="A1112">
        <v>1110</v>
      </c>
      <c r="B1112" t="s">
        <v>1291</v>
      </c>
      <c r="C1112" t="s">
        <v>11</v>
      </c>
      <c r="D1112" t="s">
        <v>1293</v>
      </c>
      <c r="E1112" t="s">
        <v>5888</v>
      </c>
    </row>
    <row r="1113" spans="1:5" ht="15" customHeight="1">
      <c r="A1113">
        <v>1111</v>
      </c>
      <c r="B1113" t="s">
        <v>1287</v>
      </c>
      <c r="C1113" t="s">
        <v>11</v>
      </c>
      <c r="D1113" t="s">
        <v>1289</v>
      </c>
      <c r="E1113" t="s">
        <v>5888</v>
      </c>
    </row>
    <row r="1114" spans="1:5" ht="15" customHeight="1">
      <c r="A1114">
        <v>1112</v>
      </c>
      <c r="B1114" t="s">
        <v>1653</v>
      </c>
      <c r="C1114" t="s">
        <v>9</v>
      </c>
      <c r="D1114" t="s">
        <v>1601</v>
      </c>
      <c r="E1114" t="s">
        <v>5888</v>
      </c>
    </row>
    <row r="1115" spans="1:5" ht="15" customHeight="1">
      <c r="A1115">
        <v>1113</v>
      </c>
      <c r="B1115" t="s">
        <v>1645</v>
      </c>
      <c r="C1115" t="s">
        <v>9</v>
      </c>
      <c r="D1115" t="s">
        <v>1601</v>
      </c>
      <c r="E1115" t="s">
        <v>5888</v>
      </c>
    </row>
    <row r="1116" spans="1:5" ht="15" customHeight="1">
      <c r="A1116">
        <v>1114</v>
      </c>
      <c r="B1116" t="s">
        <v>1597</v>
      </c>
      <c r="C1116" t="s">
        <v>9</v>
      </c>
      <c r="D1116" t="s">
        <v>1601</v>
      </c>
      <c r="E1116" t="s">
        <v>5888</v>
      </c>
    </row>
    <row r="1117" spans="1:5" ht="15" customHeight="1">
      <c r="A1117">
        <v>1115</v>
      </c>
      <c r="B1117" t="s">
        <v>4045</v>
      </c>
      <c r="C1117" t="s">
        <v>9</v>
      </c>
      <c r="D1117" t="s">
        <v>1601</v>
      </c>
      <c r="E1117" t="s">
        <v>5888</v>
      </c>
    </row>
    <row r="1118" spans="1:5" ht="15" customHeight="1">
      <c r="A1118">
        <v>1116</v>
      </c>
      <c r="B1118" t="s">
        <v>1315</v>
      </c>
      <c r="C1118" t="s">
        <v>11</v>
      </c>
      <c r="D1118" t="s">
        <v>1317</v>
      </c>
      <c r="E1118" t="s">
        <v>5888</v>
      </c>
    </row>
    <row r="1119" spans="1:5" ht="15" customHeight="1">
      <c r="A1119">
        <v>1117</v>
      </c>
      <c r="B1119" t="s">
        <v>4526</v>
      </c>
      <c r="C1119" t="s">
        <v>9</v>
      </c>
      <c r="D1119" t="s">
        <v>1601</v>
      </c>
      <c r="E1119" t="s">
        <v>5888</v>
      </c>
    </row>
    <row r="1121" spans="1:3" ht="15" customHeight="1">
      <c r="A1121" s="8" t="s">
        <v>5890</v>
      </c>
    </row>
    <row r="1122" spans="1:3" ht="15" customHeight="1">
      <c r="A1122" t="s">
        <v>5867</v>
      </c>
      <c r="B1122" t="s">
        <v>5891</v>
      </c>
      <c r="C1122">
        <f>COUNTIF(E3:E1119,"EC1")</f>
        <v>667</v>
      </c>
    </row>
    <row r="1123" spans="1:3" ht="15" customHeight="1">
      <c r="A1123" t="s">
        <v>5877</v>
      </c>
      <c r="B1123" t="s">
        <v>5892</v>
      </c>
      <c r="C1123">
        <f>COUNTIF(E3:E1119,"EC2")</f>
        <v>153</v>
      </c>
    </row>
    <row r="1124" spans="1:3" ht="15" customHeight="1">
      <c r="A1124" t="s">
        <v>5882</v>
      </c>
      <c r="B1124" t="s">
        <v>5893</v>
      </c>
      <c r="C1124">
        <f>COUNTIF(E3:E1119,"EC4")</f>
        <v>176</v>
      </c>
    </row>
    <row r="1125" spans="1:3" ht="15" customHeight="1">
      <c r="A1125" t="s">
        <v>5883</v>
      </c>
      <c r="B1125" t="s">
        <v>5894</v>
      </c>
      <c r="C1125">
        <f>COUNTIF(E3:E1119,"EC5")</f>
        <v>110</v>
      </c>
    </row>
    <row r="1126" spans="1:3" ht="15" customHeight="1">
      <c r="A1126" t="s">
        <v>5888</v>
      </c>
      <c r="B1126" t="s">
        <v>5895</v>
      </c>
      <c r="C1126">
        <f>COUNTIF(E3:E1119,"EC8")</f>
        <v>11</v>
      </c>
    </row>
    <row r="1127" spans="1:3" ht="15" customHeight="1">
      <c r="A1127" t="s">
        <v>5896</v>
      </c>
      <c r="C1127">
        <f>SUM(C1122:C1126)</f>
        <v>1117</v>
      </c>
    </row>
    <row r="1129" spans="1:3" ht="15" customHeight="1">
      <c r="A1129" t="s">
        <v>5897</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2"/>
  <sheetViews>
    <sheetView zoomScaleNormal="100" workbookViewId="0"/>
  </sheetViews>
  <sheetFormatPr defaultColWidth="8.5703125" defaultRowHeight="14.45"/>
  <cols>
    <col min="1" max="1" width="4" customWidth="1"/>
    <col min="2" max="2" width="34" customWidth="1"/>
    <col min="3" max="3" width="18" customWidth="1"/>
    <col min="4" max="4" width="110" customWidth="1"/>
  </cols>
  <sheetData>
    <row r="1" spans="1:4" ht="15" customHeight="1">
      <c r="A1" s="8" t="s">
        <v>5898</v>
      </c>
    </row>
    <row r="2" spans="1:4" ht="23.25" customHeight="1">
      <c r="A2" s="9" t="s">
        <v>5899</v>
      </c>
      <c r="B2" s="9" t="s">
        <v>5900</v>
      </c>
      <c r="C2" s="9" t="s">
        <v>5901</v>
      </c>
      <c r="D2" s="9" t="s">
        <v>5902</v>
      </c>
    </row>
    <row r="3" spans="1:4" ht="15" customHeight="1">
      <c r="A3" s="8" t="s">
        <v>5903</v>
      </c>
    </row>
    <row r="4" spans="1:4" ht="27.75" customHeight="1">
      <c r="A4" s="7"/>
      <c r="B4" s="7" t="s">
        <v>5904</v>
      </c>
      <c r="C4" s="7" t="s">
        <v>5905</v>
      </c>
      <c r="D4" s="7" t="s">
        <v>5906</v>
      </c>
    </row>
    <row r="5" spans="1:4" ht="27.75" customHeight="1">
      <c r="A5" s="7"/>
      <c r="B5" s="7" t="s">
        <v>5907</v>
      </c>
      <c r="C5" s="7" t="s">
        <v>5908</v>
      </c>
      <c r="D5" s="7" t="s">
        <v>5909</v>
      </c>
    </row>
    <row r="6" spans="1:4" ht="27.75" customHeight="1">
      <c r="A6" s="7"/>
      <c r="B6" s="7" t="s">
        <v>5910</v>
      </c>
      <c r="C6" s="7" t="s">
        <v>5911</v>
      </c>
      <c r="D6" s="7" t="s">
        <v>5912</v>
      </c>
    </row>
    <row r="7" spans="1:4" ht="15" customHeight="1">
      <c r="A7" s="7"/>
      <c r="B7" s="7" t="s">
        <v>5913</v>
      </c>
      <c r="C7" s="7" t="s">
        <v>5908</v>
      </c>
      <c r="D7" s="7" t="s">
        <v>5914</v>
      </c>
    </row>
    <row r="8" spans="1:4" ht="15" customHeight="1">
      <c r="A8" s="7"/>
      <c r="B8" s="7" t="s">
        <v>5915</v>
      </c>
      <c r="C8" s="7" t="s">
        <v>5908</v>
      </c>
      <c r="D8" s="7" t="s">
        <v>5916</v>
      </c>
    </row>
    <row r="9" spans="1:4" ht="15" customHeight="1">
      <c r="A9" s="7"/>
      <c r="B9" s="7" t="s">
        <v>5917</v>
      </c>
      <c r="C9" s="7" t="s">
        <v>5918</v>
      </c>
      <c r="D9" s="7" t="s">
        <v>5919</v>
      </c>
    </row>
    <row r="10" spans="1:4" ht="41.25" customHeight="1">
      <c r="A10" s="7"/>
      <c r="B10" s="7" t="s">
        <v>5920</v>
      </c>
      <c r="C10" s="33" t="s">
        <v>5921</v>
      </c>
      <c r="D10" s="7" t="s">
        <v>5922</v>
      </c>
    </row>
    <row r="12" spans="1:4" ht="15" customHeight="1">
      <c r="A12" s="8" t="s">
        <v>5923</v>
      </c>
    </row>
    <row r="13" spans="1:4" ht="15" customHeight="1">
      <c r="A13" s="7"/>
      <c r="B13" s="7" t="s">
        <v>5904</v>
      </c>
      <c r="C13" s="7" t="s">
        <v>5924</v>
      </c>
      <c r="D13" s="7" t="s">
        <v>5925</v>
      </c>
    </row>
    <row r="14" spans="1:4" ht="27.75" customHeight="1">
      <c r="A14" s="7"/>
      <c r="B14" s="7" t="s">
        <v>5907</v>
      </c>
      <c r="C14" s="7" t="s">
        <v>5905</v>
      </c>
      <c r="D14" s="7" t="s">
        <v>5926</v>
      </c>
    </row>
    <row r="15" spans="1:4" ht="27.75" customHeight="1">
      <c r="A15" s="7"/>
      <c r="B15" s="7" t="s">
        <v>5910</v>
      </c>
      <c r="C15" s="7" t="s">
        <v>5905</v>
      </c>
      <c r="D15" s="7" t="s">
        <v>5927</v>
      </c>
    </row>
    <row r="16" spans="1:4" ht="15" customHeight="1">
      <c r="A16" s="7"/>
      <c r="B16" s="7" t="s">
        <v>5913</v>
      </c>
      <c r="C16" s="7" t="s">
        <v>5908</v>
      </c>
      <c r="D16" s="7" t="s">
        <v>5928</v>
      </c>
    </row>
    <row r="17" spans="1:4" ht="15" customHeight="1">
      <c r="A17" s="7"/>
      <c r="B17" s="7" t="s">
        <v>5915</v>
      </c>
      <c r="C17" s="7" t="s">
        <v>5908</v>
      </c>
      <c r="D17" s="7" t="s">
        <v>5929</v>
      </c>
    </row>
    <row r="18" spans="1:4" ht="15" customHeight="1">
      <c r="A18" s="7"/>
      <c r="B18" s="7" t="s">
        <v>5930</v>
      </c>
      <c r="C18" s="7" t="s">
        <v>5918</v>
      </c>
      <c r="D18" s="7" t="s">
        <v>5931</v>
      </c>
    </row>
    <row r="19" spans="1:4" ht="27.75" customHeight="1">
      <c r="A19" s="7"/>
      <c r="B19" s="7" t="s">
        <v>5920</v>
      </c>
      <c r="C19" s="33" t="s">
        <v>5932</v>
      </c>
      <c r="D19" s="7" t="s">
        <v>5933</v>
      </c>
    </row>
    <row r="21" spans="1:4" ht="15" customHeight="1">
      <c r="A21" s="8" t="s">
        <v>5934</v>
      </c>
    </row>
    <row r="22" spans="1:4" ht="15" customHeight="1">
      <c r="A22" s="7"/>
      <c r="B22" s="7" t="s">
        <v>5904</v>
      </c>
      <c r="C22" s="7" t="s">
        <v>5924</v>
      </c>
      <c r="D22" s="7" t="s">
        <v>5935</v>
      </c>
    </row>
    <row r="23" spans="1:4" ht="27.75" customHeight="1">
      <c r="A23" s="7"/>
      <c r="B23" s="7" t="s">
        <v>5907</v>
      </c>
      <c r="C23" s="7" t="s">
        <v>5905</v>
      </c>
      <c r="D23" s="7" t="s">
        <v>5936</v>
      </c>
    </row>
    <row r="24" spans="1:4" ht="27.75" customHeight="1">
      <c r="A24" s="7"/>
      <c r="B24" s="7" t="s">
        <v>5910</v>
      </c>
      <c r="C24" s="7" t="s">
        <v>5905</v>
      </c>
      <c r="D24" s="7" t="s">
        <v>5937</v>
      </c>
    </row>
    <row r="25" spans="1:4" ht="15" customHeight="1">
      <c r="A25" s="7"/>
      <c r="B25" s="7" t="s">
        <v>5913</v>
      </c>
      <c r="C25" s="7" t="s">
        <v>5938</v>
      </c>
      <c r="D25" s="7" t="s">
        <v>5939</v>
      </c>
    </row>
    <row r="26" spans="1:4" ht="15" customHeight="1">
      <c r="A26" s="7"/>
      <c r="B26" s="7" t="s">
        <v>5915</v>
      </c>
      <c r="C26" s="7" t="s">
        <v>5908</v>
      </c>
      <c r="D26" s="7" t="s">
        <v>5940</v>
      </c>
    </row>
    <row r="27" spans="1:4" ht="15" customHeight="1">
      <c r="A27" s="7"/>
      <c r="B27" s="7" t="s">
        <v>5930</v>
      </c>
      <c r="C27" s="7" t="s">
        <v>5918</v>
      </c>
      <c r="D27" s="7" t="s">
        <v>5941</v>
      </c>
    </row>
    <row r="28" spans="1:4" ht="27.75" customHeight="1">
      <c r="A28" s="7"/>
      <c r="B28" s="7" t="s">
        <v>5920</v>
      </c>
      <c r="C28" s="33" t="s">
        <v>5932</v>
      </c>
      <c r="D28" s="7" t="s">
        <v>5942</v>
      </c>
    </row>
    <row r="30" spans="1:4" ht="15" customHeight="1">
      <c r="A30" s="8" t="s">
        <v>5943</v>
      </c>
    </row>
    <row r="31" spans="1:4" ht="41.25" customHeight="1">
      <c r="A31" s="7"/>
      <c r="B31" s="7" t="s">
        <v>5944</v>
      </c>
      <c r="C31" s="7" t="s">
        <v>5945</v>
      </c>
      <c r="D31" s="7" t="s">
        <v>5946</v>
      </c>
    </row>
    <row r="32" spans="1:4" ht="27.75" customHeight="1">
      <c r="A32" s="7"/>
      <c r="B32" s="7" t="s">
        <v>5947</v>
      </c>
      <c r="C32" s="7" t="s">
        <v>5948</v>
      </c>
      <c r="D32" s="7" t="s">
        <v>5949</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227"/>
  <sheetViews>
    <sheetView zoomScaleNormal="100" workbookViewId="0">
      <pane xSplit="2" ySplit="1" topLeftCell="C2" activePane="bottomRight" state="frozen"/>
      <selection pane="bottomRight"/>
      <selection pane="bottomLeft" activeCell="A2" sqref="A2"/>
      <selection pane="topRight" activeCell="C1" sqref="C1"/>
    </sheetView>
  </sheetViews>
  <sheetFormatPr defaultColWidth="8.7109375" defaultRowHeight="14.45"/>
  <cols>
    <col min="1" max="11" width="5" customWidth="1"/>
    <col min="12" max="12" width="26" customWidth="1"/>
    <col min="13" max="13" width="50" customWidth="1"/>
  </cols>
  <sheetData>
    <row r="1" spans="1:13" ht="15" customHeight="1">
      <c r="A1" s="34" t="s">
        <v>446</v>
      </c>
      <c r="B1" s="34" t="s">
        <v>55</v>
      </c>
      <c r="C1" s="34" t="s">
        <v>57</v>
      </c>
      <c r="D1" s="34" t="s">
        <v>58</v>
      </c>
      <c r="E1" s="34" t="s">
        <v>59</v>
      </c>
      <c r="F1" s="34" t="s">
        <v>60</v>
      </c>
      <c r="G1" s="34" t="s">
        <v>61</v>
      </c>
      <c r="H1" s="34" t="s">
        <v>4972</v>
      </c>
      <c r="I1" s="34" t="s">
        <v>5950</v>
      </c>
      <c r="J1" s="34" t="s">
        <v>5951</v>
      </c>
      <c r="K1" s="34" t="s">
        <v>450</v>
      </c>
      <c r="L1" s="9" t="s">
        <v>5952</v>
      </c>
      <c r="M1" s="26"/>
    </row>
    <row r="2" spans="1:13" ht="15" customHeight="1">
      <c r="A2">
        <v>1</v>
      </c>
      <c r="B2" t="s">
        <v>8</v>
      </c>
      <c r="C2" t="s">
        <v>70</v>
      </c>
      <c r="D2" t="s">
        <v>71</v>
      </c>
      <c r="E2">
        <v>2018</v>
      </c>
      <c r="F2" t="s">
        <v>72</v>
      </c>
      <c r="G2" t="s">
        <v>73</v>
      </c>
      <c r="H2" t="s">
        <v>5953</v>
      </c>
      <c r="I2" t="s">
        <v>91</v>
      </c>
      <c r="J2" t="s">
        <v>5954</v>
      </c>
      <c r="K2" t="s">
        <v>5955</v>
      </c>
      <c r="L2" t="s">
        <v>5956</v>
      </c>
    </row>
    <row r="3" spans="1:13" ht="15" customHeight="1">
      <c r="A3">
        <v>2</v>
      </c>
      <c r="B3" t="s">
        <v>8</v>
      </c>
      <c r="C3" t="s">
        <v>79</v>
      </c>
      <c r="D3" t="s">
        <v>80</v>
      </c>
      <c r="E3">
        <v>2026</v>
      </c>
      <c r="F3" t="s">
        <v>615</v>
      </c>
      <c r="G3" t="s">
        <v>79</v>
      </c>
      <c r="H3" t="s">
        <v>5953</v>
      </c>
      <c r="I3" t="s">
        <v>91</v>
      </c>
      <c r="J3" t="s">
        <v>5954</v>
      </c>
      <c r="K3" t="s">
        <v>5955</v>
      </c>
      <c r="L3" t="s">
        <v>5956</v>
      </c>
    </row>
    <row r="4" spans="1:13" ht="15" customHeight="1">
      <c r="A4">
        <v>3</v>
      </c>
      <c r="B4" t="s">
        <v>8</v>
      </c>
      <c r="C4" t="s">
        <v>83</v>
      </c>
      <c r="D4" t="s">
        <v>84</v>
      </c>
      <c r="F4" t="s">
        <v>616</v>
      </c>
      <c r="G4" t="s">
        <v>85</v>
      </c>
      <c r="H4" t="s">
        <v>5953</v>
      </c>
      <c r="I4" t="s">
        <v>91</v>
      </c>
      <c r="J4" t="s">
        <v>5954</v>
      </c>
      <c r="K4" t="s">
        <v>5955</v>
      </c>
      <c r="L4" t="s">
        <v>5956</v>
      </c>
    </row>
    <row r="5" spans="1:13" ht="15" customHeight="1">
      <c r="A5">
        <v>4</v>
      </c>
      <c r="B5" t="s">
        <v>8</v>
      </c>
      <c r="C5" t="s">
        <v>93</v>
      </c>
      <c r="D5" t="s">
        <v>94</v>
      </c>
      <c r="E5">
        <v>2023</v>
      </c>
      <c r="F5" t="s">
        <v>618</v>
      </c>
      <c r="G5" t="s">
        <v>95</v>
      </c>
      <c r="H5" t="s">
        <v>5953</v>
      </c>
      <c r="I5" t="s">
        <v>91</v>
      </c>
      <c r="J5" t="s">
        <v>5954</v>
      </c>
      <c r="K5" t="s">
        <v>5955</v>
      </c>
      <c r="L5" t="s">
        <v>5956</v>
      </c>
    </row>
    <row r="6" spans="1:13" ht="15" customHeight="1">
      <c r="A6">
        <v>5</v>
      </c>
      <c r="B6" t="s">
        <v>8</v>
      </c>
      <c r="C6" t="s">
        <v>98</v>
      </c>
      <c r="D6" t="s">
        <v>99</v>
      </c>
      <c r="E6">
        <v>2024</v>
      </c>
      <c r="F6" t="s">
        <v>620</v>
      </c>
      <c r="G6" t="s">
        <v>100</v>
      </c>
      <c r="H6" t="s">
        <v>5953</v>
      </c>
      <c r="I6" t="s">
        <v>91</v>
      </c>
      <c r="J6" t="s">
        <v>5954</v>
      </c>
      <c r="K6" t="s">
        <v>5955</v>
      </c>
      <c r="L6" t="s">
        <v>5956</v>
      </c>
    </row>
    <row r="7" spans="1:13" ht="15" customHeight="1">
      <c r="A7">
        <v>6</v>
      </c>
      <c r="B7" t="s">
        <v>8</v>
      </c>
      <c r="C7" t="s">
        <v>103</v>
      </c>
      <c r="D7" t="s">
        <v>104</v>
      </c>
      <c r="E7">
        <v>2026</v>
      </c>
      <c r="F7" t="s">
        <v>105</v>
      </c>
      <c r="H7" t="s">
        <v>5953</v>
      </c>
      <c r="I7" t="s">
        <v>91</v>
      </c>
      <c r="J7" t="s">
        <v>5954</v>
      </c>
      <c r="K7" t="s">
        <v>5955</v>
      </c>
      <c r="L7" t="s">
        <v>5956</v>
      </c>
    </row>
    <row r="8" spans="1:13" ht="15" customHeight="1">
      <c r="A8">
        <v>7</v>
      </c>
      <c r="B8" t="s">
        <v>8</v>
      </c>
      <c r="C8" t="s">
        <v>111</v>
      </c>
      <c r="D8" t="s">
        <v>112</v>
      </c>
      <c r="E8">
        <v>2025</v>
      </c>
      <c r="F8" t="s">
        <v>622</v>
      </c>
      <c r="G8" t="s">
        <v>113</v>
      </c>
      <c r="H8" t="s">
        <v>5953</v>
      </c>
      <c r="I8" t="s">
        <v>91</v>
      </c>
      <c r="J8" t="s">
        <v>5954</v>
      </c>
      <c r="K8" t="s">
        <v>5955</v>
      </c>
      <c r="L8" t="s">
        <v>5956</v>
      </c>
    </row>
    <row r="9" spans="1:13" ht="15" customHeight="1">
      <c r="A9">
        <v>8</v>
      </c>
      <c r="B9" t="s">
        <v>12</v>
      </c>
      <c r="C9" t="s">
        <v>116</v>
      </c>
      <c r="E9" t="s">
        <v>709</v>
      </c>
      <c r="F9" t="s">
        <v>1173</v>
      </c>
      <c r="G9" t="s">
        <v>1174</v>
      </c>
      <c r="H9" t="s">
        <v>5953</v>
      </c>
      <c r="I9" t="s">
        <v>91</v>
      </c>
      <c r="J9" t="s">
        <v>5954</v>
      </c>
      <c r="K9" t="s">
        <v>5957</v>
      </c>
      <c r="L9" t="s">
        <v>5956</v>
      </c>
    </row>
    <row r="10" spans="1:13" ht="15" customHeight="1">
      <c r="A10">
        <v>9</v>
      </c>
      <c r="B10" t="s">
        <v>8</v>
      </c>
      <c r="C10" t="s">
        <v>121</v>
      </c>
      <c r="D10" t="s">
        <v>122</v>
      </c>
      <c r="E10">
        <v>2024</v>
      </c>
      <c r="F10" t="s">
        <v>623</v>
      </c>
      <c r="G10" t="s">
        <v>123</v>
      </c>
      <c r="H10" t="s">
        <v>5953</v>
      </c>
      <c r="I10" t="s">
        <v>91</v>
      </c>
      <c r="J10" t="s">
        <v>5954</v>
      </c>
      <c r="K10" t="s">
        <v>5955</v>
      </c>
      <c r="L10" t="s">
        <v>5956</v>
      </c>
    </row>
    <row r="11" spans="1:13" ht="15" customHeight="1">
      <c r="A11">
        <v>10</v>
      </c>
      <c r="B11" t="s">
        <v>5958</v>
      </c>
      <c r="C11" t="s">
        <v>131</v>
      </c>
      <c r="D11" t="s">
        <v>132</v>
      </c>
      <c r="E11">
        <v>2026</v>
      </c>
      <c r="F11" t="s">
        <v>133</v>
      </c>
      <c r="G11" t="s">
        <v>134</v>
      </c>
      <c r="H11" t="s">
        <v>5953</v>
      </c>
      <c r="I11" t="s">
        <v>91</v>
      </c>
      <c r="J11" t="s">
        <v>5954</v>
      </c>
      <c r="K11" t="s">
        <v>5955</v>
      </c>
      <c r="L11" t="s">
        <v>5956</v>
      </c>
    </row>
    <row r="12" spans="1:13" ht="15" customHeight="1">
      <c r="A12">
        <v>11</v>
      </c>
      <c r="B12" t="s">
        <v>8</v>
      </c>
      <c r="C12" t="s">
        <v>137</v>
      </c>
      <c r="D12" t="s">
        <v>138</v>
      </c>
      <c r="E12">
        <v>2019</v>
      </c>
      <c r="F12" t="s">
        <v>625</v>
      </c>
      <c r="G12" t="s">
        <v>139</v>
      </c>
      <c r="H12" t="s">
        <v>5953</v>
      </c>
      <c r="I12" t="s">
        <v>91</v>
      </c>
      <c r="J12" t="s">
        <v>5954</v>
      </c>
      <c r="K12" t="s">
        <v>5955</v>
      </c>
      <c r="L12" t="s">
        <v>5956</v>
      </c>
    </row>
    <row r="13" spans="1:13" ht="15" customHeight="1">
      <c r="A13">
        <v>12</v>
      </c>
      <c r="B13" t="s">
        <v>8</v>
      </c>
      <c r="C13" t="s">
        <v>142</v>
      </c>
      <c r="D13" t="s">
        <v>143</v>
      </c>
      <c r="E13">
        <v>2023</v>
      </c>
      <c r="F13" t="s">
        <v>144</v>
      </c>
      <c r="G13" t="s">
        <v>145</v>
      </c>
      <c r="H13" t="s">
        <v>5953</v>
      </c>
      <c r="I13" t="s">
        <v>91</v>
      </c>
      <c r="J13" t="s">
        <v>5954</v>
      </c>
      <c r="K13" t="s">
        <v>5955</v>
      </c>
      <c r="L13" t="s">
        <v>5956</v>
      </c>
    </row>
    <row r="14" spans="1:13" ht="15" customHeight="1">
      <c r="A14">
        <v>13</v>
      </c>
      <c r="B14" t="s">
        <v>8</v>
      </c>
      <c r="C14" t="s">
        <v>148</v>
      </c>
      <c r="D14" t="s">
        <v>149</v>
      </c>
      <c r="E14">
        <v>2023</v>
      </c>
      <c r="F14" t="s">
        <v>150</v>
      </c>
      <c r="G14" t="s">
        <v>151</v>
      </c>
      <c r="H14" t="s">
        <v>5953</v>
      </c>
      <c r="I14" t="s">
        <v>91</v>
      </c>
      <c r="J14" t="s">
        <v>5954</v>
      </c>
      <c r="K14" t="s">
        <v>5955</v>
      </c>
      <c r="L14" t="s">
        <v>5956</v>
      </c>
    </row>
    <row r="15" spans="1:13" ht="15" customHeight="1">
      <c r="A15">
        <v>14</v>
      </c>
      <c r="B15" t="s">
        <v>8</v>
      </c>
      <c r="C15" t="s">
        <v>154</v>
      </c>
      <c r="E15">
        <v>2025</v>
      </c>
      <c r="F15" t="s">
        <v>155</v>
      </c>
      <c r="G15" t="s">
        <v>156</v>
      </c>
      <c r="H15" t="s">
        <v>5953</v>
      </c>
      <c r="I15" t="s">
        <v>91</v>
      </c>
      <c r="J15" t="s">
        <v>5954</v>
      </c>
      <c r="K15" t="s">
        <v>5955</v>
      </c>
      <c r="L15" t="s">
        <v>5956</v>
      </c>
    </row>
    <row r="16" spans="1:13" ht="15" customHeight="1">
      <c r="A16">
        <v>15</v>
      </c>
      <c r="B16" t="s">
        <v>8</v>
      </c>
      <c r="C16" t="s">
        <v>158</v>
      </c>
      <c r="D16" t="s">
        <v>159</v>
      </c>
      <c r="E16">
        <v>2021</v>
      </c>
      <c r="F16" t="s">
        <v>160</v>
      </c>
      <c r="G16" t="s">
        <v>161</v>
      </c>
      <c r="H16" t="s">
        <v>5953</v>
      </c>
      <c r="I16" t="s">
        <v>91</v>
      </c>
      <c r="J16" t="s">
        <v>5954</v>
      </c>
      <c r="K16" t="s">
        <v>5955</v>
      </c>
      <c r="L16" t="s">
        <v>5956</v>
      </c>
    </row>
    <row r="17" spans="1:12" ht="15" customHeight="1">
      <c r="A17">
        <v>16</v>
      </c>
      <c r="B17" t="s">
        <v>8</v>
      </c>
      <c r="C17" t="s">
        <v>170</v>
      </c>
      <c r="D17" t="s">
        <v>171</v>
      </c>
      <c r="E17">
        <v>2021</v>
      </c>
      <c r="F17" t="s">
        <v>160</v>
      </c>
      <c r="G17" t="s">
        <v>172</v>
      </c>
      <c r="H17" t="s">
        <v>5953</v>
      </c>
      <c r="I17" t="s">
        <v>91</v>
      </c>
      <c r="J17" t="s">
        <v>5954</v>
      </c>
      <c r="K17" t="s">
        <v>5955</v>
      </c>
      <c r="L17" t="s">
        <v>5956</v>
      </c>
    </row>
    <row r="18" spans="1:12" ht="15" customHeight="1">
      <c r="A18">
        <v>17</v>
      </c>
      <c r="B18" t="s">
        <v>8</v>
      </c>
      <c r="C18" t="s">
        <v>175</v>
      </c>
      <c r="E18">
        <v>2026</v>
      </c>
      <c r="F18" t="s">
        <v>627</v>
      </c>
      <c r="G18" t="s">
        <v>176</v>
      </c>
      <c r="H18" t="s">
        <v>5953</v>
      </c>
      <c r="I18" t="s">
        <v>91</v>
      </c>
      <c r="J18" t="s">
        <v>5954</v>
      </c>
      <c r="K18" t="s">
        <v>5955</v>
      </c>
      <c r="L18" t="s">
        <v>5956</v>
      </c>
    </row>
    <row r="19" spans="1:12" ht="15" customHeight="1">
      <c r="A19">
        <v>18</v>
      </c>
      <c r="B19" t="s">
        <v>8</v>
      </c>
      <c r="C19" t="s">
        <v>179</v>
      </c>
      <c r="D19" t="s">
        <v>180</v>
      </c>
      <c r="E19">
        <v>2026</v>
      </c>
      <c r="F19" t="s">
        <v>181</v>
      </c>
      <c r="G19" t="s">
        <v>182</v>
      </c>
      <c r="H19" t="s">
        <v>5953</v>
      </c>
      <c r="I19" t="s">
        <v>91</v>
      </c>
      <c r="J19" t="s">
        <v>5954</v>
      </c>
      <c r="K19" t="s">
        <v>5955</v>
      </c>
      <c r="L19" t="s">
        <v>5956</v>
      </c>
    </row>
    <row r="20" spans="1:12" ht="15" customHeight="1">
      <c r="A20">
        <v>19</v>
      </c>
      <c r="B20" t="s">
        <v>8</v>
      </c>
      <c r="C20" t="s">
        <v>185</v>
      </c>
      <c r="D20" t="s">
        <v>186</v>
      </c>
      <c r="E20">
        <v>2021</v>
      </c>
      <c r="F20" t="s">
        <v>628</v>
      </c>
      <c r="G20" t="s">
        <v>187</v>
      </c>
      <c r="H20" t="s">
        <v>5953</v>
      </c>
      <c r="I20" t="s">
        <v>91</v>
      </c>
      <c r="J20" t="s">
        <v>5954</v>
      </c>
      <c r="K20" t="s">
        <v>5955</v>
      </c>
      <c r="L20" t="s">
        <v>5956</v>
      </c>
    </row>
    <row r="21" spans="1:12" ht="15" customHeight="1">
      <c r="A21">
        <v>20</v>
      </c>
      <c r="B21" t="s">
        <v>8</v>
      </c>
      <c r="C21" t="s">
        <v>202</v>
      </c>
      <c r="D21" t="s">
        <v>203</v>
      </c>
      <c r="E21">
        <v>2021</v>
      </c>
      <c r="F21" t="s">
        <v>150</v>
      </c>
      <c r="G21" t="s">
        <v>204</v>
      </c>
      <c r="H21" t="s">
        <v>5953</v>
      </c>
      <c r="I21" t="s">
        <v>91</v>
      </c>
      <c r="J21" t="s">
        <v>5954</v>
      </c>
      <c r="K21" t="s">
        <v>5955</v>
      </c>
      <c r="L21" t="s">
        <v>5956</v>
      </c>
    </row>
    <row r="22" spans="1:12" ht="15" customHeight="1">
      <c r="A22">
        <v>21</v>
      </c>
      <c r="B22" t="s">
        <v>8</v>
      </c>
      <c r="C22" t="s">
        <v>207</v>
      </c>
      <c r="D22" t="s">
        <v>208</v>
      </c>
      <c r="E22">
        <v>2025</v>
      </c>
      <c r="F22" t="s">
        <v>209</v>
      </c>
      <c r="G22" t="s">
        <v>210</v>
      </c>
      <c r="H22" t="s">
        <v>5953</v>
      </c>
      <c r="I22" t="s">
        <v>91</v>
      </c>
      <c r="J22" t="s">
        <v>5954</v>
      </c>
      <c r="K22" t="s">
        <v>5955</v>
      </c>
      <c r="L22" t="s">
        <v>5956</v>
      </c>
    </row>
    <row r="23" spans="1:12" ht="15" customHeight="1">
      <c r="A23">
        <v>22</v>
      </c>
      <c r="B23" t="s">
        <v>8</v>
      </c>
      <c r="C23" t="s">
        <v>217</v>
      </c>
      <c r="D23" t="s">
        <v>218</v>
      </c>
      <c r="E23">
        <v>2025</v>
      </c>
      <c r="F23" t="s">
        <v>630</v>
      </c>
      <c r="G23" t="s">
        <v>219</v>
      </c>
      <c r="H23" t="s">
        <v>5953</v>
      </c>
      <c r="I23" t="s">
        <v>91</v>
      </c>
      <c r="J23" t="s">
        <v>5954</v>
      </c>
      <c r="K23" t="s">
        <v>5955</v>
      </c>
      <c r="L23" t="s">
        <v>5956</v>
      </c>
    </row>
    <row r="24" spans="1:12" ht="15" customHeight="1">
      <c r="A24">
        <v>23</v>
      </c>
      <c r="B24" t="s">
        <v>8</v>
      </c>
      <c r="C24" t="s">
        <v>222</v>
      </c>
      <c r="D24" t="s">
        <v>223</v>
      </c>
      <c r="E24">
        <v>2023</v>
      </c>
      <c r="F24" t="s">
        <v>150</v>
      </c>
      <c r="G24" t="s">
        <v>224</v>
      </c>
      <c r="H24" t="s">
        <v>5953</v>
      </c>
      <c r="I24" t="s">
        <v>91</v>
      </c>
      <c r="J24" t="s">
        <v>5954</v>
      </c>
      <c r="K24" t="s">
        <v>5955</v>
      </c>
      <c r="L24" t="s">
        <v>5956</v>
      </c>
    </row>
    <row r="25" spans="1:12" ht="15" customHeight="1">
      <c r="A25">
        <v>24</v>
      </c>
      <c r="B25" t="s">
        <v>8</v>
      </c>
      <c r="C25" t="s">
        <v>227</v>
      </c>
      <c r="D25" t="s">
        <v>228</v>
      </c>
      <c r="E25">
        <v>2025</v>
      </c>
      <c r="F25" t="s">
        <v>229</v>
      </c>
      <c r="G25" t="s">
        <v>230</v>
      </c>
      <c r="H25" t="s">
        <v>5953</v>
      </c>
      <c r="I25" t="s">
        <v>91</v>
      </c>
      <c r="J25" t="s">
        <v>5954</v>
      </c>
      <c r="K25" t="s">
        <v>5955</v>
      </c>
      <c r="L25" t="s">
        <v>5956</v>
      </c>
    </row>
    <row r="26" spans="1:12" ht="15" customHeight="1">
      <c r="A26">
        <v>25</v>
      </c>
      <c r="B26" t="s">
        <v>8</v>
      </c>
      <c r="C26" t="s">
        <v>233</v>
      </c>
      <c r="D26" t="s">
        <v>234</v>
      </c>
      <c r="F26" t="s">
        <v>631</v>
      </c>
      <c r="G26" t="s">
        <v>235</v>
      </c>
      <c r="H26" t="s">
        <v>5953</v>
      </c>
      <c r="I26" t="s">
        <v>91</v>
      </c>
      <c r="J26" t="s">
        <v>5954</v>
      </c>
      <c r="K26" t="s">
        <v>5955</v>
      </c>
      <c r="L26" t="s">
        <v>5956</v>
      </c>
    </row>
    <row r="27" spans="1:12" ht="15" customHeight="1">
      <c r="A27">
        <v>26</v>
      </c>
      <c r="B27" t="s">
        <v>8</v>
      </c>
      <c r="C27" t="s">
        <v>238</v>
      </c>
      <c r="D27" t="s">
        <v>239</v>
      </c>
      <c r="E27">
        <v>2026</v>
      </c>
      <c r="F27" t="s">
        <v>632</v>
      </c>
      <c r="G27" t="s">
        <v>240</v>
      </c>
      <c r="H27" t="s">
        <v>5953</v>
      </c>
      <c r="I27" t="s">
        <v>91</v>
      </c>
      <c r="J27" t="s">
        <v>5954</v>
      </c>
      <c r="K27" t="s">
        <v>5955</v>
      </c>
      <c r="L27" t="s">
        <v>5956</v>
      </c>
    </row>
    <row r="28" spans="1:12" ht="15" customHeight="1">
      <c r="A28">
        <v>27</v>
      </c>
      <c r="B28" t="s">
        <v>8</v>
      </c>
      <c r="C28" t="s">
        <v>243</v>
      </c>
      <c r="D28" t="s">
        <v>244</v>
      </c>
      <c r="H28" t="s">
        <v>5953</v>
      </c>
      <c r="I28" t="s">
        <v>91</v>
      </c>
      <c r="J28" t="s">
        <v>5954</v>
      </c>
      <c r="K28" t="s">
        <v>5955</v>
      </c>
      <c r="L28" t="s">
        <v>5956</v>
      </c>
    </row>
    <row r="29" spans="1:12" ht="15" customHeight="1">
      <c r="A29">
        <v>28</v>
      </c>
      <c r="B29" t="s">
        <v>5959</v>
      </c>
      <c r="C29" t="s">
        <v>246</v>
      </c>
      <c r="D29" t="s">
        <v>247</v>
      </c>
      <c r="E29">
        <v>2025</v>
      </c>
      <c r="F29" t="s">
        <v>633</v>
      </c>
      <c r="G29" t="s">
        <v>248</v>
      </c>
      <c r="H29" t="s">
        <v>5953</v>
      </c>
      <c r="I29" t="s">
        <v>91</v>
      </c>
      <c r="J29" t="s">
        <v>5954</v>
      </c>
      <c r="K29" t="s">
        <v>5955</v>
      </c>
      <c r="L29" t="s">
        <v>5956</v>
      </c>
    </row>
    <row r="30" spans="1:12" ht="15" customHeight="1">
      <c r="A30">
        <v>29</v>
      </c>
      <c r="B30" t="s">
        <v>8</v>
      </c>
      <c r="C30" t="s">
        <v>251</v>
      </c>
      <c r="D30" t="s">
        <v>252</v>
      </c>
      <c r="E30">
        <v>2024</v>
      </c>
      <c r="H30" t="s">
        <v>5953</v>
      </c>
      <c r="I30" t="s">
        <v>91</v>
      </c>
      <c r="J30" t="s">
        <v>5954</v>
      </c>
      <c r="K30" t="s">
        <v>5955</v>
      </c>
      <c r="L30" t="s">
        <v>5956</v>
      </c>
    </row>
    <row r="31" spans="1:12" ht="15" customHeight="1">
      <c r="A31">
        <v>30</v>
      </c>
      <c r="B31" t="s">
        <v>8</v>
      </c>
      <c r="C31" t="s">
        <v>254</v>
      </c>
      <c r="D31" t="s">
        <v>255</v>
      </c>
      <c r="E31">
        <v>2025</v>
      </c>
      <c r="F31" t="s">
        <v>634</v>
      </c>
      <c r="G31" t="s">
        <v>256</v>
      </c>
      <c r="H31" t="s">
        <v>5953</v>
      </c>
      <c r="I31" t="s">
        <v>91</v>
      </c>
      <c r="J31" t="s">
        <v>5954</v>
      </c>
      <c r="K31" t="s">
        <v>5955</v>
      </c>
      <c r="L31" t="s">
        <v>5956</v>
      </c>
    </row>
    <row r="32" spans="1:12" ht="15" customHeight="1">
      <c r="A32">
        <v>31</v>
      </c>
      <c r="B32" t="s">
        <v>8</v>
      </c>
      <c r="C32" t="s">
        <v>259</v>
      </c>
      <c r="D32" t="s">
        <v>260</v>
      </c>
      <c r="E32">
        <v>2026</v>
      </c>
      <c r="F32" t="s">
        <v>261</v>
      </c>
      <c r="G32" t="s">
        <v>262</v>
      </c>
      <c r="H32" t="s">
        <v>5953</v>
      </c>
      <c r="I32" t="s">
        <v>91</v>
      </c>
      <c r="J32" t="s">
        <v>5954</v>
      </c>
      <c r="K32" t="s">
        <v>5955</v>
      </c>
      <c r="L32" t="s">
        <v>5956</v>
      </c>
    </row>
    <row r="33" spans="1:12" ht="15" customHeight="1">
      <c r="A33">
        <v>32</v>
      </c>
      <c r="B33" t="s">
        <v>8</v>
      </c>
      <c r="C33" t="s">
        <v>264</v>
      </c>
      <c r="D33" t="s">
        <v>265</v>
      </c>
      <c r="H33" t="s">
        <v>5953</v>
      </c>
      <c r="I33" t="s">
        <v>91</v>
      </c>
      <c r="J33" t="s">
        <v>5954</v>
      </c>
      <c r="K33" t="s">
        <v>5955</v>
      </c>
      <c r="L33" t="s">
        <v>5956</v>
      </c>
    </row>
    <row r="34" spans="1:12" ht="15" customHeight="1">
      <c r="A34">
        <v>33</v>
      </c>
      <c r="B34" t="s">
        <v>8</v>
      </c>
      <c r="C34" t="s">
        <v>267</v>
      </c>
      <c r="D34" t="s">
        <v>268</v>
      </c>
      <c r="E34">
        <v>2011</v>
      </c>
      <c r="F34" t="s">
        <v>269</v>
      </c>
      <c r="H34" t="s">
        <v>5953</v>
      </c>
      <c r="I34" t="s">
        <v>91</v>
      </c>
      <c r="J34" t="s">
        <v>5954</v>
      </c>
      <c r="K34" t="s">
        <v>5955</v>
      </c>
      <c r="L34" t="s">
        <v>5956</v>
      </c>
    </row>
    <row r="35" spans="1:12" ht="15" customHeight="1">
      <c r="A35">
        <v>34</v>
      </c>
      <c r="B35" t="s">
        <v>8</v>
      </c>
      <c r="C35" t="s">
        <v>271</v>
      </c>
      <c r="D35" t="s">
        <v>272</v>
      </c>
      <c r="E35">
        <v>2025</v>
      </c>
      <c r="F35" t="s">
        <v>271</v>
      </c>
      <c r="G35" t="s">
        <v>273</v>
      </c>
      <c r="H35" t="s">
        <v>5953</v>
      </c>
      <c r="I35" t="s">
        <v>91</v>
      </c>
      <c r="J35" t="s">
        <v>5954</v>
      </c>
      <c r="K35" t="s">
        <v>5955</v>
      </c>
      <c r="L35" t="s">
        <v>5956</v>
      </c>
    </row>
    <row r="36" spans="1:12" ht="15" customHeight="1">
      <c r="A36">
        <v>35</v>
      </c>
      <c r="B36" t="s">
        <v>8</v>
      </c>
      <c r="C36" t="s">
        <v>276</v>
      </c>
      <c r="D36" t="s">
        <v>277</v>
      </c>
      <c r="E36">
        <v>2011</v>
      </c>
      <c r="F36" t="s">
        <v>278</v>
      </c>
      <c r="G36" t="s">
        <v>279</v>
      </c>
      <c r="H36" t="s">
        <v>5953</v>
      </c>
      <c r="I36" t="s">
        <v>91</v>
      </c>
      <c r="J36" t="s">
        <v>5954</v>
      </c>
      <c r="K36" t="s">
        <v>5955</v>
      </c>
      <c r="L36" t="s">
        <v>5956</v>
      </c>
    </row>
    <row r="37" spans="1:12" ht="15" customHeight="1">
      <c r="A37">
        <v>36</v>
      </c>
      <c r="B37" t="s">
        <v>8</v>
      </c>
      <c r="C37" t="s">
        <v>282</v>
      </c>
      <c r="D37" t="s">
        <v>283</v>
      </c>
      <c r="E37">
        <v>2025</v>
      </c>
      <c r="H37" t="s">
        <v>5953</v>
      </c>
      <c r="I37" t="s">
        <v>91</v>
      </c>
      <c r="J37" t="s">
        <v>5954</v>
      </c>
      <c r="K37" t="s">
        <v>5955</v>
      </c>
      <c r="L37" t="s">
        <v>5956</v>
      </c>
    </row>
    <row r="38" spans="1:12" ht="15" customHeight="1">
      <c r="A38">
        <v>37</v>
      </c>
      <c r="B38" t="s">
        <v>8</v>
      </c>
      <c r="C38" t="s">
        <v>286</v>
      </c>
      <c r="D38" t="s">
        <v>287</v>
      </c>
      <c r="E38">
        <v>2020</v>
      </c>
      <c r="F38" t="s">
        <v>288</v>
      </c>
      <c r="G38" t="s">
        <v>289</v>
      </c>
      <c r="H38" t="s">
        <v>5953</v>
      </c>
      <c r="I38" t="s">
        <v>91</v>
      </c>
      <c r="J38" t="s">
        <v>5954</v>
      </c>
      <c r="K38" t="s">
        <v>5955</v>
      </c>
      <c r="L38" t="s">
        <v>5956</v>
      </c>
    </row>
    <row r="39" spans="1:12" ht="15" customHeight="1">
      <c r="A39">
        <v>38</v>
      </c>
      <c r="B39" t="s">
        <v>8</v>
      </c>
      <c r="C39" t="s">
        <v>296</v>
      </c>
      <c r="D39" t="s">
        <v>297</v>
      </c>
      <c r="E39">
        <v>2025</v>
      </c>
      <c r="F39" t="s">
        <v>296</v>
      </c>
      <c r="G39" t="s">
        <v>298</v>
      </c>
      <c r="H39" t="s">
        <v>5953</v>
      </c>
      <c r="I39" t="s">
        <v>91</v>
      </c>
      <c r="J39" t="s">
        <v>5954</v>
      </c>
      <c r="K39" t="s">
        <v>5955</v>
      </c>
      <c r="L39" t="s">
        <v>5956</v>
      </c>
    </row>
    <row r="40" spans="1:12" ht="15" customHeight="1">
      <c r="A40">
        <v>39</v>
      </c>
      <c r="B40" t="s">
        <v>8</v>
      </c>
      <c r="C40" t="s">
        <v>300</v>
      </c>
      <c r="D40" t="s">
        <v>301</v>
      </c>
      <c r="E40">
        <v>2013</v>
      </c>
      <c r="F40" t="s">
        <v>302</v>
      </c>
      <c r="H40" t="s">
        <v>5953</v>
      </c>
      <c r="I40" t="s">
        <v>91</v>
      </c>
      <c r="J40" t="s">
        <v>5954</v>
      </c>
      <c r="K40" t="s">
        <v>5955</v>
      </c>
      <c r="L40" t="s">
        <v>5956</v>
      </c>
    </row>
    <row r="41" spans="1:12" ht="15" customHeight="1">
      <c r="A41">
        <v>40</v>
      </c>
      <c r="B41" t="s">
        <v>8</v>
      </c>
      <c r="C41" t="s">
        <v>304</v>
      </c>
      <c r="D41" t="s">
        <v>305</v>
      </c>
      <c r="E41">
        <v>2026</v>
      </c>
      <c r="H41" t="s">
        <v>5953</v>
      </c>
      <c r="I41" t="s">
        <v>91</v>
      </c>
      <c r="J41" t="s">
        <v>5954</v>
      </c>
      <c r="K41" t="s">
        <v>5955</v>
      </c>
      <c r="L41" t="s">
        <v>5956</v>
      </c>
    </row>
    <row r="42" spans="1:12" ht="15" customHeight="1">
      <c r="A42">
        <v>41</v>
      </c>
      <c r="B42" t="s">
        <v>8</v>
      </c>
      <c r="C42" t="s">
        <v>311</v>
      </c>
      <c r="H42" t="s">
        <v>5953</v>
      </c>
      <c r="I42" t="s">
        <v>91</v>
      </c>
      <c r="J42" t="s">
        <v>5954</v>
      </c>
      <c r="K42" t="s">
        <v>5955</v>
      </c>
      <c r="L42" t="s">
        <v>5956</v>
      </c>
    </row>
    <row r="43" spans="1:12" ht="15" customHeight="1">
      <c r="A43">
        <v>42</v>
      </c>
      <c r="B43" t="s">
        <v>8</v>
      </c>
      <c r="C43" t="s">
        <v>319</v>
      </c>
      <c r="D43" t="s">
        <v>320</v>
      </c>
      <c r="E43">
        <v>2018</v>
      </c>
      <c r="H43" t="s">
        <v>5953</v>
      </c>
      <c r="I43" t="s">
        <v>91</v>
      </c>
      <c r="J43" t="s">
        <v>5954</v>
      </c>
      <c r="K43" t="s">
        <v>5955</v>
      </c>
      <c r="L43" t="s">
        <v>5956</v>
      </c>
    </row>
    <row r="44" spans="1:12" ht="15" customHeight="1">
      <c r="A44">
        <v>43</v>
      </c>
      <c r="B44" t="s">
        <v>8</v>
      </c>
      <c r="C44" t="s">
        <v>322</v>
      </c>
      <c r="D44" t="s">
        <v>323</v>
      </c>
      <c r="E44">
        <v>2024</v>
      </c>
      <c r="H44" t="s">
        <v>5953</v>
      </c>
      <c r="I44" t="s">
        <v>91</v>
      </c>
      <c r="J44" t="s">
        <v>5954</v>
      </c>
      <c r="K44" t="s">
        <v>5955</v>
      </c>
      <c r="L44" t="s">
        <v>5956</v>
      </c>
    </row>
    <row r="45" spans="1:12" ht="15" customHeight="1">
      <c r="A45">
        <v>44</v>
      </c>
      <c r="B45" t="s">
        <v>8</v>
      </c>
      <c r="C45" t="s">
        <v>325</v>
      </c>
      <c r="D45" t="s">
        <v>326</v>
      </c>
      <c r="E45">
        <v>2019</v>
      </c>
      <c r="G45" t="s">
        <v>327</v>
      </c>
      <c r="H45" t="s">
        <v>5953</v>
      </c>
      <c r="I45" t="s">
        <v>91</v>
      </c>
      <c r="J45" t="s">
        <v>5954</v>
      </c>
      <c r="K45" t="s">
        <v>5955</v>
      </c>
      <c r="L45" t="s">
        <v>5956</v>
      </c>
    </row>
    <row r="46" spans="1:12" ht="15" customHeight="1">
      <c r="A46">
        <v>45</v>
      </c>
      <c r="B46" t="s">
        <v>8</v>
      </c>
      <c r="C46" t="s">
        <v>330</v>
      </c>
      <c r="D46" t="s">
        <v>331</v>
      </c>
      <c r="E46">
        <v>2022</v>
      </c>
      <c r="F46" t="s">
        <v>332</v>
      </c>
      <c r="G46" t="s">
        <v>333</v>
      </c>
      <c r="H46" t="s">
        <v>5953</v>
      </c>
      <c r="I46" t="s">
        <v>91</v>
      </c>
      <c r="J46" t="s">
        <v>5954</v>
      </c>
      <c r="K46" t="s">
        <v>5955</v>
      </c>
      <c r="L46" t="s">
        <v>5956</v>
      </c>
    </row>
    <row r="47" spans="1:12" ht="15" customHeight="1">
      <c r="A47">
        <v>46</v>
      </c>
      <c r="B47" t="s">
        <v>8</v>
      </c>
      <c r="C47" t="s">
        <v>335</v>
      </c>
      <c r="D47" t="s">
        <v>336</v>
      </c>
      <c r="E47">
        <v>2025</v>
      </c>
      <c r="H47" t="s">
        <v>5953</v>
      </c>
      <c r="I47" t="s">
        <v>91</v>
      </c>
      <c r="J47" t="s">
        <v>5954</v>
      </c>
      <c r="K47" t="s">
        <v>5955</v>
      </c>
      <c r="L47" t="s">
        <v>5956</v>
      </c>
    </row>
    <row r="48" spans="1:12" ht="15" customHeight="1">
      <c r="A48">
        <v>47</v>
      </c>
      <c r="B48" t="s">
        <v>8</v>
      </c>
      <c r="C48" t="s">
        <v>344</v>
      </c>
      <c r="D48" t="s">
        <v>345</v>
      </c>
      <c r="E48">
        <v>2025</v>
      </c>
      <c r="F48" t="s">
        <v>346</v>
      </c>
      <c r="G48" t="s">
        <v>347</v>
      </c>
      <c r="H48" t="s">
        <v>5953</v>
      </c>
      <c r="I48" t="s">
        <v>91</v>
      </c>
      <c r="J48" t="s">
        <v>5954</v>
      </c>
      <c r="K48" t="s">
        <v>5955</v>
      </c>
      <c r="L48" t="s">
        <v>5956</v>
      </c>
    </row>
    <row r="49" spans="1:12" ht="15" customHeight="1">
      <c r="A49">
        <v>48</v>
      </c>
      <c r="B49" t="s">
        <v>8</v>
      </c>
      <c r="C49" t="s">
        <v>349</v>
      </c>
      <c r="D49" t="s">
        <v>350</v>
      </c>
      <c r="E49">
        <v>2025</v>
      </c>
      <c r="F49" t="s">
        <v>641</v>
      </c>
      <c r="G49" t="s">
        <v>351</v>
      </c>
      <c r="H49" t="s">
        <v>5953</v>
      </c>
      <c r="I49" t="s">
        <v>91</v>
      </c>
      <c r="J49" t="s">
        <v>5954</v>
      </c>
      <c r="K49" t="s">
        <v>5955</v>
      </c>
      <c r="L49" t="s">
        <v>5956</v>
      </c>
    </row>
    <row r="50" spans="1:12" ht="15" customHeight="1">
      <c r="A50">
        <v>49</v>
      </c>
      <c r="B50" t="s">
        <v>8</v>
      </c>
      <c r="C50" t="s">
        <v>353</v>
      </c>
      <c r="D50" t="s">
        <v>354</v>
      </c>
      <c r="E50">
        <v>2025</v>
      </c>
      <c r="F50" t="s">
        <v>355</v>
      </c>
      <c r="G50" t="s">
        <v>356</v>
      </c>
      <c r="H50" t="s">
        <v>5953</v>
      </c>
      <c r="I50" t="s">
        <v>91</v>
      </c>
      <c r="J50" t="s">
        <v>5954</v>
      </c>
      <c r="K50" t="s">
        <v>5955</v>
      </c>
      <c r="L50" t="s">
        <v>5956</v>
      </c>
    </row>
    <row r="51" spans="1:12" ht="15" customHeight="1">
      <c r="A51">
        <v>50</v>
      </c>
      <c r="B51" t="s">
        <v>8</v>
      </c>
      <c r="C51" t="s">
        <v>359</v>
      </c>
      <c r="D51" t="s">
        <v>360</v>
      </c>
      <c r="E51">
        <v>2025</v>
      </c>
      <c r="F51" t="s">
        <v>361</v>
      </c>
      <c r="G51" t="s">
        <v>362</v>
      </c>
      <c r="H51" t="s">
        <v>5953</v>
      </c>
      <c r="I51" t="s">
        <v>91</v>
      </c>
      <c r="J51" t="s">
        <v>5954</v>
      </c>
      <c r="K51" t="s">
        <v>5955</v>
      </c>
      <c r="L51" t="s">
        <v>5956</v>
      </c>
    </row>
    <row r="52" spans="1:12" ht="15" customHeight="1">
      <c r="A52">
        <v>51</v>
      </c>
      <c r="B52" t="s">
        <v>8</v>
      </c>
      <c r="C52" t="s">
        <v>364</v>
      </c>
      <c r="D52" t="s">
        <v>365</v>
      </c>
      <c r="E52">
        <v>2023</v>
      </c>
      <c r="G52" t="s">
        <v>366</v>
      </c>
      <c r="H52" t="s">
        <v>5953</v>
      </c>
      <c r="I52" t="s">
        <v>91</v>
      </c>
      <c r="J52" t="s">
        <v>5954</v>
      </c>
      <c r="K52" t="s">
        <v>5955</v>
      </c>
      <c r="L52" t="s">
        <v>5956</v>
      </c>
    </row>
    <row r="53" spans="1:12" ht="15" customHeight="1">
      <c r="A53">
        <v>52</v>
      </c>
      <c r="B53" t="s">
        <v>8</v>
      </c>
      <c r="C53" t="s">
        <v>369</v>
      </c>
      <c r="D53" t="s">
        <v>370</v>
      </c>
      <c r="E53">
        <v>2025</v>
      </c>
      <c r="F53" t="s">
        <v>346</v>
      </c>
      <c r="G53" t="s">
        <v>371</v>
      </c>
      <c r="H53" t="s">
        <v>5953</v>
      </c>
      <c r="I53" t="s">
        <v>91</v>
      </c>
      <c r="J53" t="s">
        <v>5954</v>
      </c>
      <c r="K53" t="s">
        <v>5955</v>
      </c>
      <c r="L53" t="s">
        <v>5956</v>
      </c>
    </row>
    <row r="54" spans="1:12" ht="15" customHeight="1">
      <c r="A54">
        <v>53</v>
      </c>
      <c r="B54" t="s">
        <v>8</v>
      </c>
      <c r="C54" t="s">
        <v>378</v>
      </c>
      <c r="D54" t="s">
        <v>379</v>
      </c>
      <c r="E54">
        <v>2025</v>
      </c>
      <c r="F54" t="s">
        <v>361</v>
      </c>
      <c r="G54" t="s">
        <v>380</v>
      </c>
      <c r="H54" t="s">
        <v>5953</v>
      </c>
      <c r="I54" t="s">
        <v>91</v>
      </c>
      <c r="J54" t="s">
        <v>5954</v>
      </c>
      <c r="K54" t="s">
        <v>5955</v>
      </c>
      <c r="L54" t="s">
        <v>5956</v>
      </c>
    </row>
    <row r="55" spans="1:12" ht="15" customHeight="1">
      <c r="A55">
        <v>54</v>
      </c>
      <c r="B55" t="s">
        <v>8</v>
      </c>
      <c r="C55" t="s">
        <v>387</v>
      </c>
      <c r="D55" t="s">
        <v>208</v>
      </c>
      <c r="E55">
        <v>2025</v>
      </c>
      <c r="F55" t="s">
        <v>209</v>
      </c>
      <c r="G55" t="s">
        <v>388</v>
      </c>
      <c r="H55" t="s">
        <v>5953</v>
      </c>
      <c r="I55" t="s">
        <v>91</v>
      </c>
      <c r="J55" t="s">
        <v>5954</v>
      </c>
      <c r="K55" t="s">
        <v>5955</v>
      </c>
      <c r="L55" t="s">
        <v>5956</v>
      </c>
    </row>
    <row r="56" spans="1:12" ht="15" customHeight="1">
      <c r="A56">
        <v>55</v>
      </c>
      <c r="B56" t="s">
        <v>8</v>
      </c>
      <c r="C56" t="s">
        <v>390</v>
      </c>
      <c r="E56">
        <v>2025</v>
      </c>
      <c r="G56" t="s">
        <v>391</v>
      </c>
      <c r="H56" t="s">
        <v>5953</v>
      </c>
      <c r="I56" t="s">
        <v>91</v>
      </c>
      <c r="J56" t="s">
        <v>5954</v>
      </c>
      <c r="K56" t="s">
        <v>5955</v>
      </c>
      <c r="L56" t="s">
        <v>5956</v>
      </c>
    </row>
    <row r="57" spans="1:12" ht="15" customHeight="1">
      <c r="A57">
        <v>56</v>
      </c>
      <c r="B57" t="s">
        <v>8</v>
      </c>
      <c r="C57" t="s">
        <v>394</v>
      </c>
      <c r="D57" t="s">
        <v>395</v>
      </c>
      <c r="E57">
        <v>2024</v>
      </c>
      <c r="H57" t="s">
        <v>5953</v>
      </c>
      <c r="I57" t="s">
        <v>91</v>
      </c>
      <c r="J57" t="s">
        <v>5954</v>
      </c>
      <c r="K57" t="s">
        <v>5955</v>
      </c>
      <c r="L57" t="s">
        <v>5956</v>
      </c>
    </row>
    <row r="58" spans="1:12" ht="15" customHeight="1">
      <c r="A58">
        <v>57</v>
      </c>
      <c r="B58" t="s">
        <v>8</v>
      </c>
      <c r="C58" t="s">
        <v>406</v>
      </c>
      <c r="D58" t="s">
        <v>407</v>
      </c>
      <c r="E58">
        <v>2016</v>
      </c>
      <c r="F58" t="s">
        <v>408</v>
      </c>
      <c r="G58" t="s">
        <v>409</v>
      </c>
      <c r="H58" t="s">
        <v>5953</v>
      </c>
      <c r="I58" t="s">
        <v>91</v>
      </c>
      <c r="J58" t="s">
        <v>5954</v>
      </c>
      <c r="K58" t="s">
        <v>5955</v>
      </c>
      <c r="L58" t="s">
        <v>5956</v>
      </c>
    </row>
    <row r="59" spans="1:12" ht="15" customHeight="1">
      <c r="A59">
        <v>58</v>
      </c>
      <c r="B59" t="s">
        <v>8</v>
      </c>
      <c r="C59" t="s">
        <v>411</v>
      </c>
      <c r="H59" t="s">
        <v>5953</v>
      </c>
      <c r="I59" t="s">
        <v>91</v>
      </c>
      <c r="J59" t="s">
        <v>5954</v>
      </c>
      <c r="K59" t="s">
        <v>5955</v>
      </c>
      <c r="L59" t="s">
        <v>5956</v>
      </c>
    </row>
    <row r="60" spans="1:12" ht="15" customHeight="1">
      <c r="A60">
        <v>59</v>
      </c>
      <c r="B60" t="s">
        <v>8</v>
      </c>
      <c r="C60" t="s">
        <v>413</v>
      </c>
      <c r="D60" t="s">
        <v>414</v>
      </c>
      <c r="H60" t="s">
        <v>5953</v>
      </c>
      <c r="I60" t="s">
        <v>91</v>
      </c>
      <c r="J60" t="s">
        <v>5954</v>
      </c>
      <c r="K60" t="s">
        <v>5955</v>
      </c>
      <c r="L60" t="s">
        <v>5956</v>
      </c>
    </row>
    <row r="61" spans="1:12" ht="15" customHeight="1">
      <c r="A61">
        <v>60</v>
      </c>
      <c r="B61" t="s">
        <v>8</v>
      </c>
      <c r="C61" t="s">
        <v>416</v>
      </c>
      <c r="E61">
        <v>2014</v>
      </c>
      <c r="F61" t="s">
        <v>648</v>
      </c>
      <c r="G61" t="s">
        <v>417</v>
      </c>
      <c r="H61" t="s">
        <v>5953</v>
      </c>
      <c r="I61" t="s">
        <v>91</v>
      </c>
      <c r="J61" t="s">
        <v>5954</v>
      </c>
      <c r="K61" t="s">
        <v>5955</v>
      </c>
      <c r="L61" t="s">
        <v>5956</v>
      </c>
    </row>
    <row r="62" spans="1:12" ht="15" customHeight="1">
      <c r="A62">
        <v>61</v>
      </c>
      <c r="B62" t="s">
        <v>8</v>
      </c>
      <c r="C62" t="s">
        <v>420</v>
      </c>
      <c r="D62" t="s">
        <v>421</v>
      </c>
      <c r="E62">
        <v>2022</v>
      </c>
      <c r="F62" t="s">
        <v>649</v>
      </c>
      <c r="G62" t="s">
        <v>422</v>
      </c>
      <c r="H62" t="s">
        <v>5953</v>
      </c>
      <c r="I62" t="s">
        <v>91</v>
      </c>
      <c r="J62" t="s">
        <v>5954</v>
      </c>
      <c r="K62" t="s">
        <v>5955</v>
      </c>
      <c r="L62" t="s">
        <v>5956</v>
      </c>
    </row>
    <row r="63" spans="1:12" ht="15" customHeight="1">
      <c r="A63">
        <v>62</v>
      </c>
      <c r="B63" t="s">
        <v>8</v>
      </c>
      <c r="C63" t="s">
        <v>429</v>
      </c>
      <c r="D63" t="s">
        <v>430</v>
      </c>
      <c r="E63">
        <v>2025</v>
      </c>
      <c r="F63" t="s">
        <v>650</v>
      </c>
      <c r="G63" t="s">
        <v>431</v>
      </c>
      <c r="H63" t="s">
        <v>5953</v>
      </c>
      <c r="I63" t="s">
        <v>91</v>
      </c>
      <c r="J63" t="s">
        <v>5954</v>
      </c>
      <c r="K63" t="s">
        <v>5955</v>
      </c>
      <c r="L63" t="s">
        <v>5956</v>
      </c>
    </row>
    <row r="64" spans="1:12" ht="15" customHeight="1">
      <c r="A64">
        <v>63</v>
      </c>
      <c r="B64" t="s">
        <v>8</v>
      </c>
      <c r="C64" t="s">
        <v>433</v>
      </c>
      <c r="D64" t="s">
        <v>434</v>
      </c>
      <c r="E64">
        <v>2025</v>
      </c>
      <c r="H64" t="s">
        <v>5953</v>
      </c>
      <c r="I64" t="s">
        <v>91</v>
      </c>
      <c r="J64" t="s">
        <v>5954</v>
      </c>
      <c r="K64" t="s">
        <v>5955</v>
      </c>
      <c r="L64" t="s">
        <v>5956</v>
      </c>
    </row>
    <row r="65" spans="1:12" ht="15" customHeight="1">
      <c r="A65">
        <v>64</v>
      </c>
      <c r="B65" t="s">
        <v>8</v>
      </c>
      <c r="C65" t="s">
        <v>439</v>
      </c>
      <c r="D65" t="s">
        <v>440</v>
      </c>
      <c r="E65">
        <v>2019</v>
      </c>
      <c r="F65" t="s">
        <v>652</v>
      </c>
      <c r="G65" t="s">
        <v>441</v>
      </c>
      <c r="H65" t="s">
        <v>5953</v>
      </c>
      <c r="I65" t="s">
        <v>91</v>
      </c>
      <c r="J65" t="s">
        <v>5954</v>
      </c>
      <c r="K65" t="s">
        <v>5955</v>
      </c>
      <c r="L65" t="s">
        <v>5956</v>
      </c>
    </row>
    <row r="66" spans="1:12" ht="15" customHeight="1">
      <c r="A66">
        <v>65</v>
      </c>
      <c r="B66" t="s">
        <v>8</v>
      </c>
      <c r="C66" t="s">
        <v>443</v>
      </c>
      <c r="D66" t="s">
        <v>444</v>
      </c>
      <c r="H66" t="s">
        <v>5953</v>
      </c>
      <c r="I66" t="s">
        <v>91</v>
      </c>
      <c r="J66" t="s">
        <v>5954</v>
      </c>
      <c r="K66" t="s">
        <v>5955</v>
      </c>
      <c r="L66" t="s">
        <v>5956</v>
      </c>
    </row>
    <row r="67" spans="1:12" ht="15" customHeight="1">
      <c r="A67">
        <v>66</v>
      </c>
      <c r="B67" t="s">
        <v>11</v>
      </c>
      <c r="C67" t="s">
        <v>683</v>
      </c>
      <c r="E67">
        <v>2026</v>
      </c>
      <c r="G67" t="s">
        <v>686</v>
      </c>
      <c r="H67" t="s">
        <v>5953</v>
      </c>
      <c r="I67" t="s">
        <v>91</v>
      </c>
      <c r="J67" t="s">
        <v>5954</v>
      </c>
      <c r="K67" t="s">
        <v>5955</v>
      </c>
      <c r="L67" t="s">
        <v>5956</v>
      </c>
    </row>
    <row r="68" spans="1:12" ht="15" customHeight="1">
      <c r="A68">
        <v>67</v>
      </c>
      <c r="B68" t="s">
        <v>11</v>
      </c>
      <c r="C68" t="s">
        <v>688</v>
      </c>
      <c r="E68">
        <v>2022</v>
      </c>
      <c r="F68" t="s">
        <v>690</v>
      </c>
      <c r="G68" t="s">
        <v>691</v>
      </c>
      <c r="H68" t="s">
        <v>5953</v>
      </c>
      <c r="I68" t="s">
        <v>91</v>
      </c>
      <c r="J68" t="s">
        <v>5954</v>
      </c>
      <c r="K68" t="s">
        <v>5955</v>
      </c>
      <c r="L68" t="s">
        <v>5956</v>
      </c>
    </row>
    <row r="69" spans="1:12" ht="15" customHeight="1">
      <c r="A69">
        <v>68</v>
      </c>
      <c r="B69" t="s">
        <v>11</v>
      </c>
      <c r="C69" t="s">
        <v>692</v>
      </c>
      <c r="E69">
        <v>2025</v>
      </c>
      <c r="F69" t="s">
        <v>642</v>
      </c>
      <c r="G69" t="s">
        <v>694</v>
      </c>
      <c r="H69" t="s">
        <v>5953</v>
      </c>
      <c r="I69" t="s">
        <v>91</v>
      </c>
      <c r="J69" t="s">
        <v>5954</v>
      </c>
      <c r="K69" t="s">
        <v>5955</v>
      </c>
      <c r="L69" t="s">
        <v>5956</v>
      </c>
    </row>
    <row r="70" spans="1:12" ht="15" customHeight="1">
      <c r="A70">
        <v>69</v>
      </c>
      <c r="B70" t="s">
        <v>11</v>
      </c>
      <c r="C70" t="s">
        <v>695</v>
      </c>
      <c r="E70">
        <v>2025</v>
      </c>
      <c r="F70" t="s">
        <v>685</v>
      </c>
      <c r="G70" t="s">
        <v>696</v>
      </c>
      <c r="H70" t="s">
        <v>5953</v>
      </c>
      <c r="I70" t="s">
        <v>91</v>
      </c>
      <c r="J70" t="s">
        <v>5954</v>
      </c>
      <c r="K70" t="s">
        <v>5955</v>
      </c>
      <c r="L70" t="s">
        <v>5956</v>
      </c>
    </row>
    <row r="71" spans="1:12" ht="15" customHeight="1">
      <c r="A71">
        <v>70</v>
      </c>
      <c r="B71" t="s">
        <v>11</v>
      </c>
      <c r="C71" t="s">
        <v>697</v>
      </c>
      <c r="E71">
        <v>2026</v>
      </c>
      <c r="F71" t="s">
        <v>698</v>
      </c>
      <c r="G71" t="s">
        <v>699</v>
      </c>
      <c r="H71" t="s">
        <v>5953</v>
      </c>
      <c r="I71" t="s">
        <v>91</v>
      </c>
      <c r="J71" t="s">
        <v>5954</v>
      </c>
      <c r="K71" t="s">
        <v>5955</v>
      </c>
      <c r="L71" t="s">
        <v>5956</v>
      </c>
    </row>
    <row r="72" spans="1:12" ht="15" customHeight="1">
      <c r="A72">
        <v>71</v>
      </c>
      <c r="B72" t="s">
        <v>11</v>
      </c>
      <c r="C72" t="s">
        <v>700</v>
      </c>
      <c r="E72">
        <v>2026</v>
      </c>
      <c r="F72" t="s">
        <v>685</v>
      </c>
      <c r="G72" t="s">
        <v>701</v>
      </c>
      <c r="H72" t="s">
        <v>5953</v>
      </c>
      <c r="I72" t="s">
        <v>91</v>
      </c>
      <c r="J72" t="s">
        <v>5954</v>
      </c>
      <c r="K72" t="s">
        <v>5955</v>
      </c>
      <c r="L72" t="s">
        <v>5956</v>
      </c>
    </row>
    <row r="73" spans="1:12" ht="15" customHeight="1">
      <c r="A73">
        <v>72</v>
      </c>
      <c r="B73" t="s">
        <v>11</v>
      </c>
      <c r="C73" t="s">
        <v>702</v>
      </c>
      <c r="E73">
        <v>2026</v>
      </c>
      <c r="F73" t="s">
        <v>703</v>
      </c>
      <c r="G73" t="s">
        <v>704</v>
      </c>
      <c r="H73" t="s">
        <v>5953</v>
      </c>
      <c r="I73" t="s">
        <v>91</v>
      </c>
      <c r="J73" t="s">
        <v>5954</v>
      </c>
      <c r="K73" t="s">
        <v>5955</v>
      </c>
      <c r="L73" t="s">
        <v>5956</v>
      </c>
    </row>
    <row r="74" spans="1:12" ht="15" customHeight="1">
      <c r="A74">
        <v>73</v>
      </c>
      <c r="B74" t="s">
        <v>11</v>
      </c>
      <c r="C74" t="s">
        <v>705</v>
      </c>
      <c r="E74">
        <v>2026</v>
      </c>
      <c r="F74" t="s">
        <v>706</v>
      </c>
      <c r="G74" t="s">
        <v>707</v>
      </c>
      <c r="H74" t="s">
        <v>5953</v>
      </c>
      <c r="I74" t="s">
        <v>91</v>
      </c>
      <c r="J74" t="s">
        <v>5954</v>
      </c>
      <c r="K74" t="s">
        <v>5955</v>
      </c>
      <c r="L74" t="s">
        <v>5956</v>
      </c>
    </row>
    <row r="75" spans="1:12" ht="15" customHeight="1">
      <c r="A75">
        <v>74</v>
      </c>
      <c r="B75" t="s">
        <v>11</v>
      </c>
      <c r="C75" t="s">
        <v>708</v>
      </c>
      <c r="E75">
        <v>2024</v>
      </c>
      <c r="F75" t="s">
        <v>710</v>
      </c>
      <c r="G75" t="s">
        <v>711</v>
      </c>
      <c r="H75" t="s">
        <v>5953</v>
      </c>
      <c r="I75" t="s">
        <v>91</v>
      </c>
      <c r="J75" t="s">
        <v>5954</v>
      </c>
      <c r="K75" t="s">
        <v>5955</v>
      </c>
      <c r="L75" t="s">
        <v>5956</v>
      </c>
    </row>
    <row r="76" spans="1:12" ht="15" customHeight="1">
      <c r="A76">
        <v>75</v>
      </c>
      <c r="B76" t="s">
        <v>11</v>
      </c>
      <c r="C76" t="s">
        <v>712</v>
      </c>
      <c r="E76">
        <v>2025</v>
      </c>
      <c r="F76" t="s">
        <v>713</v>
      </c>
      <c r="G76" t="s">
        <v>714</v>
      </c>
      <c r="H76" t="s">
        <v>5953</v>
      </c>
      <c r="I76" t="s">
        <v>91</v>
      </c>
      <c r="J76" t="s">
        <v>5954</v>
      </c>
      <c r="K76" t="s">
        <v>5955</v>
      </c>
      <c r="L76" t="s">
        <v>5956</v>
      </c>
    </row>
    <row r="77" spans="1:12" ht="15" customHeight="1">
      <c r="A77">
        <v>76</v>
      </c>
      <c r="B77" t="s">
        <v>12</v>
      </c>
      <c r="C77" t="s">
        <v>715</v>
      </c>
      <c r="E77" t="s">
        <v>709</v>
      </c>
      <c r="F77" t="s">
        <v>1172</v>
      </c>
      <c r="G77" t="s">
        <v>717</v>
      </c>
      <c r="H77" t="s">
        <v>5953</v>
      </c>
      <c r="I77" t="s">
        <v>91</v>
      </c>
      <c r="J77" t="s">
        <v>5954</v>
      </c>
      <c r="K77" t="s">
        <v>5957</v>
      </c>
      <c r="L77" t="s">
        <v>5956</v>
      </c>
    </row>
    <row r="78" spans="1:12" ht="15" customHeight="1">
      <c r="A78">
        <v>77</v>
      </c>
      <c r="B78" t="s">
        <v>5886</v>
      </c>
      <c r="C78" t="s">
        <v>718</v>
      </c>
      <c r="E78">
        <v>2023</v>
      </c>
      <c r="F78" t="s">
        <v>720</v>
      </c>
      <c r="G78" t="s">
        <v>721</v>
      </c>
      <c r="H78" t="s">
        <v>5953</v>
      </c>
      <c r="I78" t="s">
        <v>91</v>
      </c>
      <c r="J78" t="s">
        <v>5954</v>
      </c>
      <c r="K78" t="s">
        <v>5955</v>
      </c>
      <c r="L78" t="s">
        <v>5956</v>
      </c>
    </row>
    <row r="79" spans="1:12" ht="15" customHeight="1">
      <c r="A79">
        <v>78</v>
      </c>
      <c r="B79" t="s">
        <v>5886</v>
      </c>
      <c r="C79" t="s">
        <v>722</v>
      </c>
      <c r="E79">
        <v>2024</v>
      </c>
      <c r="F79" t="s">
        <v>720</v>
      </c>
      <c r="G79" t="s">
        <v>723</v>
      </c>
      <c r="H79" t="s">
        <v>5953</v>
      </c>
      <c r="I79" t="s">
        <v>91</v>
      </c>
      <c r="J79" t="s">
        <v>5954</v>
      </c>
      <c r="K79" t="s">
        <v>5955</v>
      </c>
      <c r="L79" t="s">
        <v>5956</v>
      </c>
    </row>
    <row r="80" spans="1:12" ht="15" customHeight="1">
      <c r="A80">
        <v>79</v>
      </c>
      <c r="B80" t="s">
        <v>13</v>
      </c>
      <c r="C80" t="s">
        <v>727</v>
      </c>
      <c r="E80">
        <v>2024</v>
      </c>
      <c r="F80" t="s">
        <v>728</v>
      </c>
      <c r="G80" t="s">
        <v>729</v>
      </c>
      <c r="H80" t="s">
        <v>5953</v>
      </c>
      <c r="I80" t="s">
        <v>91</v>
      </c>
      <c r="J80" t="s">
        <v>5954</v>
      </c>
      <c r="K80" t="s">
        <v>5955</v>
      </c>
      <c r="L80" t="s">
        <v>5956</v>
      </c>
    </row>
    <row r="81" spans="1:12" ht="15" customHeight="1">
      <c r="A81">
        <v>80</v>
      </c>
      <c r="B81" t="s">
        <v>5960</v>
      </c>
      <c r="C81" t="s">
        <v>730</v>
      </c>
      <c r="E81">
        <v>2025</v>
      </c>
      <c r="F81" t="s">
        <v>731</v>
      </c>
      <c r="G81" t="s">
        <v>732</v>
      </c>
      <c r="H81" t="s">
        <v>5953</v>
      </c>
      <c r="I81" t="s">
        <v>91</v>
      </c>
      <c r="J81" t="s">
        <v>5954</v>
      </c>
      <c r="K81" t="s">
        <v>5955</v>
      </c>
      <c r="L81" t="s">
        <v>5956</v>
      </c>
    </row>
    <row r="82" spans="1:12" ht="15" customHeight="1">
      <c r="A82">
        <v>81</v>
      </c>
      <c r="B82" t="s">
        <v>13</v>
      </c>
      <c r="C82" t="s">
        <v>733</v>
      </c>
      <c r="E82">
        <v>2024</v>
      </c>
      <c r="F82" t="s">
        <v>734</v>
      </c>
      <c r="G82" t="s">
        <v>735</v>
      </c>
      <c r="H82" t="s">
        <v>5953</v>
      </c>
      <c r="I82" t="s">
        <v>91</v>
      </c>
      <c r="J82" t="s">
        <v>5954</v>
      </c>
      <c r="K82" t="s">
        <v>5955</v>
      </c>
      <c r="L82" t="s">
        <v>5956</v>
      </c>
    </row>
    <row r="83" spans="1:12" ht="15" customHeight="1">
      <c r="A83">
        <v>82</v>
      </c>
      <c r="B83" t="s">
        <v>5886</v>
      </c>
      <c r="C83" t="s">
        <v>736</v>
      </c>
      <c r="E83">
        <v>2026</v>
      </c>
      <c r="F83" t="s">
        <v>737</v>
      </c>
      <c r="G83" t="s">
        <v>738</v>
      </c>
      <c r="H83" t="s">
        <v>5953</v>
      </c>
      <c r="I83" t="s">
        <v>91</v>
      </c>
      <c r="J83" t="s">
        <v>5954</v>
      </c>
      <c r="K83" t="s">
        <v>5955</v>
      </c>
      <c r="L83" t="s">
        <v>5956</v>
      </c>
    </row>
    <row r="84" spans="1:12" ht="15" customHeight="1">
      <c r="A84">
        <v>83</v>
      </c>
      <c r="B84" t="s">
        <v>5886</v>
      </c>
      <c r="C84" t="s">
        <v>739</v>
      </c>
      <c r="E84">
        <v>2024</v>
      </c>
      <c r="F84" t="s">
        <v>720</v>
      </c>
      <c r="G84" t="s">
        <v>740</v>
      </c>
      <c r="H84" t="s">
        <v>5953</v>
      </c>
      <c r="I84" t="s">
        <v>91</v>
      </c>
      <c r="J84" t="s">
        <v>5954</v>
      </c>
      <c r="K84" t="s">
        <v>5955</v>
      </c>
      <c r="L84" t="s">
        <v>5956</v>
      </c>
    </row>
    <row r="85" spans="1:12" ht="15" customHeight="1">
      <c r="A85">
        <v>84</v>
      </c>
      <c r="B85" t="s">
        <v>5960</v>
      </c>
      <c r="C85" t="s">
        <v>742</v>
      </c>
      <c r="E85">
        <v>2025</v>
      </c>
      <c r="F85" t="s">
        <v>743</v>
      </c>
      <c r="G85" t="s">
        <v>744</v>
      </c>
      <c r="H85" t="s">
        <v>5953</v>
      </c>
      <c r="I85" t="s">
        <v>91</v>
      </c>
      <c r="J85" t="s">
        <v>5954</v>
      </c>
      <c r="K85" t="s">
        <v>5955</v>
      </c>
      <c r="L85" t="s">
        <v>5956</v>
      </c>
    </row>
    <row r="86" spans="1:12" ht="15" customHeight="1">
      <c r="A86">
        <v>85</v>
      </c>
      <c r="B86" t="s">
        <v>13</v>
      </c>
      <c r="C86" t="s">
        <v>745</v>
      </c>
      <c r="E86">
        <v>2025</v>
      </c>
      <c r="F86" t="s">
        <v>746</v>
      </c>
      <c r="G86" t="s">
        <v>747</v>
      </c>
      <c r="H86" t="s">
        <v>5953</v>
      </c>
      <c r="I86" t="s">
        <v>91</v>
      </c>
      <c r="J86" t="s">
        <v>5954</v>
      </c>
      <c r="K86" t="s">
        <v>5955</v>
      </c>
      <c r="L86" t="s">
        <v>5956</v>
      </c>
    </row>
    <row r="87" spans="1:12" ht="15" customHeight="1">
      <c r="A87">
        <v>86</v>
      </c>
      <c r="B87" t="s">
        <v>13</v>
      </c>
      <c r="C87" t="s">
        <v>751</v>
      </c>
      <c r="E87">
        <v>2025</v>
      </c>
      <c r="F87" t="s">
        <v>752</v>
      </c>
      <c r="G87" t="s">
        <v>753</v>
      </c>
      <c r="H87" t="s">
        <v>5953</v>
      </c>
      <c r="I87" t="s">
        <v>91</v>
      </c>
      <c r="J87" t="s">
        <v>5954</v>
      </c>
      <c r="K87" t="s">
        <v>5955</v>
      </c>
      <c r="L87" t="s">
        <v>5956</v>
      </c>
    </row>
    <row r="88" spans="1:12" ht="15" customHeight="1">
      <c r="A88">
        <v>87</v>
      </c>
      <c r="B88" t="s">
        <v>5960</v>
      </c>
      <c r="C88" t="s">
        <v>754</v>
      </c>
      <c r="E88">
        <v>2025</v>
      </c>
      <c r="F88" t="s">
        <v>755</v>
      </c>
      <c r="G88" t="s">
        <v>756</v>
      </c>
      <c r="H88" t="s">
        <v>5953</v>
      </c>
      <c r="I88" t="s">
        <v>91</v>
      </c>
      <c r="J88" t="s">
        <v>5954</v>
      </c>
      <c r="K88" t="s">
        <v>5955</v>
      </c>
      <c r="L88" t="s">
        <v>5956</v>
      </c>
    </row>
    <row r="89" spans="1:12" ht="15" customHeight="1">
      <c r="A89">
        <v>88</v>
      </c>
      <c r="B89" t="s">
        <v>13</v>
      </c>
      <c r="C89" t="s">
        <v>757</v>
      </c>
      <c r="E89">
        <v>2025</v>
      </c>
      <c r="F89" t="s">
        <v>758</v>
      </c>
      <c r="G89" t="s">
        <v>759</v>
      </c>
      <c r="H89" t="s">
        <v>5953</v>
      </c>
      <c r="I89" t="s">
        <v>91</v>
      </c>
      <c r="J89" t="s">
        <v>5954</v>
      </c>
      <c r="K89" t="s">
        <v>5955</v>
      </c>
      <c r="L89" t="s">
        <v>5956</v>
      </c>
    </row>
    <row r="90" spans="1:12" ht="15" customHeight="1">
      <c r="A90">
        <v>89</v>
      </c>
      <c r="B90" t="s">
        <v>5886</v>
      </c>
      <c r="C90" t="s">
        <v>763</v>
      </c>
      <c r="E90">
        <v>2026</v>
      </c>
      <c r="F90" t="s">
        <v>764</v>
      </c>
      <c r="G90" t="s">
        <v>765</v>
      </c>
      <c r="H90" t="s">
        <v>5953</v>
      </c>
      <c r="I90" t="s">
        <v>91</v>
      </c>
      <c r="J90" t="s">
        <v>5954</v>
      </c>
      <c r="K90" t="s">
        <v>5955</v>
      </c>
      <c r="L90" t="s">
        <v>5956</v>
      </c>
    </row>
    <row r="91" spans="1:12" ht="15" customHeight="1">
      <c r="A91">
        <v>90</v>
      </c>
      <c r="B91" t="s">
        <v>13</v>
      </c>
      <c r="C91" t="s">
        <v>766</v>
      </c>
      <c r="E91">
        <v>2025</v>
      </c>
      <c r="F91" t="s">
        <v>767</v>
      </c>
      <c r="G91" t="s">
        <v>768</v>
      </c>
      <c r="H91" t="s">
        <v>5953</v>
      </c>
      <c r="I91" t="s">
        <v>91</v>
      </c>
      <c r="J91" t="s">
        <v>5954</v>
      </c>
      <c r="K91" t="s">
        <v>5955</v>
      </c>
      <c r="L91" t="s">
        <v>5956</v>
      </c>
    </row>
    <row r="92" spans="1:12" ht="15" customHeight="1">
      <c r="A92">
        <v>91</v>
      </c>
      <c r="B92" t="s">
        <v>13</v>
      </c>
      <c r="C92" t="s">
        <v>769</v>
      </c>
      <c r="E92">
        <v>2026</v>
      </c>
      <c r="F92" t="s">
        <v>770</v>
      </c>
      <c r="G92" t="s">
        <v>771</v>
      </c>
      <c r="H92" t="s">
        <v>5953</v>
      </c>
      <c r="I92" t="s">
        <v>91</v>
      </c>
      <c r="J92" t="s">
        <v>5954</v>
      </c>
      <c r="K92" t="s">
        <v>5955</v>
      </c>
      <c r="L92" t="s">
        <v>5956</v>
      </c>
    </row>
    <row r="93" spans="1:12" ht="15" customHeight="1">
      <c r="A93">
        <v>92</v>
      </c>
      <c r="B93" t="s">
        <v>12</v>
      </c>
      <c r="C93" t="s">
        <v>772</v>
      </c>
      <c r="E93" t="s">
        <v>684</v>
      </c>
      <c r="F93" t="s">
        <v>1187</v>
      </c>
      <c r="G93" t="s">
        <v>774</v>
      </c>
      <c r="H93" t="s">
        <v>5953</v>
      </c>
      <c r="I93" t="s">
        <v>91</v>
      </c>
      <c r="J93" t="s">
        <v>5954</v>
      </c>
      <c r="K93" t="s">
        <v>5957</v>
      </c>
      <c r="L93" t="s">
        <v>5956</v>
      </c>
    </row>
    <row r="94" spans="1:12" ht="15" customHeight="1">
      <c r="A94">
        <v>93</v>
      </c>
      <c r="B94" t="s">
        <v>13</v>
      </c>
      <c r="C94" t="s">
        <v>775</v>
      </c>
      <c r="E94">
        <v>2025</v>
      </c>
      <c r="F94" t="s">
        <v>776</v>
      </c>
      <c r="G94" t="s">
        <v>777</v>
      </c>
      <c r="H94" t="s">
        <v>5953</v>
      </c>
      <c r="I94" t="s">
        <v>91</v>
      </c>
      <c r="J94" t="s">
        <v>5954</v>
      </c>
      <c r="K94" t="s">
        <v>5955</v>
      </c>
      <c r="L94" t="s">
        <v>5956</v>
      </c>
    </row>
    <row r="95" spans="1:12" ht="15" customHeight="1">
      <c r="A95">
        <v>94</v>
      </c>
      <c r="B95" t="s">
        <v>12</v>
      </c>
      <c r="C95" t="s">
        <v>783</v>
      </c>
      <c r="E95" t="s">
        <v>684</v>
      </c>
      <c r="F95" t="s">
        <v>1193</v>
      </c>
      <c r="G95" t="s">
        <v>785</v>
      </c>
      <c r="H95" t="s">
        <v>5953</v>
      </c>
      <c r="I95" t="s">
        <v>91</v>
      </c>
      <c r="J95" t="s">
        <v>5954</v>
      </c>
      <c r="K95" t="s">
        <v>5957</v>
      </c>
      <c r="L95" t="s">
        <v>5956</v>
      </c>
    </row>
    <row r="96" spans="1:12" ht="15" customHeight="1">
      <c r="A96">
        <v>95</v>
      </c>
      <c r="B96" t="s">
        <v>5886</v>
      </c>
      <c r="C96" t="s">
        <v>786</v>
      </c>
      <c r="E96">
        <v>2026</v>
      </c>
      <c r="F96" t="s">
        <v>737</v>
      </c>
      <c r="G96" t="s">
        <v>787</v>
      </c>
      <c r="H96" t="s">
        <v>5953</v>
      </c>
      <c r="I96" t="s">
        <v>91</v>
      </c>
      <c r="J96" t="s">
        <v>5954</v>
      </c>
      <c r="K96" t="s">
        <v>5955</v>
      </c>
      <c r="L96" t="s">
        <v>5956</v>
      </c>
    </row>
    <row r="97" spans="1:12" ht="15" customHeight="1">
      <c r="A97">
        <v>96</v>
      </c>
      <c r="B97" t="s">
        <v>5960</v>
      </c>
      <c r="C97" t="s">
        <v>788</v>
      </c>
      <c r="E97">
        <v>2025</v>
      </c>
      <c r="F97" t="s">
        <v>789</v>
      </c>
      <c r="G97" t="s">
        <v>790</v>
      </c>
      <c r="H97" t="s">
        <v>5953</v>
      </c>
      <c r="I97" t="s">
        <v>91</v>
      </c>
      <c r="J97" t="s">
        <v>5954</v>
      </c>
      <c r="K97" t="s">
        <v>5955</v>
      </c>
      <c r="L97" t="s">
        <v>5956</v>
      </c>
    </row>
    <row r="98" spans="1:12" ht="15" customHeight="1">
      <c r="A98">
        <v>97</v>
      </c>
      <c r="B98" t="s">
        <v>13</v>
      </c>
      <c r="C98" t="s">
        <v>791</v>
      </c>
      <c r="E98">
        <v>2026</v>
      </c>
      <c r="F98" t="s">
        <v>720</v>
      </c>
      <c r="G98" t="s">
        <v>792</v>
      </c>
      <c r="H98" t="s">
        <v>5953</v>
      </c>
      <c r="I98" t="s">
        <v>91</v>
      </c>
      <c r="J98" t="s">
        <v>5954</v>
      </c>
      <c r="K98" t="s">
        <v>5955</v>
      </c>
      <c r="L98" t="s">
        <v>5956</v>
      </c>
    </row>
    <row r="99" spans="1:12" ht="15" customHeight="1">
      <c r="A99">
        <v>98</v>
      </c>
      <c r="B99" t="s">
        <v>13</v>
      </c>
      <c r="C99" t="s">
        <v>794</v>
      </c>
      <c r="E99">
        <v>2025</v>
      </c>
      <c r="F99" t="s">
        <v>795</v>
      </c>
      <c r="G99" t="s">
        <v>796</v>
      </c>
      <c r="H99" t="s">
        <v>5953</v>
      </c>
      <c r="I99" t="s">
        <v>91</v>
      </c>
      <c r="J99" t="s">
        <v>5954</v>
      </c>
      <c r="K99" t="s">
        <v>5955</v>
      </c>
      <c r="L99" t="s">
        <v>5956</v>
      </c>
    </row>
    <row r="100" spans="1:12" ht="15" customHeight="1">
      <c r="A100">
        <v>99</v>
      </c>
      <c r="B100" t="s">
        <v>5886</v>
      </c>
      <c r="C100" t="s">
        <v>797</v>
      </c>
      <c r="E100">
        <v>2025</v>
      </c>
      <c r="F100" t="s">
        <v>798</v>
      </c>
      <c r="G100" t="s">
        <v>799</v>
      </c>
      <c r="H100" t="s">
        <v>5953</v>
      </c>
      <c r="I100" t="s">
        <v>91</v>
      </c>
      <c r="J100" t="s">
        <v>5954</v>
      </c>
      <c r="K100" t="s">
        <v>5955</v>
      </c>
      <c r="L100" t="s">
        <v>5956</v>
      </c>
    </row>
    <row r="101" spans="1:12" ht="15" customHeight="1">
      <c r="A101">
        <v>100</v>
      </c>
      <c r="B101" t="s">
        <v>5960</v>
      </c>
      <c r="C101" t="s">
        <v>800</v>
      </c>
      <c r="E101">
        <v>2025</v>
      </c>
      <c r="F101" t="s">
        <v>746</v>
      </c>
      <c r="G101" t="s">
        <v>801</v>
      </c>
      <c r="H101" t="s">
        <v>5953</v>
      </c>
      <c r="I101" t="s">
        <v>91</v>
      </c>
      <c r="J101" t="s">
        <v>5954</v>
      </c>
      <c r="K101" t="s">
        <v>5955</v>
      </c>
      <c r="L101" t="s">
        <v>5956</v>
      </c>
    </row>
    <row r="102" spans="1:12" ht="15" customHeight="1">
      <c r="A102">
        <v>101</v>
      </c>
      <c r="B102" t="s">
        <v>5960</v>
      </c>
      <c r="C102" t="s">
        <v>802</v>
      </c>
      <c r="E102">
        <v>2025</v>
      </c>
      <c r="F102" t="s">
        <v>761</v>
      </c>
      <c r="G102" t="s">
        <v>803</v>
      </c>
      <c r="H102" t="s">
        <v>5953</v>
      </c>
      <c r="I102" t="s">
        <v>91</v>
      </c>
      <c r="J102" t="s">
        <v>5954</v>
      </c>
      <c r="K102" t="s">
        <v>5955</v>
      </c>
      <c r="L102" t="s">
        <v>5956</v>
      </c>
    </row>
    <row r="103" spans="1:12" ht="15" customHeight="1">
      <c r="A103">
        <v>102</v>
      </c>
      <c r="B103" t="s">
        <v>5886</v>
      </c>
      <c r="C103" t="s">
        <v>804</v>
      </c>
      <c r="E103">
        <v>2025</v>
      </c>
      <c r="F103" t="s">
        <v>720</v>
      </c>
      <c r="G103" t="s">
        <v>805</v>
      </c>
      <c r="H103" t="s">
        <v>5953</v>
      </c>
      <c r="I103" t="s">
        <v>91</v>
      </c>
      <c r="J103" t="s">
        <v>5954</v>
      </c>
      <c r="K103" t="s">
        <v>5955</v>
      </c>
      <c r="L103" t="s">
        <v>5956</v>
      </c>
    </row>
    <row r="104" spans="1:12" ht="15" customHeight="1">
      <c r="A104">
        <v>103</v>
      </c>
      <c r="B104" t="s">
        <v>12</v>
      </c>
      <c r="C104" t="s">
        <v>806</v>
      </c>
      <c r="E104" t="s">
        <v>684</v>
      </c>
      <c r="F104" t="s">
        <v>1177</v>
      </c>
      <c r="G104" t="s">
        <v>808</v>
      </c>
      <c r="H104" t="s">
        <v>5953</v>
      </c>
      <c r="I104" t="s">
        <v>91</v>
      </c>
      <c r="J104" t="s">
        <v>5954</v>
      </c>
      <c r="K104" t="s">
        <v>5957</v>
      </c>
      <c r="L104" t="s">
        <v>5956</v>
      </c>
    </row>
    <row r="105" spans="1:12" ht="15" customHeight="1">
      <c r="A105">
        <v>104</v>
      </c>
      <c r="B105" t="s">
        <v>13</v>
      </c>
      <c r="C105" t="s">
        <v>809</v>
      </c>
      <c r="E105">
        <v>2013</v>
      </c>
      <c r="F105" t="s">
        <v>811</v>
      </c>
      <c r="G105" t="s">
        <v>812</v>
      </c>
      <c r="H105" t="s">
        <v>5953</v>
      </c>
      <c r="I105" t="s">
        <v>91</v>
      </c>
      <c r="J105" t="s">
        <v>5954</v>
      </c>
      <c r="K105" t="s">
        <v>5955</v>
      </c>
      <c r="L105" t="s">
        <v>5956</v>
      </c>
    </row>
    <row r="106" spans="1:12" ht="15" customHeight="1">
      <c r="A106">
        <v>105</v>
      </c>
      <c r="B106" t="s">
        <v>5886</v>
      </c>
      <c r="C106" t="s">
        <v>818</v>
      </c>
      <c r="E106">
        <v>2024</v>
      </c>
      <c r="F106" t="s">
        <v>819</v>
      </c>
      <c r="G106" t="s">
        <v>820</v>
      </c>
      <c r="H106" t="s">
        <v>5953</v>
      </c>
      <c r="I106" t="s">
        <v>91</v>
      </c>
      <c r="J106" t="s">
        <v>5954</v>
      </c>
      <c r="K106" t="s">
        <v>5955</v>
      </c>
      <c r="L106" t="s">
        <v>5956</v>
      </c>
    </row>
    <row r="107" spans="1:12" ht="15" customHeight="1">
      <c r="A107">
        <v>106</v>
      </c>
      <c r="B107" t="s">
        <v>13</v>
      </c>
      <c r="C107" t="s">
        <v>821</v>
      </c>
      <c r="E107">
        <v>2017</v>
      </c>
      <c r="F107" t="s">
        <v>823</v>
      </c>
      <c r="G107" t="s">
        <v>824</v>
      </c>
      <c r="H107" t="s">
        <v>5953</v>
      </c>
      <c r="I107" t="s">
        <v>91</v>
      </c>
      <c r="J107" t="s">
        <v>5954</v>
      </c>
      <c r="K107" t="s">
        <v>5955</v>
      </c>
      <c r="L107" t="s">
        <v>5956</v>
      </c>
    </row>
    <row r="108" spans="1:12" ht="15" customHeight="1">
      <c r="A108">
        <v>107</v>
      </c>
      <c r="B108" t="s">
        <v>13</v>
      </c>
      <c r="C108" t="s">
        <v>825</v>
      </c>
      <c r="E108">
        <v>2014</v>
      </c>
      <c r="F108" t="s">
        <v>827</v>
      </c>
      <c r="G108" t="s">
        <v>828</v>
      </c>
      <c r="H108" t="s">
        <v>5953</v>
      </c>
      <c r="I108" t="s">
        <v>91</v>
      </c>
      <c r="J108" t="s">
        <v>5954</v>
      </c>
      <c r="K108" t="s">
        <v>5955</v>
      </c>
      <c r="L108" t="s">
        <v>5956</v>
      </c>
    </row>
    <row r="109" spans="1:12" ht="15" customHeight="1">
      <c r="A109">
        <v>108</v>
      </c>
      <c r="B109" t="s">
        <v>13</v>
      </c>
      <c r="C109" t="s">
        <v>829</v>
      </c>
      <c r="E109">
        <v>2014</v>
      </c>
      <c r="F109" t="s">
        <v>830</v>
      </c>
      <c r="G109" t="s">
        <v>831</v>
      </c>
      <c r="H109" t="s">
        <v>5953</v>
      </c>
      <c r="I109" t="s">
        <v>91</v>
      </c>
      <c r="J109" t="s">
        <v>5954</v>
      </c>
      <c r="K109" t="s">
        <v>5955</v>
      </c>
      <c r="L109" t="s">
        <v>5956</v>
      </c>
    </row>
    <row r="110" spans="1:12" ht="15" customHeight="1">
      <c r="A110">
        <v>109</v>
      </c>
      <c r="B110" t="s">
        <v>13</v>
      </c>
      <c r="C110" t="s">
        <v>832</v>
      </c>
      <c r="E110">
        <v>2026</v>
      </c>
      <c r="F110" t="s">
        <v>833</v>
      </c>
      <c r="G110" t="s">
        <v>834</v>
      </c>
      <c r="H110" t="s">
        <v>5953</v>
      </c>
      <c r="I110" t="s">
        <v>91</v>
      </c>
      <c r="J110" t="s">
        <v>5954</v>
      </c>
      <c r="K110" t="s">
        <v>5955</v>
      </c>
      <c r="L110" t="s">
        <v>5956</v>
      </c>
    </row>
    <row r="111" spans="1:12" ht="15" customHeight="1">
      <c r="A111">
        <v>110</v>
      </c>
      <c r="B111" t="s">
        <v>13</v>
      </c>
      <c r="C111" t="s">
        <v>835</v>
      </c>
      <c r="E111">
        <v>2024</v>
      </c>
      <c r="F111" t="s">
        <v>836</v>
      </c>
      <c r="G111" t="s">
        <v>837</v>
      </c>
      <c r="H111" t="s">
        <v>5953</v>
      </c>
      <c r="I111" t="s">
        <v>91</v>
      </c>
      <c r="J111" t="s">
        <v>5954</v>
      </c>
      <c r="K111" t="s">
        <v>5955</v>
      </c>
      <c r="L111" t="s">
        <v>5956</v>
      </c>
    </row>
    <row r="112" spans="1:12" ht="15" customHeight="1">
      <c r="A112">
        <v>111</v>
      </c>
      <c r="B112" t="s">
        <v>13</v>
      </c>
      <c r="C112" t="s">
        <v>838</v>
      </c>
      <c r="E112">
        <v>2023</v>
      </c>
      <c r="F112" t="s">
        <v>839</v>
      </c>
      <c r="G112" t="s">
        <v>840</v>
      </c>
      <c r="H112" t="s">
        <v>5953</v>
      </c>
      <c r="I112" t="s">
        <v>91</v>
      </c>
      <c r="J112" t="s">
        <v>5954</v>
      </c>
      <c r="K112" t="s">
        <v>5955</v>
      </c>
      <c r="L112" t="s">
        <v>5956</v>
      </c>
    </row>
    <row r="113" spans="1:12" ht="15" customHeight="1">
      <c r="A113">
        <v>112</v>
      </c>
      <c r="B113" t="s">
        <v>13</v>
      </c>
      <c r="C113" t="s">
        <v>841</v>
      </c>
      <c r="E113">
        <v>2025</v>
      </c>
      <c r="F113" t="s">
        <v>761</v>
      </c>
      <c r="G113" t="s">
        <v>842</v>
      </c>
      <c r="H113" t="s">
        <v>5953</v>
      </c>
      <c r="I113" t="s">
        <v>91</v>
      </c>
      <c r="J113" t="s">
        <v>5954</v>
      </c>
      <c r="K113" t="s">
        <v>5955</v>
      </c>
      <c r="L113" t="s">
        <v>5956</v>
      </c>
    </row>
    <row r="114" spans="1:12" ht="15" customHeight="1">
      <c r="A114">
        <v>113</v>
      </c>
      <c r="B114" t="s">
        <v>13</v>
      </c>
      <c r="C114" t="s">
        <v>843</v>
      </c>
      <c r="E114">
        <v>2012</v>
      </c>
      <c r="F114" t="s">
        <v>845</v>
      </c>
      <c r="G114" t="s">
        <v>846</v>
      </c>
      <c r="H114" t="s">
        <v>5953</v>
      </c>
      <c r="I114" t="s">
        <v>91</v>
      </c>
      <c r="J114" t="s">
        <v>5954</v>
      </c>
      <c r="K114" t="s">
        <v>5955</v>
      </c>
      <c r="L114" t="s">
        <v>5956</v>
      </c>
    </row>
    <row r="115" spans="1:12" ht="15" customHeight="1">
      <c r="A115">
        <v>114</v>
      </c>
      <c r="B115" t="s">
        <v>13</v>
      </c>
      <c r="C115" t="s">
        <v>847</v>
      </c>
      <c r="E115">
        <v>2025</v>
      </c>
      <c r="F115" t="s">
        <v>761</v>
      </c>
      <c r="G115" t="s">
        <v>848</v>
      </c>
      <c r="H115" t="s">
        <v>5953</v>
      </c>
      <c r="I115" t="s">
        <v>91</v>
      </c>
      <c r="J115" t="s">
        <v>5954</v>
      </c>
      <c r="K115" t="s">
        <v>5955</v>
      </c>
      <c r="L115" t="s">
        <v>5956</v>
      </c>
    </row>
    <row r="116" spans="1:12" ht="15" customHeight="1">
      <c r="A116">
        <v>115</v>
      </c>
      <c r="B116" t="s">
        <v>13</v>
      </c>
      <c r="C116" t="s">
        <v>852</v>
      </c>
      <c r="E116">
        <v>2026</v>
      </c>
      <c r="F116" t="s">
        <v>853</v>
      </c>
      <c r="G116" t="s">
        <v>854</v>
      </c>
      <c r="H116" t="s">
        <v>5953</v>
      </c>
      <c r="I116" t="s">
        <v>91</v>
      </c>
      <c r="J116" t="s">
        <v>5954</v>
      </c>
      <c r="K116" t="s">
        <v>5955</v>
      </c>
      <c r="L116" t="s">
        <v>5956</v>
      </c>
    </row>
    <row r="117" spans="1:12" ht="15" customHeight="1">
      <c r="A117">
        <v>116</v>
      </c>
      <c r="B117" t="s">
        <v>13</v>
      </c>
      <c r="C117" t="s">
        <v>855</v>
      </c>
      <c r="E117">
        <v>2019</v>
      </c>
      <c r="F117" t="s">
        <v>857</v>
      </c>
      <c r="G117" t="s">
        <v>858</v>
      </c>
      <c r="H117" t="s">
        <v>5953</v>
      </c>
      <c r="I117" t="s">
        <v>91</v>
      </c>
      <c r="J117" t="s">
        <v>5954</v>
      </c>
      <c r="K117" t="s">
        <v>5955</v>
      </c>
      <c r="L117" t="s">
        <v>5956</v>
      </c>
    </row>
    <row r="118" spans="1:12" ht="15" customHeight="1">
      <c r="A118">
        <v>117</v>
      </c>
      <c r="B118" t="s">
        <v>13</v>
      </c>
      <c r="C118" t="s">
        <v>859</v>
      </c>
      <c r="E118">
        <v>2025</v>
      </c>
      <c r="F118" t="s">
        <v>761</v>
      </c>
      <c r="G118" t="s">
        <v>860</v>
      </c>
      <c r="H118" t="s">
        <v>5953</v>
      </c>
      <c r="I118" t="s">
        <v>91</v>
      </c>
      <c r="J118" t="s">
        <v>5954</v>
      </c>
      <c r="K118" t="s">
        <v>5955</v>
      </c>
      <c r="L118" t="s">
        <v>5956</v>
      </c>
    </row>
    <row r="119" spans="1:12" ht="15" customHeight="1">
      <c r="A119">
        <v>118</v>
      </c>
      <c r="B119" t="s">
        <v>13</v>
      </c>
      <c r="C119" t="s">
        <v>861</v>
      </c>
      <c r="E119">
        <v>2019</v>
      </c>
      <c r="F119" t="s">
        <v>862</v>
      </c>
      <c r="G119" t="s">
        <v>863</v>
      </c>
      <c r="H119" t="s">
        <v>5953</v>
      </c>
      <c r="I119" t="s">
        <v>91</v>
      </c>
      <c r="J119" t="s">
        <v>5954</v>
      </c>
      <c r="K119" t="s">
        <v>5955</v>
      </c>
      <c r="L119" t="s">
        <v>5956</v>
      </c>
    </row>
    <row r="120" spans="1:12" ht="15" customHeight="1">
      <c r="A120">
        <v>119</v>
      </c>
      <c r="B120" t="s">
        <v>5961</v>
      </c>
      <c r="C120" t="s">
        <v>524</v>
      </c>
      <c r="E120">
        <v>2023</v>
      </c>
      <c r="F120" t="s">
        <v>731</v>
      </c>
      <c r="G120" t="s">
        <v>864</v>
      </c>
      <c r="H120" t="s">
        <v>5953</v>
      </c>
      <c r="I120" t="s">
        <v>91</v>
      </c>
      <c r="J120" t="s">
        <v>5954</v>
      </c>
      <c r="K120" t="s">
        <v>5955</v>
      </c>
      <c r="L120" t="s">
        <v>5956</v>
      </c>
    </row>
    <row r="121" spans="1:12" ht="15" customHeight="1">
      <c r="A121">
        <v>120</v>
      </c>
      <c r="B121" t="s">
        <v>5886</v>
      </c>
      <c r="C121" t="s">
        <v>865</v>
      </c>
      <c r="E121">
        <v>2026</v>
      </c>
      <c r="F121" t="s">
        <v>866</v>
      </c>
      <c r="G121" t="s">
        <v>867</v>
      </c>
      <c r="H121" t="s">
        <v>5953</v>
      </c>
      <c r="I121" t="s">
        <v>91</v>
      </c>
      <c r="J121" t="s">
        <v>5954</v>
      </c>
      <c r="K121" t="s">
        <v>5955</v>
      </c>
      <c r="L121" t="s">
        <v>5956</v>
      </c>
    </row>
    <row r="122" spans="1:12" ht="15" customHeight="1">
      <c r="A122">
        <v>121</v>
      </c>
      <c r="B122" t="s">
        <v>13</v>
      </c>
      <c r="C122" t="s">
        <v>868</v>
      </c>
      <c r="E122">
        <v>2025</v>
      </c>
      <c r="F122" t="s">
        <v>761</v>
      </c>
      <c r="G122" t="s">
        <v>869</v>
      </c>
      <c r="H122" t="s">
        <v>5953</v>
      </c>
      <c r="I122" t="s">
        <v>91</v>
      </c>
      <c r="J122" t="s">
        <v>5954</v>
      </c>
      <c r="K122" t="s">
        <v>5955</v>
      </c>
      <c r="L122" t="s">
        <v>5956</v>
      </c>
    </row>
    <row r="123" spans="1:12" ht="15" customHeight="1">
      <c r="A123">
        <v>122</v>
      </c>
      <c r="B123" t="s">
        <v>5886</v>
      </c>
      <c r="C123" t="s">
        <v>870</v>
      </c>
      <c r="E123">
        <v>2022</v>
      </c>
      <c r="F123" t="s">
        <v>720</v>
      </c>
      <c r="G123" t="s">
        <v>871</v>
      </c>
      <c r="H123" t="s">
        <v>5953</v>
      </c>
      <c r="I123" t="s">
        <v>91</v>
      </c>
      <c r="J123" t="s">
        <v>5954</v>
      </c>
      <c r="K123" t="s">
        <v>5955</v>
      </c>
      <c r="L123" t="s">
        <v>5956</v>
      </c>
    </row>
    <row r="124" spans="1:12" ht="15" customHeight="1">
      <c r="A124">
        <v>123</v>
      </c>
      <c r="B124" t="s">
        <v>13</v>
      </c>
      <c r="C124" t="s">
        <v>872</v>
      </c>
      <c r="E124">
        <v>2024</v>
      </c>
      <c r="F124" t="s">
        <v>873</v>
      </c>
      <c r="G124" t="s">
        <v>874</v>
      </c>
      <c r="H124" t="s">
        <v>5953</v>
      </c>
      <c r="I124" t="s">
        <v>91</v>
      </c>
      <c r="J124" t="s">
        <v>5954</v>
      </c>
      <c r="K124" t="s">
        <v>5955</v>
      </c>
      <c r="L124" t="s">
        <v>5956</v>
      </c>
    </row>
    <row r="125" spans="1:12" ht="15" customHeight="1">
      <c r="A125">
        <v>124</v>
      </c>
      <c r="B125" t="s">
        <v>5886</v>
      </c>
      <c r="C125" t="s">
        <v>875</v>
      </c>
      <c r="E125">
        <v>2024</v>
      </c>
      <c r="F125" t="s">
        <v>737</v>
      </c>
      <c r="G125" t="s">
        <v>876</v>
      </c>
      <c r="H125" t="s">
        <v>5953</v>
      </c>
      <c r="I125" t="s">
        <v>91</v>
      </c>
      <c r="J125" t="s">
        <v>5954</v>
      </c>
      <c r="K125" t="s">
        <v>5955</v>
      </c>
      <c r="L125" t="s">
        <v>5956</v>
      </c>
    </row>
    <row r="126" spans="1:12" ht="15" customHeight="1">
      <c r="A126">
        <v>125</v>
      </c>
      <c r="B126" t="s">
        <v>12</v>
      </c>
      <c r="C126" t="s">
        <v>877</v>
      </c>
      <c r="E126" t="s">
        <v>709</v>
      </c>
      <c r="F126" t="s">
        <v>1171</v>
      </c>
      <c r="G126" t="s">
        <v>879</v>
      </c>
      <c r="H126" t="s">
        <v>5953</v>
      </c>
      <c r="I126" t="s">
        <v>91</v>
      </c>
      <c r="J126" t="s">
        <v>5962</v>
      </c>
      <c r="K126" t="s">
        <v>5957</v>
      </c>
      <c r="L126" t="s">
        <v>5956</v>
      </c>
    </row>
    <row r="127" spans="1:12" ht="15" customHeight="1">
      <c r="A127">
        <v>126</v>
      </c>
      <c r="B127" t="s">
        <v>5886</v>
      </c>
      <c r="C127" t="s">
        <v>880</v>
      </c>
      <c r="E127">
        <v>2022</v>
      </c>
      <c r="F127" t="s">
        <v>720</v>
      </c>
      <c r="G127" t="s">
        <v>881</v>
      </c>
      <c r="H127" t="s">
        <v>5953</v>
      </c>
      <c r="I127" t="s">
        <v>91</v>
      </c>
      <c r="J127" t="s">
        <v>5954</v>
      </c>
      <c r="K127" t="s">
        <v>5955</v>
      </c>
      <c r="L127" t="s">
        <v>5956</v>
      </c>
    </row>
    <row r="128" spans="1:12" ht="15" customHeight="1">
      <c r="A128">
        <v>127</v>
      </c>
      <c r="B128" t="s">
        <v>13</v>
      </c>
      <c r="C128" t="s">
        <v>882</v>
      </c>
      <c r="E128">
        <v>2022</v>
      </c>
      <c r="F128" t="s">
        <v>878</v>
      </c>
      <c r="G128" t="s">
        <v>883</v>
      </c>
      <c r="H128" t="s">
        <v>5953</v>
      </c>
      <c r="I128" t="s">
        <v>91</v>
      </c>
      <c r="J128" t="s">
        <v>5954</v>
      </c>
      <c r="K128" t="s">
        <v>5955</v>
      </c>
      <c r="L128" t="s">
        <v>5956</v>
      </c>
    </row>
    <row r="129" spans="1:12" ht="15" customHeight="1">
      <c r="A129">
        <v>128</v>
      </c>
      <c r="B129" t="s">
        <v>13</v>
      </c>
      <c r="C129" t="s">
        <v>884</v>
      </c>
      <c r="E129">
        <v>2024</v>
      </c>
      <c r="F129" t="s">
        <v>885</v>
      </c>
      <c r="G129" t="s">
        <v>886</v>
      </c>
      <c r="H129" t="s">
        <v>5953</v>
      </c>
      <c r="I129" t="s">
        <v>91</v>
      </c>
      <c r="J129" t="s">
        <v>5954</v>
      </c>
      <c r="K129" t="s">
        <v>5955</v>
      </c>
      <c r="L129" t="s">
        <v>5956</v>
      </c>
    </row>
    <row r="130" spans="1:12" ht="15" customHeight="1">
      <c r="A130">
        <v>129</v>
      </c>
      <c r="B130" t="s">
        <v>13</v>
      </c>
      <c r="C130" t="s">
        <v>887</v>
      </c>
      <c r="E130">
        <v>2024</v>
      </c>
      <c r="F130" t="s">
        <v>761</v>
      </c>
      <c r="G130" t="s">
        <v>888</v>
      </c>
      <c r="H130" t="s">
        <v>5953</v>
      </c>
      <c r="I130" t="s">
        <v>91</v>
      </c>
      <c r="J130" t="s">
        <v>5954</v>
      </c>
      <c r="K130" t="s">
        <v>5955</v>
      </c>
      <c r="L130" t="s">
        <v>5956</v>
      </c>
    </row>
    <row r="131" spans="1:12" ht="15" customHeight="1">
      <c r="A131">
        <v>130</v>
      </c>
      <c r="B131" t="s">
        <v>13</v>
      </c>
      <c r="C131" t="s">
        <v>889</v>
      </c>
      <c r="E131">
        <v>2025</v>
      </c>
      <c r="F131" t="s">
        <v>890</v>
      </c>
      <c r="G131" t="s">
        <v>891</v>
      </c>
      <c r="H131" t="s">
        <v>5953</v>
      </c>
      <c r="I131" t="s">
        <v>91</v>
      </c>
      <c r="J131" t="s">
        <v>5954</v>
      </c>
      <c r="K131" t="s">
        <v>5955</v>
      </c>
      <c r="L131" t="s">
        <v>5956</v>
      </c>
    </row>
    <row r="132" spans="1:12" ht="15" customHeight="1">
      <c r="A132">
        <v>131</v>
      </c>
      <c r="B132" t="s">
        <v>5886</v>
      </c>
      <c r="C132" t="s">
        <v>892</v>
      </c>
      <c r="E132">
        <v>2024</v>
      </c>
      <c r="F132" t="s">
        <v>893</v>
      </c>
      <c r="G132" t="s">
        <v>894</v>
      </c>
      <c r="H132" t="s">
        <v>5953</v>
      </c>
      <c r="I132" t="s">
        <v>91</v>
      </c>
      <c r="J132" t="s">
        <v>5954</v>
      </c>
      <c r="K132" t="s">
        <v>5955</v>
      </c>
      <c r="L132" t="s">
        <v>5956</v>
      </c>
    </row>
    <row r="133" spans="1:12" ht="15" customHeight="1">
      <c r="A133">
        <v>132</v>
      </c>
      <c r="B133" t="s">
        <v>13</v>
      </c>
      <c r="C133" t="s">
        <v>895</v>
      </c>
      <c r="E133">
        <v>2022</v>
      </c>
      <c r="F133" t="s">
        <v>761</v>
      </c>
      <c r="G133" t="s">
        <v>896</v>
      </c>
      <c r="H133" t="s">
        <v>5953</v>
      </c>
      <c r="I133" t="s">
        <v>91</v>
      </c>
      <c r="J133" t="s">
        <v>5954</v>
      </c>
      <c r="K133" t="s">
        <v>5955</v>
      </c>
      <c r="L133" t="s">
        <v>5956</v>
      </c>
    </row>
    <row r="134" spans="1:12" ht="15" customHeight="1">
      <c r="A134">
        <v>133</v>
      </c>
      <c r="B134" t="s">
        <v>13</v>
      </c>
      <c r="C134" t="s">
        <v>897</v>
      </c>
      <c r="E134">
        <v>2024</v>
      </c>
      <c r="F134" t="s">
        <v>898</v>
      </c>
      <c r="G134" t="s">
        <v>899</v>
      </c>
      <c r="H134" t="s">
        <v>5953</v>
      </c>
      <c r="I134" t="s">
        <v>91</v>
      </c>
      <c r="J134" t="s">
        <v>5954</v>
      </c>
      <c r="K134" t="s">
        <v>5955</v>
      </c>
      <c r="L134" t="s">
        <v>5956</v>
      </c>
    </row>
    <row r="135" spans="1:12" ht="15" customHeight="1">
      <c r="A135">
        <v>134</v>
      </c>
      <c r="B135" t="s">
        <v>13</v>
      </c>
      <c r="C135" t="s">
        <v>900</v>
      </c>
      <c r="E135">
        <v>2022</v>
      </c>
      <c r="F135" t="s">
        <v>784</v>
      </c>
      <c r="G135" t="s">
        <v>901</v>
      </c>
      <c r="H135" t="s">
        <v>5953</v>
      </c>
      <c r="I135" t="s">
        <v>91</v>
      </c>
      <c r="J135" t="s">
        <v>5954</v>
      </c>
      <c r="K135" t="s">
        <v>5955</v>
      </c>
      <c r="L135" t="s">
        <v>5956</v>
      </c>
    </row>
    <row r="136" spans="1:12" ht="15" customHeight="1">
      <c r="A136">
        <v>135</v>
      </c>
      <c r="B136" t="s">
        <v>13</v>
      </c>
      <c r="C136" t="s">
        <v>902</v>
      </c>
      <c r="E136">
        <v>2022</v>
      </c>
      <c r="F136" t="s">
        <v>903</v>
      </c>
      <c r="G136" t="s">
        <v>904</v>
      </c>
      <c r="H136" t="s">
        <v>5953</v>
      </c>
      <c r="I136" t="s">
        <v>91</v>
      </c>
      <c r="J136" t="s">
        <v>5954</v>
      </c>
      <c r="K136" t="s">
        <v>5955</v>
      </c>
      <c r="L136" t="s">
        <v>5956</v>
      </c>
    </row>
    <row r="137" spans="1:12" ht="15" customHeight="1">
      <c r="A137">
        <v>136</v>
      </c>
      <c r="B137" t="s">
        <v>5886</v>
      </c>
      <c r="C137" t="s">
        <v>905</v>
      </c>
      <c r="E137">
        <v>2026</v>
      </c>
      <c r="F137" t="s">
        <v>720</v>
      </c>
      <c r="G137" t="s">
        <v>906</v>
      </c>
      <c r="H137" t="s">
        <v>5953</v>
      </c>
      <c r="I137" t="s">
        <v>91</v>
      </c>
      <c r="J137" t="s">
        <v>5954</v>
      </c>
      <c r="K137" t="s">
        <v>5955</v>
      </c>
      <c r="L137" t="s">
        <v>5956</v>
      </c>
    </row>
    <row r="138" spans="1:12" ht="15" customHeight="1">
      <c r="A138">
        <v>137</v>
      </c>
      <c r="B138" t="s">
        <v>5963</v>
      </c>
      <c r="C138" t="s">
        <v>491</v>
      </c>
      <c r="E138">
        <v>2025</v>
      </c>
      <c r="F138" t="s">
        <v>731</v>
      </c>
      <c r="G138" t="s">
        <v>907</v>
      </c>
      <c r="H138" t="s">
        <v>5953</v>
      </c>
      <c r="I138" t="s">
        <v>91</v>
      </c>
      <c r="J138" t="s">
        <v>5954</v>
      </c>
      <c r="K138" t="s">
        <v>5955</v>
      </c>
      <c r="L138" t="s">
        <v>5956</v>
      </c>
    </row>
    <row r="139" spans="1:12" ht="15" customHeight="1">
      <c r="A139">
        <v>138</v>
      </c>
      <c r="B139" t="s">
        <v>13</v>
      </c>
      <c r="C139" t="s">
        <v>908</v>
      </c>
      <c r="E139">
        <v>2022</v>
      </c>
      <c r="F139" t="s">
        <v>909</v>
      </c>
      <c r="G139" t="s">
        <v>910</v>
      </c>
      <c r="H139" t="s">
        <v>5953</v>
      </c>
      <c r="I139" t="s">
        <v>91</v>
      </c>
      <c r="J139" t="s">
        <v>5954</v>
      </c>
      <c r="K139" t="s">
        <v>5955</v>
      </c>
      <c r="L139" t="s">
        <v>5956</v>
      </c>
    </row>
    <row r="140" spans="1:12" ht="15" customHeight="1">
      <c r="A140">
        <v>139</v>
      </c>
      <c r="B140" t="s">
        <v>13</v>
      </c>
      <c r="C140" t="s">
        <v>911</v>
      </c>
      <c r="E140">
        <v>2017</v>
      </c>
      <c r="F140" t="s">
        <v>731</v>
      </c>
      <c r="G140" t="s">
        <v>912</v>
      </c>
      <c r="H140" t="s">
        <v>5953</v>
      </c>
      <c r="I140" t="s">
        <v>91</v>
      </c>
      <c r="J140" t="s">
        <v>5954</v>
      </c>
      <c r="K140" t="s">
        <v>5955</v>
      </c>
      <c r="L140" t="s">
        <v>5956</v>
      </c>
    </row>
    <row r="141" spans="1:12" ht="15" customHeight="1">
      <c r="A141">
        <v>140</v>
      </c>
      <c r="B141" t="s">
        <v>13</v>
      </c>
      <c r="C141" t="s">
        <v>913</v>
      </c>
      <c r="E141">
        <v>2021</v>
      </c>
      <c r="F141" t="s">
        <v>915</v>
      </c>
      <c r="G141" t="s">
        <v>916</v>
      </c>
      <c r="H141" t="s">
        <v>5953</v>
      </c>
      <c r="I141" t="s">
        <v>91</v>
      </c>
      <c r="J141" t="s">
        <v>5954</v>
      </c>
      <c r="K141" t="s">
        <v>5955</v>
      </c>
      <c r="L141" t="s">
        <v>5956</v>
      </c>
    </row>
    <row r="142" spans="1:12" ht="15" customHeight="1">
      <c r="A142">
        <v>141</v>
      </c>
      <c r="B142" t="s">
        <v>9</v>
      </c>
      <c r="C142" t="s">
        <v>917</v>
      </c>
      <c r="D142" t="s">
        <v>918</v>
      </c>
      <c r="E142">
        <v>2020</v>
      </c>
      <c r="F142" t="s">
        <v>920</v>
      </c>
      <c r="G142" t="s">
        <v>921</v>
      </c>
      <c r="H142" t="s">
        <v>5953</v>
      </c>
      <c r="I142" t="s">
        <v>91</v>
      </c>
      <c r="J142" t="s">
        <v>5954</v>
      </c>
      <c r="K142" t="s">
        <v>5955</v>
      </c>
      <c r="L142" t="s">
        <v>5956</v>
      </c>
    </row>
    <row r="143" spans="1:12" ht="15" customHeight="1">
      <c r="A143">
        <v>142</v>
      </c>
      <c r="B143" t="s">
        <v>9</v>
      </c>
      <c r="C143" t="s">
        <v>925</v>
      </c>
      <c r="D143" t="s">
        <v>926</v>
      </c>
      <c r="E143">
        <v>2021</v>
      </c>
      <c r="F143" t="s">
        <v>923</v>
      </c>
      <c r="G143" t="s">
        <v>927</v>
      </c>
      <c r="H143" t="s">
        <v>5953</v>
      </c>
      <c r="I143" t="s">
        <v>91</v>
      </c>
      <c r="J143" t="s">
        <v>5954</v>
      </c>
      <c r="K143" t="s">
        <v>5955</v>
      </c>
      <c r="L143" t="s">
        <v>5956</v>
      </c>
    </row>
    <row r="144" spans="1:12" ht="15" customHeight="1">
      <c r="A144">
        <v>143</v>
      </c>
      <c r="B144" t="s">
        <v>9</v>
      </c>
      <c r="C144" t="s">
        <v>928</v>
      </c>
      <c r="D144" t="s">
        <v>929</v>
      </c>
      <c r="E144">
        <v>2021</v>
      </c>
      <c r="F144" t="s">
        <v>923</v>
      </c>
      <c r="G144" t="s">
        <v>930</v>
      </c>
      <c r="H144" t="s">
        <v>5953</v>
      </c>
      <c r="I144" t="s">
        <v>91</v>
      </c>
      <c r="J144" t="s">
        <v>5954</v>
      </c>
      <c r="K144" t="s">
        <v>5955</v>
      </c>
      <c r="L144" t="s">
        <v>5956</v>
      </c>
    </row>
    <row r="145" spans="1:12" ht="15" customHeight="1">
      <c r="A145">
        <v>144</v>
      </c>
      <c r="B145" t="s">
        <v>9</v>
      </c>
      <c r="C145" t="s">
        <v>931</v>
      </c>
      <c r="D145" t="s">
        <v>932</v>
      </c>
      <c r="E145">
        <v>2021</v>
      </c>
      <c r="F145" t="s">
        <v>933</v>
      </c>
      <c r="G145" t="s">
        <v>934</v>
      </c>
      <c r="H145" t="s">
        <v>5953</v>
      </c>
      <c r="I145" t="s">
        <v>91</v>
      </c>
      <c r="J145" t="s">
        <v>5954</v>
      </c>
      <c r="K145" t="s">
        <v>5955</v>
      </c>
      <c r="L145" t="s">
        <v>5956</v>
      </c>
    </row>
    <row r="146" spans="1:12" ht="15" customHeight="1">
      <c r="A146">
        <v>145</v>
      </c>
      <c r="B146" t="s">
        <v>9</v>
      </c>
      <c r="C146" t="s">
        <v>935</v>
      </c>
      <c r="D146" t="s">
        <v>936</v>
      </c>
      <c r="E146">
        <v>2021</v>
      </c>
      <c r="F146" t="s">
        <v>937</v>
      </c>
      <c r="G146" t="s">
        <v>938</v>
      </c>
      <c r="H146" t="s">
        <v>5953</v>
      </c>
      <c r="I146" t="s">
        <v>91</v>
      </c>
      <c r="J146" t="s">
        <v>5954</v>
      </c>
      <c r="K146" t="s">
        <v>5955</v>
      </c>
      <c r="L146" t="s">
        <v>5956</v>
      </c>
    </row>
    <row r="147" spans="1:12" ht="15" customHeight="1">
      <c r="A147">
        <v>146</v>
      </c>
      <c r="B147" t="s">
        <v>9</v>
      </c>
      <c r="C147" t="s">
        <v>939</v>
      </c>
      <c r="D147" t="s">
        <v>940</v>
      </c>
      <c r="E147">
        <v>2021</v>
      </c>
      <c r="F147" t="s">
        <v>941</v>
      </c>
      <c r="G147" t="s">
        <v>942</v>
      </c>
      <c r="H147" t="s">
        <v>5953</v>
      </c>
      <c r="I147" t="s">
        <v>91</v>
      </c>
      <c r="J147" t="s">
        <v>5954</v>
      </c>
      <c r="K147" t="s">
        <v>5955</v>
      </c>
      <c r="L147" t="s">
        <v>5956</v>
      </c>
    </row>
    <row r="148" spans="1:12" ht="15" customHeight="1">
      <c r="A148">
        <v>147</v>
      </c>
      <c r="B148" t="s">
        <v>9</v>
      </c>
      <c r="C148" t="s">
        <v>943</v>
      </c>
      <c r="D148" t="s">
        <v>944</v>
      </c>
      <c r="E148">
        <v>2021</v>
      </c>
      <c r="F148" t="s">
        <v>945</v>
      </c>
      <c r="G148" t="s">
        <v>946</v>
      </c>
      <c r="H148" t="s">
        <v>5953</v>
      </c>
      <c r="I148" t="s">
        <v>91</v>
      </c>
      <c r="J148" t="s">
        <v>5954</v>
      </c>
      <c r="K148" t="s">
        <v>5955</v>
      </c>
      <c r="L148" t="s">
        <v>5956</v>
      </c>
    </row>
    <row r="149" spans="1:12" ht="15" customHeight="1">
      <c r="A149">
        <v>148</v>
      </c>
      <c r="B149" t="s">
        <v>9</v>
      </c>
      <c r="C149" t="s">
        <v>950</v>
      </c>
      <c r="D149" t="s">
        <v>951</v>
      </c>
      <c r="E149">
        <v>2022</v>
      </c>
      <c r="F149" t="s">
        <v>952</v>
      </c>
      <c r="G149" t="s">
        <v>953</v>
      </c>
      <c r="H149" t="s">
        <v>5953</v>
      </c>
      <c r="I149" t="s">
        <v>91</v>
      </c>
      <c r="J149" t="s">
        <v>5954</v>
      </c>
      <c r="K149" t="s">
        <v>5955</v>
      </c>
      <c r="L149" t="s">
        <v>5956</v>
      </c>
    </row>
    <row r="150" spans="1:12" ht="15" customHeight="1">
      <c r="A150">
        <v>149</v>
      </c>
      <c r="B150" t="s">
        <v>9</v>
      </c>
      <c r="C150" t="s">
        <v>954</v>
      </c>
      <c r="D150" t="s">
        <v>955</v>
      </c>
      <c r="E150">
        <v>2022</v>
      </c>
      <c r="F150" t="s">
        <v>923</v>
      </c>
      <c r="G150" t="s">
        <v>956</v>
      </c>
      <c r="H150" t="s">
        <v>5953</v>
      </c>
      <c r="I150" t="s">
        <v>91</v>
      </c>
      <c r="J150" t="s">
        <v>5954</v>
      </c>
      <c r="K150" t="s">
        <v>5955</v>
      </c>
      <c r="L150" t="s">
        <v>5956</v>
      </c>
    </row>
    <row r="151" spans="1:12" ht="15" customHeight="1">
      <c r="A151">
        <v>150</v>
      </c>
      <c r="B151" t="s">
        <v>9</v>
      </c>
      <c r="C151" t="s">
        <v>957</v>
      </c>
      <c r="D151" t="s">
        <v>958</v>
      </c>
      <c r="E151">
        <v>2022</v>
      </c>
      <c r="F151" t="s">
        <v>923</v>
      </c>
      <c r="G151" t="s">
        <v>959</v>
      </c>
      <c r="H151" t="s">
        <v>5953</v>
      </c>
      <c r="I151" t="s">
        <v>91</v>
      </c>
      <c r="J151" t="s">
        <v>5954</v>
      </c>
      <c r="K151" t="s">
        <v>5955</v>
      </c>
      <c r="L151" t="s">
        <v>5956</v>
      </c>
    </row>
    <row r="152" spans="1:12" ht="15" customHeight="1">
      <c r="A152">
        <v>151</v>
      </c>
      <c r="B152" t="s">
        <v>9</v>
      </c>
      <c r="C152" t="s">
        <v>960</v>
      </c>
      <c r="D152" t="s">
        <v>961</v>
      </c>
      <c r="E152">
        <v>2022</v>
      </c>
      <c r="F152" t="s">
        <v>923</v>
      </c>
      <c r="G152" t="s">
        <v>962</v>
      </c>
      <c r="H152" t="s">
        <v>5953</v>
      </c>
      <c r="I152" t="s">
        <v>91</v>
      </c>
      <c r="J152" t="s">
        <v>5954</v>
      </c>
      <c r="K152" t="s">
        <v>5955</v>
      </c>
      <c r="L152" t="s">
        <v>5956</v>
      </c>
    </row>
    <row r="153" spans="1:12" ht="15" customHeight="1">
      <c r="A153">
        <v>152</v>
      </c>
      <c r="B153" t="s">
        <v>9</v>
      </c>
      <c r="C153" t="s">
        <v>963</v>
      </c>
      <c r="D153" t="s">
        <v>964</v>
      </c>
      <c r="E153">
        <v>2022</v>
      </c>
      <c r="F153" t="s">
        <v>965</v>
      </c>
      <c r="G153" t="s">
        <v>966</v>
      </c>
      <c r="H153" t="s">
        <v>5953</v>
      </c>
      <c r="I153" t="s">
        <v>91</v>
      </c>
      <c r="J153" t="s">
        <v>5954</v>
      </c>
      <c r="K153" t="s">
        <v>5955</v>
      </c>
      <c r="L153" t="s">
        <v>5956</v>
      </c>
    </row>
    <row r="154" spans="1:12" ht="15" customHeight="1">
      <c r="A154">
        <v>153</v>
      </c>
      <c r="B154" t="s">
        <v>9</v>
      </c>
      <c r="C154" t="s">
        <v>967</v>
      </c>
      <c r="D154" t="s">
        <v>968</v>
      </c>
      <c r="E154">
        <v>2022</v>
      </c>
      <c r="F154" t="s">
        <v>969</v>
      </c>
      <c r="G154" t="s">
        <v>970</v>
      </c>
      <c r="H154" t="s">
        <v>5953</v>
      </c>
      <c r="I154" t="s">
        <v>91</v>
      </c>
      <c r="J154" t="s">
        <v>5954</v>
      </c>
      <c r="K154" t="s">
        <v>5955</v>
      </c>
      <c r="L154" t="s">
        <v>5956</v>
      </c>
    </row>
    <row r="155" spans="1:12" ht="15" customHeight="1">
      <c r="A155">
        <v>154</v>
      </c>
      <c r="B155" t="s">
        <v>9</v>
      </c>
      <c r="C155" t="s">
        <v>971</v>
      </c>
      <c r="D155" t="s">
        <v>972</v>
      </c>
      <c r="E155">
        <v>2022</v>
      </c>
      <c r="F155" t="s">
        <v>973</v>
      </c>
      <c r="G155" t="s">
        <v>974</v>
      </c>
      <c r="H155" t="s">
        <v>5953</v>
      </c>
      <c r="I155" t="s">
        <v>91</v>
      </c>
      <c r="J155" t="s">
        <v>5954</v>
      </c>
      <c r="K155" t="s">
        <v>5955</v>
      </c>
      <c r="L155" t="s">
        <v>5956</v>
      </c>
    </row>
    <row r="156" spans="1:12" ht="15" customHeight="1">
      <c r="A156">
        <v>155</v>
      </c>
      <c r="B156" t="s">
        <v>9</v>
      </c>
      <c r="C156" t="s">
        <v>975</v>
      </c>
      <c r="D156" t="s">
        <v>976</v>
      </c>
      <c r="E156">
        <v>2022</v>
      </c>
      <c r="F156" t="s">
        <v>923</v>
      </c>
      <c r="G156" t="s">
        <v>977</v>
      </c>
      <c r="H156" t="s">
        <v>5953</v>
      </c>
      <c r="I156" t="s">
        <v>91</v>
      </c>
      <c r="J156" t="s">
        <v>5954</v>
      </c>
      <c r="K156" t="s">
        <v>5955</v>
      </c>
      <c r="L156" t="s">
        <v>5956</v>
      </c>
    </row>
    <row r="157" spans="1:12" ht="15" customHeight="1">
      <c r="A157">
        <v>156</v>
      </c>
      <c r="B157" t="s">
        <v>9</v>
      </c>
      <c r="C157" t="s">
        <v>980</v>
      </c>
      <c r="D157" t="s">
        <v>981</v>
      </c>
      <c r="E157">
        <v>2023</v>
      </c>
      <c r="F157" t="s">
        <v>982</v>
      </c>
      <c r="G157" t="s">
        <v>983</v>
      </c>
      <c r="H157" t="s">
        <v>5953</v>
      </c>
      <c r="I157" t="s">
        <v>91</v>
      </c>
      <c r="J157" t="s">
        <v>5954</v>
      </c>
      <c r="K157" t="s">
        <v>5955</v>
      </c>
      <c r="L157" t="s">
        <v>5956</v>
      </c>
    </row>
    <row r="158" spans="1:12" ht="15" customHeight="1">
      <c r="A158">
        <v>157</v>
      </c>
      <c r="B158" t="s">
        <v>5886</v>
      </c>
      <c r="C158" t="s">
        <v>984</v>
      </c>
      <c r="D158" t="s">
        <v>985</v>
      </c>
      <c r="E158">
        <v>2023</v>
      </c>
      <c r="F158" t="s">
        <v>986</v>
      </c>
      <c r="G158" t="s">
        <v>987</v>
      </c>
      <c r="H158" t="s">
        <v>5953</v>
      </c>
      <c r="I158" t="s">
        <v>91</v>
      </c>
      <c r="J158" t="s">
        <v>5954</v>
      </c>
      <c r="K158" t="s">
        <v>5955</v>
      </c>
      <c r="L158" t="s">
        <v>5956</v>
      </c>
    </row>
    <row r="159" spans="1:12" ht="15" customHeight="1">
      <c r="A159">
        <v>158</v>
      </c>
      <c r="B159" t="s">
        <v>9</v>
      </c>
      <c r="C159" t="s">
        <v>988</v>
      </c>
      <c r="D159" t="s">
        <v>989</v>
      </c>
      <c r="E159">
        <v>2023</v>
      </c>
      <c r="F159" t="s">
        <v>923</v>
      </c>
      <c r="G159" t="s">
        <v>990</v>
      </c>
      <c r="H159" t="s">
        <v>5953</v>
      </c>
      <c r="I159" t="s">
        <v>91</v>
      </c>
      <c r="J159" t="s">
        <v>5954</v>
      </c>
      <c r="K159" t="s">
        <v>5955</v>
      </c>
      <c r="L159" t="s">
        <v>5956</v>
      </c>
    </row>
    <row r="160" spans="1:12" ht="15" customHeight="1">
      <c r="A160">
        <v>159</v>
      </c>
      <c r="B160" t="s">
        <v>9</v>
      </c>
      <c r="C160" t="s">
        <v>991</v>
      </c>
      <c r="D160" t="s">
        <v>992</v>
      </c>
      <c r="E160">
        <v>2024</v>
      </c>
      <c r="F160" t="s">
        <v>993</v>
      </c>
      <c r="G160" t="s">
        <v>994</v>
      </c>
      <c r="H160" t="s">
        <v>5953</v>
      </c>
      <c r="I160" t="s">
        <v>91</v>
      </c>
      <c r="J160" t="s">
        <v>5954</v>
      </c>
      <c r="K160" t="s">
        <v>5957</v>
      </c>
      <c r="L160" t="s">
        <v>5956</v>
      </c>
    </row>
    <row r="161" spans="1:12" ht="15" customHeight="1">
      <c r="A161">
        <v>160</v>
      </c>
      <c r="B161" t="s">
        <v>9</v>
      </c>
      <c r="C161" t="s">
        <v>995</v>
      </c>
      <c r="D161" t="s">
        <v>996</v>
      </c>
      <c r="E161">
        <v>2024</v>
      </c>
      <c r="F161" t="s">
        <v>997</v>
      </c>
      <c r="G161" t="s">
        <v>998</v>
      </c>
      <c r="H161" t="s">
        <v>5953</v>
      </c>
      <c r="I161" t="s">
        <v>91</v>
      </c>
      <c r="J161" t="s">
        <v>5954</v>
      </c>
      <c r="K161" t="s">
        <v>5955</v>
      </c>
      <c r="L161" t="s">
        <v>5956</v>
      </c>
    </row>
    <row r="162" spans="1:12" ht="15" customHeight="1">
      <c r="A162">
        <v>161</v>
      </c>
      <c r="B162" t="s">
        <v>9</v>
      </c>
      <c r="C162" t="s">
        <v>999</v>
      </c>
      <c r="D162" t="s">
        <v>1000</v>
      </c>
      <c r="E162">
        <v>2024</v>
      </c>
      <c r="F162" t="s">
        <v>1001</v>
      </c>
      <c r="G162" t="s">
        <v>1002</v>
      </c>
      <c r="H162" t="s">
        <v>5953</v>
      </c>
      <c r="I162" t="s">
        <v>91</v>
      </c>
      <c r="J162" t="s">
        <v>5954</v>
      </c>
      <c r="K162" t="s">
        <v>5955</v>
      </c>
      <c r="L162" t="s">
        <v>5956</v>
      </c>
    </row>
    <row r="163" spans="1:12" ht="15" customHeight="1">
      <c r="A163">
        <v>162</v>
      </c>
      <c r="B163" t="s">
        <v>9</v>
      </c>
      <c r="C163" t="s">
        <v>1003</v>
      </c>
      <c r="D163" t="s">
        <v>1004</v>
      </c>
      <c r="E163">
        <v>2024</v>
      </c>
      <c r="F163" t="s">
        <v>923</v>
      </c>
      <c r="G163" t="s">
        <v>1005</v>
      </c>
      <c r="H163" t="s">
        <v>5953</v>
      </c>
      <c r="I163" t="s">
        <v>91</v>
      </c>
      <c r="J163" t="s">
        <v>5954</v>
      </c>
      <c r="K163" t="s">
        <v>5955</v>
      </c>
      <c r="L163" t="s">
        <v>5956</v>
      </c>
    </row>
    <row r="164" spans="1:12" ht="15" customHeight="1">
      <c r="A164">
        <v>163</v>
      </c>
      <c r="B164" t="s">
        <v>9</v>
      </c>
      <c r="C164" t="s">
        <v>1006</v>
      </c>
      <c r="D164" t="s">
        <v>1007</v>
      </c>
      <c r="E164">
        <v>2024</v>
      </c>
      <c r="F164" t="s">
        <v>1008</v>
      </c>
      <c r="G164" t="s">
        <v>1009</v>
      </c>
      <c r="H164" t="s">
        <v>5953</v>
      </c>
      <c r="I164" t="s">
        <v>91</v>
      </c>
      <c r="J164" t="s">
        <v>5954</v>
      </c>
      <c r="K164" t="s">
        <v>5955</v>
      </c>
      <c r="L164" t="s">
        <v>5956</v>
      </c>
    </row>
    <row r="165" spans="1:12" ht="15" customHeight="1">
      <c r="A165">
        <v>164</v>
      </c>
      <c r="B165" t="s">
        <v>9</v>
      </c>
      <c r="C165" t="s">
        <v>1010</v>
      </c>
      <c r="D165" t="s">
        <v>1011</v>
      </c>
      <c r="E165">
        <v>2024</v>
      </c>
      <c r="F165" t="s">
        <v>923</v>
      </c>
      <c r="G165" t="s">
        <v>1012</v>
      </c>
      <c r="H165" t="s">
        <v>5953</v>
      </c>
      <c r="I165" t="s">
        <v>91</v>
      </c>
      <c r="J165" t="s">
        <v>5954</v>
      </c>
      <c r="K165" t="s">
        <v>5955</v>
      </c>
      <c r="L165" t="s">
        <v>5956</v>
      </c>
    </row>
    <row r="166" spans="1:12" ht="15" customHeight="1">
      <c r="A166">
        <v>165</v>
      </c>
      <c r="B166" t="s">
        <v>9</v>
      </c>
      <c r="C166" t="s">
        <v>1013</v>
      </c>
      <c r="D166" t="s">
        <v>1014</v>
      </c>
      <c r="E166">
        <v>2024</v>
      </c>
      <c r="F166" t="s">
        <v>1015</v>
      </c>
      <c r="G166" t="s">
        <v>1016</v>
      </c>
      <c r="H166" t="s">
        <v>5953</v>
      </c>
      <c r="I166" t="s">
        <v>91</v>
      </c>
      <c r="J166" t="s">
        <v>5954</v>
      </c>
      <c r="K166" t="s">
        <v>5957</v>
      </c>
      <c r="L166" t="s">
        <v>5956</v>
      </c>
    </row>
    <row r="167" spans="1:12" ht="15" customHeight="1">
      <c r="A167">
        <v>166</v>
      </c>
      <c r="B167" t="s">
        <v>9</v>
      </c>
      <c r="C167" t="s">
        <v>1017</v>
      </c>
      <c r="D167" t="s">
        <v>1018</v>
      </c>
      <c r="E167">
        <v>2024</v>
      </c>
      <c r="F167" t="s">
        <v>1019</v>
      </c>
      <c r="G167" t="s">
        <v>1020</v>
      </c>
      <c r="H167" t="s">
        <v>5953</v>
      </c>
      <c r="I167" t="s">
        <v>91</v>
      </c>
      <c r="J167" t="s">
        <v>5954</v>
      </c>
      <c r="K167" t="s">
        <v>5955</v>
      </c>
      <c r="L167" t="s">
        <v>5956</v>
      </c>
    </row>
    <row r="168" spans="1:12" ht="15" customHeight="1">
      <c r="A168">
        <v>167</v>
      </c>
      <c r="B168" t="s">
        <v>9</v>
      </c>
      <c r="C168" t="s">
        <v>1021</v>
      </c>
      <c r="D168" t="s">
        <v>1022</v>
      </c>
      <c r="E168">
        <v>2025</v>
      </c>
      <c r="F168" t="s">
        <v>1023</v>
      </c>
      <c r="G168" t="s">
        <v>1024</v>
      </c>
      <c r="H168" t="s">
        <v>5953</v>
      </c>
      <c r="I168" t="s">
        <v>91</v>
      </c>
      <c r="J168" t="s">
        <v>5954</v>
      </c>
      <c r="K168" t="s">
        <v>5957</v>
      </c>
      <c r="L168" t="s">
        <v>5956</v>
      </c>
    </row>
    <row r="169" spans="1:12" ht="15" customHeight="1">
      <c r="A169">
        <v>168</v>
      </c>
      <c r="B169" t="s">
        <v>9</v>
      </c>
      <c r="C169" t="s">
        <v>1025</v>
      </c>
      <c r="D169" t="s">
        <v>1026</v>
      </c>
      <c r="E169">
        <v>2025</v>
      </c>
      <c r="F169" t="s">
        <v>1027</v>
      </c>
      <c r="G169" t="s">
        <v>1028</v>
      </c>
      <c r="H169" t="s">
        <v>5953</v>
      </c>
      <c r="I169" t="s">
        <v>91</v>
      </c>
      <c r="J169" t="s">
        <v>5954</v>
      </c>
      <c r="K169" t="s">
        <v>5955</v>
      </c>
      <c r="L169" t="s">
        <v>5956</v>
      </c>
    </row>
    <row r="170" spans="1:12" ht="15" customHeight="1">
      <c r="A170">
        <v>169</v>
      </c>
      <c r="B170" t="s">
        <v>9</v>
      </c>
      <c r="C170" t="s">
        <v>1029</v>
      </c>
      <c r="D170" t="s">
        <v>1030</v>
      </c>
      <c r="E170">
        <v>2025</v>
      </c>
      <c r="F170" t="s">
        <v>1031</v>
      </c>
      <c r="G170" t="s">
        <v>1032</v>
      </c>
      <c r="H170" t="s">
        <v>5953</v>
      </c>
      <c r="I170" t="s">
        <v>91</v>
      </c>
      <c r="J170" t="s">
        <v>5954</v>
      </c>
      <c r="K170" t="s">
        <v>5957</v>
      </c>
      <c r="L170" t="s">
        <v>5956</v>
      </c>
    </row>
    <row r="171" spans="1:12" ht="15" customHeight="1">
      <c r="A171">
        <v>170</v>
      </c>
      <c r="B171" t="s">
        <v>9</v>
      </c>
      <c r="C171" t="s">
        <v>1033</v>
      </c>
      <c r="D171" t="s">
        <v>1034</v>
      </c>
      <c r="E171">
        <v>2025</v>
      </c>
      <c r="F171" t="s">
        <v>1035</v>
      </c>
      <c r="G171" t="s">
        <v>1036</v>
      </c>
      <c r="H171" t="s">
        <v>5953</v>
      </c>
      <c r="I171" t="s">
        <v>91</v>
      </c>
      <c r="J171" t="s">
        <v>5954</v>
      </c>
      <c r="K171" t="s">
        <v>5955</v>
      </c>
      <c r="L171" t="s">
        <v>5956</v>
      </c>
    </row>
    <row r="172" spans="1:12" ht="15" customHeight="1">
      <c r="A172">
        <v>171</v>
      </c>
      <c r="B172" t="s">
        <v>9</v>
      </c>
      <c r="C172" t="s">
        <v>1044</v>
      </c>
      <c r="D172" t="s">
        <v>1045</v>
      </c>
      <c r="E172">
        <v>2025</v>
      </c>
      <c r="F172" t="s">
        <v>1046</v>
      </c>
      <c r="G172" t="s">
        <v>1047</v>
      </c>
      <c r="H172" t="s">
        <v>5953</v>
      </c>
      <c r="I172" t="s">
        <v>91</v>
      </c>
      <c r="J172" t="s">
        <v>5954</v>
      </c>
      <c r="K172" t="s">
        <v>5957</v>
      </c>
      <c r="L172" t="s">
        <v>5956</v>
      </c>
    </row>
    <row r="173" spans="1:12" ht="15" customHeight="1">
      <c r="A173">
        <v>172</v>
      </c>
      <c r="B173" t="s">
        <v>9</v>
      </c>
      <c r="C173" t="s">
        <v>1048</v>
      </c>
      <c r="D173" t="s">
        <v>1049</v>
      </c>
      <c r="E173">
        <v>2025</v>
      </c>
      <c r="F173" t="s">
        <v>1050</v>
      </c>
      <c r="G173" t="s">
        <v>1051</v>
      </c>
      <c r="H173" t="s">
        <v>5953</v>
      </c>
      <c r="I173" t="s">
        <v>91</v>
      </c>
      <c r="J173" t="s">
        <v>5954</v>
      </c>
      <c r="K173" t="s">
        <v>5955</v>
      </c>
      <c r="L173" t="s">
        <v>5956</v>
      </c>
    </row>
    <row r="174" spans="1:12" ht="15" customHeight="1">
      <c r="A174">
        <v>173</v>
      </c>
      <c r="B174" t="s">
        <v>9</v>
      </c>
      <c r="C174" t="s">
        <v>1052</v>
      </c>
      <c r="D174" t="s">
        <v>1053</v>
      </c>
      <c r="E174">
        <v>2025</v>
      </c>
      <c r="F174" t="s">
        <v>1054</v>
      </c>
      <c r="G174" t="s">
        <v>1055</v>
      </c>
      <c r="H174" t="s">
        <v>5953</v>
      </c>
      <c r="I174" t="s">
        <v>91</v>
      </c>
      <c r="J174" t="s">
        <v>5964</v>
      </c>
      <c r="K174" t="s">
        <v>5957</v>
      </c>
      <c r="L174" t="s">
        <v>5956</v>
      </c>
    </row>
    <row r="175" spans="1:12" ht="15" customHeight="1">
      <c r="A175">
        <v>174</v>
      </c>
      <c r="B175" t="s">
        <v>9</v>
      </c>
      <c r="C175" t="s">
        <v>1056</v>
      </c>
      <c r="D175" t="s">
        <v>1057</v>
      </c>
      <c r="E175">
        <v>2025</v>
      </c>
      <c r="F175" t="s">
        <v>1058</v>
      </c>
      <c r="G175" t="s">
        <v>1059</v>
      </c>
      <c r="H175" t="s">
        <v>5953</v>
      </c>
      <c r="I175" t="s">
        <v>91</v>
      </c>
      <c r="J175" t="s">
        <v>5965</v>
      </c>
      <c r="K175" t="s">
        <v>5957</v>
      </c>
      <c r="L175" t="s">
        <v>5956</v>
      </c>
    </row>
    <row r="176" spans="1:12" ht="15" customHeight="1">
      <c r="A176">
        <v>175</v>
      </c>
      <c r="B176" t="s">
        <v>9</v>
      </c>
      <c r="C176" t="s">
        <v>1060</v>
      </c>
      <c r="D176" t="s">
        <v>1061</v>
      </c>
      <c r="E176">
        <v>2025</v>
      </c>
      <c r="F176" t="s">
        <v>1062</v>
      </c>
      <c r="G176" t="s">
        <v>1063</v>
      </c>
      <c r="H176" t="s">
        <v>5953</v>
      </c>
      <c r="I176" t="s">
        <v>91</v>
      </c>
      <c r="J176" t="s">
        <v>5954</v>
      </c>
      <c r="K176" t="s">
        <v>5955</v>
      </c>
      <c r="L176" t="s">
        <v>5956</v>
      </c>
    </row>
    <row r="177" spans="1:12" ht="15" customHeight="1">
      <c r="A177">
        <v>176</v>
      </c>
      <c r="B177" t="s">
        <v>9</v>
      </c>
      <c r="C177" t="s">
        <v>1064</v>
      </c>
      <c r="D177" t="s">
        <v>1065</v>
      </c>
      <c r="E177">
        <v>2025</v>
      </c>
      <c r="F177" t="s">
        <v>1066</v>
      </c>
      <c r="G177" t="s">
        <v>1067</v>
      </c>
      <c r="H177" t="s">
        <v>5953</v>
      </c>
      <c r="I177" t="s">
        <v>91</v>
      </c>
      <c r="J177" t="s">
        <v>5954</v>
      </c>
      <c r="K177" t="s">
        <v>5955</v>
      </c>
      <c r="L177" t="s">
        <v>5956</v>
      </c>
    </row>
    <row r="178" spans="1:12" ht="15" customHeight="1">
      <c r="A178">
        <v>177</v>
      </c>
      <c r="B178" t="s">
        <v>9</v>
      </c>
      <c r="C178" t="s">
        <v>1068</v>
      </c>
      <c r="D178" t="s">
        <v>1069</v>
      </c>
      <c r="E178">
        <v>2026</v>
      </c>
      <c r="F178" t="s">
        <v>923</v>
      </c>
      <c r="G178" t="s">
        <v>1070</v>
      </c>
      <c r="H178" t="s">
        <v>5953</v>
      </c>
      <c r="I178" t="s">
        <v>91</v>
      </c>
      <c r="J178" t="s">
        <v>5954</v>
      </c>
      <c r="K178" t="s">
        <v>5955</v>
      </c>
      <c r="L178" t="s">
        <v>5956</v>
      </c>
    </row>
    <row r="179" spans="1:12" ht="15" customHeight="1">
      <c r="A179">
        <v>178</v>
      </c>
      <c r="B179" t="s">
        <v>9</v>
      </c>
      <c r="C179" t="s">
        <v>1071</v>
      </c>
      <c r="D179" t="s">
        <v>1072</v>
      </c>
      <c r="E179">
        <v>2026</v>
      </c>
      <c r="F179" t="s">
        <v>1073</v>
      </c>
      <c r="G179" t="s">
        <v>1074</v>
      </c>
      <c r="H179" t="s">
        <v>5953</v>
      </c>
      <c r="I179" t="s">
        <v>91</v>
      </c>
      <c r="J179" t="s">
        <v>5954</v>
      </c>
      <c r="K179" t="s">
        <v>5955</v>
      </c>
      <c r="L179" t="s">
        <v>5956</v>
      </c>
    </row>
    <row r="180" spans="1:12" ht="15" customHeight="1">
      <c r="A180">
        <v>179</v>
      </c>
      <c r="B180" t="s">
        <v>9</v>
      </c>
      <c r="C180" t="s">
        <v>1075</v>
      </c>
      <c r="D180" t="s">
        <v>1076</v>
      </c>
      <c r="E180">
        <v>2026</v>
      </c>
      <c r="F180" t="s">
        <v>1077</v>
      </c>
      <c r="G180" t="s">
        <v>1078</v>
      </c>
      <c r="H180" t="s">
        <v>5953</v>
      </c>
      <c r="I180" t="s">
        <v>91</v>
      </c>
      <c r="J180" t="s">
        <v>5954</v>
      </c>
      <c r="K180" t="s">
        <v>5955</v>
      </c>
      <c r="L180" t="s">
        <v>5956</v>
      </c>
    </row>
    <row r="181" spans="1:12" ht="15" customHeight="1">
      <c r="A181">
        <v>180</v>
      </c>
      <c r="B181" t="s">
        <v>9</v>
      </c>
      <c r="C181" t="s">
        <v>1079</v>
      </c>
      <c r="D181" t="s">
        <v>1080</v>
      </c>
      <c r="E181">
        <v>2026</v>
      </c>
      <c r="F181" t="s">
        <v>1081</v>
      </c>
      <c r="G181" t="s">
        <v>1082</v>
      </c>
      <c r="H181" t="s">
        <v>5953</v>
      </c>
      <c r="I181" t="s">
        <v>91</v>
      </c>
      <c r="J181" t="s">
        <v>5954</v>
      </c>
      <c r="K181" t="s">
        <v>5955</v>
      </c>
      <c r="L181" t="s">
        <v>5956</v>
      </c>
    </row>
    <row r="182" spans="1:12" ht="15" customHeight="1">
      <c r="A182">
        <v>181</v>
      </c>
      <c r="B182" t="s">
        <v>9</v>
      </c>
      <c r="C182" t="s">
        <v>1083</v>
      </c>
      <c r="D182" t="s">
        <v>1084</v>
      </c>
      <c r="E182">
        <v>2026</v>
      </c>
      <c r="F182" t="s">
        <v>1085</v>
      </c>
      <c r="G182" t="s">
        <v>1086</v>
      </c>
      <c r="H182" t="s">
        <v>5953</v>
      </c>
      <c r="I182" t="s">
        <v>91</v>
      </c>
      <c r="J182" t="s">
        <v>5954</v>
      </c>
      <c r="K182" t="s">
        <v>5957</v>
      </c>
      <c r="L182" t="s">
        <v>5956</v>
      </c>
    </row>
    <row r="183" spans="1:12" ht="15" customHeight="1">
      <c r="A183">
        <v>182</v>
      </c>
      <c r="B183" t="s">
        <v>9</v>
      </c>
      <c r="C183" t="s">
        <v>1087</v>
      </c>
      <c r="D183" t="s">
        <v>992</v>
      </c>
      <c r="E183">
        <v>2026</v>
      </c>
      <c r="F183" t="s">
        <v>993</v>
      </c>
      <c r="G183" t="s">
        <v>1088</v>
      </c>
      <c r="H183" t="s">
        <v>5953</v>
      </c>
      <c r="I183" t="s">
        <v>91</v>
      </c>
      <c r="J183" t="s">
        <v>5954</v>
      </c>
      <c r="K183" t="s">
        <v>5957</v>
      </c>
      <c r="L183" t="s">
        <v>5956</v>
      </c>
    </row>
    <row r="184" spans="1:12" ht="15" customHeight="1">
      <c r="A184">
        <v>183</v>
      </c>
      <c r="B184" t="s">
        <v>9</v>
      </c>
      <c r="C184" t="s">
        <v>1089</v>
      </c>
      <c r="D184" t="s">
        <v>1090</v>
      </c>
      <c r="E184">
        <v>2026</v>
      </c>
      <c r="F184" t="s">
        <v>1091</v>
      </c>
      <c r="G184" t="s">
        <v>1092</v>
      </c>
      <c r="H184" t="s">
        <v>5953</v>
      </c>
      <c r="I184" t="s">
        <v>91</v>
      </c>
      <c r="J184" t="s">
        <v>5954</v>
      </c>
      <c r="K184" t="s">
        <v>5957</v>
      </c>
      <c r="L184" t="s">
        <v>5956</v>
      </c>
    </row>
    <row r="185" spans="1:12" ht="15" customHeight="1">
      <c r="A185">
        <v>184</v>
      </c>
      <c r="B185" t="s">
        <v>9</v>
      </c>
      <c r="C185" t="s">
        <v>1096</v>
      </c>
      <c r="D185" t="s">
        <v>1097</v>
      </c>
      <c r="E185">
        <v>2026</v>
      </c>
      <c r="F185" t="s">
        <v>1098</v>
      </c>
      <c r="G185" t="s">
        <v>1099</v>
      </c>
      <c r="H185" t="s">
        <v>5953</v>
      </c>
      <c r="I185" t="s">
        <v>91</v>
      </c>
      <c r="J185" t="s">
        <v>5954</v>
      </c>
      <c r="K185" t="s">
        <v>5955</v>
      </c>
      <c r="L185" t="s">
        <v>5956</v>
      </c>
    </row>
    <row r="186" spans="1:12" ht="15" customHeight="1">
      <c r="A186">
        <v>185</v>
      </c>
      <c r="B186" t="s">
        <v>9</v>
      </c>
      <c r="C186" t="s">
        <v>1100</v>
      </c>
      <c r="D186" t="s">
        <v>1101</v>
      </c>
      <c r="E186">
        <v>2026</v>
      </c>
      <c r="F186" t="s">
        <v>1102</v>
      </c>
      <c r="G186" t="s">
        <v>1103</v>
      </c>
      <c r="H186" t="s">
        <v>5953</v>
      </c>
      <c r="I186" t="s">
        <v>91</v>
      </c>
      <c r="J186" t="s">
        <v>5954</v>
      </c>
      <c r="K186" t="s">
        <v>5955</v>
      </c>
      <c r="L186" t="s">
        <v>5956</v>
      </c>
    </row>
    <row r="187" spans="1:12" ht="15" customHeight="1">
      <c r="A187">
        <v>186</v>
      </c>
      <c r="B187" t="s">
        <v>9</v>
      </c>
      <c r="C187" t="s">
        <v>1104</v>
      </c>
      <c r="D187" t="s">
        <v>1105</v>
      </c>
      <c r="E187">
        <v>2026</v>
      </c>
      <c r="F187" t="s">
        <v>1106</v>
      </c>
      <c r="G187" t="s">
        <v>1107</v>
      </c>
      <c r="H187" t="s">
        <v>5953</v>
      </c>
      <c r="I187" t="s">
        <v>91</v>
      </c>
      <c r="J187" t="s">
        <v>5954</v>
      </c>
      <c r="K187" t="s">
        <v>5955</v>
      </c>
      <c r="L187" t="s">
        <v>5956</v>
      </c>
    </row>
    <row r="188" spans="1:12" ht="15" customHeight="1">
      <c r="A188">
        <v>187</v>
      </c>
      <c r="B188" t="s">
        <v>9</v>
      </c>
      <c r="C188" t="s">
        <v>1108</v>
      </c>
      <c r="D188" t="s">
        <v>1109</v>
      </c>
      <c r="E188">
        <v>2026</v>
      </c>
      <c r="F188" t="s">
        <v>923</v>
      </c>
      <c r="G188" t="s">
        <v>1110</v>
      </c>
      <c r="H188" t="s">
        <v>5953</v>
      </c>
      <c r="I188" t="s">
        <v>91</v>
      </c>
      <c r="J188" t="s">
        <v>5954</v>
      </c>
      <c r="K188" t="s">
        <v>5955</v>
      </c>
      <c r="L188" t="s">
        <v>5956</v>
      </c>
    </row>
    <row r="189" spans="1:12" ht="15" customHeight="1">
      <c r="A189">
        <v>188</v>
      </c>
      <c r="B189" t="s">
        <v>9</v>
      </c>
      <c r="C189" t="s">
        <v>1111</v>
      </c>
      <c r="D189" t="s">
        <v>1112</v>
      </c>
      <c r="E189">
        <v>2026</v>
      </c>
      <c r="F189" t="s">
        <v>1113</v>
      </c>
      <c r="G189" t="s">
        <v>1114</v>
      </c>
      <c r="H189" t="s">
        <v>5953</v>
      </c>
      <c r="I189" t="s">
        <v>91</v>
      </c>
      <c r="J189" t="s">
        <v>5954</v>
      </c>
      <c r="K189" t="s">
        <v>5957</v>
      </c>
      <c r="L189" t="s">
        <v>5956</v>
      </c>
    </row>
    <row r="190" spans="1:12" ht="15" customHeight="1">
      <c r="A190">
        <v>189</v>
      </c>
      <c r="B190" t="s">
        <v>9</v>
      </c>
      <c r="C190" t="s">
        <v>1115</v>
      </c>
      <c r="D190" t="s">
        <v>1116</v>
      </c>
      <c r="E190">
        <v>2026</v>
      </c>
      <c r="F190" t="s">
        <v>1117</v>
      </c>
      <c r="G190" t="s">
        <v>1118</v>
      </c>
      <c r="H190" t="s">
        <v>5953</v>
      </c>
      <c r="I190" t="s">
        <v>91</v>
      </c>
      <c r="J190" t="s">
        <v>5954</v>
      </c>
      <c r="K190" t="s">
        <v>5955</v>
      </c>
      <c r="L190" t="s">
        <v>5956</v>
      </c>
    </row>
    <row r="191" spans="1:12" ht="15" customHeight="1">
      <c r="A191">
        <v>190</v>
      </c>
      <c r="B191" t="s">
        <v>9</v>
      </c>
      <c r="C191" t="s">
        <v>1123</v>
      </c>
      <c r="D191" t="s">
        <v>1124</v>
      </c>
      <c r="E191">
        <v>2026</v>
      </c>
      <c r="F191" t="s">
        <v>1098</v>
      </c>
      <c r="G191" t="s">
        <v>1125</v>
      </c>
      <c r="H191" t="s">
        <v>5953</v>
      </c>
      <c r="I191" t="s">
        <v>91</v>
      </c>
      <c r="J191" t="s">
        <v>5954</v>
      </c>
      <c r="K191" t="s">
        <v>5957</v>
      </c>
      <c r="L191" t="s">
        <v>5956</v>
      </c>
    </row>
    <row r="192" spans="1:12" ht="15" customHeight="1">
      <c r="A192">
        <v>191</v>
      </c>
      <c r="B192" t="s">
        <v>9</v>
      </c>
      <c r="C192" t="s">
        <v>1126</v>
      </c>
      <c r="D192" t="s">
        <v>1127</v>
      </c>
      <c r="E192">
        <v>2026</v>
      </c>
      <c r="F192" t="s">
        <v>1128</v>
      </c>
      <c r="G192" t="s">
        <v>1129</v>
      </c>
      <c r="H192" t="s">
        <v>5953</v>
      </c>
      <c r="I192" t="s">
        <v>91</v>
      </c>
      <c r="J192" t="s">
        <v>5954</v>
      </c>
      <c r="K192" t="s">
        <v>5955</v>
      </c>
      <c r="L192" t="s">
        <v>5956</v>
      </c>
    </row>
    <row r="193" spans="1:12" ht="15" customHeight="1">
      <c r="A193">
        <v>192</v>
      </c>
      <c r="B193" t="s">
        <v>9</v>
      </c>
      <c r="C193" t="s">
        <v>1130</v>
      </c>
      <c r="D193" t="s">
        <v>1131</v>
      </c>
      <c r="E193">
        <v>2026</v>
      </c>
      <c r="F193" t="s">
        <v>1132</v>
      </c>
      <c r="G193" t="s">
        <v>1133</v>
      </c>
      <c r="H193" t="s">
        <v>5953</v>
      </c>
      <c r="I193" t="s">
        <v>91</v>
      </c>
      <c r="J193" t="s">
        <v>5954</v>
      </c>
      <c r="K193" t="s">
        <v>5955</v>
      </c>
      <c r="L193" t="s">
        <v>5956</v>
      </c>
    </row>
    <row r="194" spans="1:12" ht="15" customHeight="1">
      <c r="A194">
        <v>193</v>
      </c>
      <c r="B194" t="s">
        <v>9</v>
      </c>
      <c r="C194" t="s">
        <v>1134</v>
      </c>
      <c r="D194" t="s">
        <v>1135</v>
      </c>
      <c r="E194">
        <v>2026</v>
      </c>
      <c r="F194" t="s">
        <v>1136</v>
      </c>
      <c r="G194" t="s">
        <v>1137</v>
      </c>
      <c r="H194" t="s">
        <v>5953</v>
      </c>
      <c r="I194" t="s">
        <v>91</v>
      </c>
      <c r="J194" t="s">
        <v>5954</v>
      </c>
      <c r="K194" t="s">
        <v>5955</v>
      </c>
      <c r="L194" t="s">
        <v>5956</v>
      </c>
    </row>
    <row r="195" spans="1:12" ht="15" customHeight="1">
      <c r="A195">
        <v>194</v>
      </c>
      <c r="B195" t="s">
        <v>9</v>
      </c>
      <c r="C195" t="s">
        <v>1138</v>
      </c>
      <c r="D195" t="s">
        <v>1139</v>
      </c>
      <c r="E195">
        <v>2026</v>
      </c>
      <c r="F195" t="s">
        <v>1140</v>
      </c>
      <c r="G195" t="s">
        <v>1141</v>
      </c>
      <c r="H195" t="s">
        <v>5953</v>
      </c>
      <c r="I195" t="s">
        <v>91</v>
      </c>
      <c r="J195" t="s">
        <v>5954</v>
      </c>
      <c r="K195" t="s">
        <v>5955</v>
      </c>
      <c r="L195" t="s">
        <v>5956</v>
      </c>
    </row>
    <row r="196" spans="1:12" ht="15" customHeight="1">
      <c r="A196">
        <v>195</v>
      </c>
      <c r="B196" t="s">
        <v>9</v>
      </c>
      <c r="C196" t="s">
        <v>1142</v>
      </c>
      <c r="D196" t="s">
        <v>1143</v>
      </c>
      <c r="E196">
        <v>2026</v>
      </c>
      <c r="F196" t="s">
        <v>1144</v>
      </c>
      <c r="G196" t="s">
        <v>1145</v>
      </c>
      <c r="H196" t="s">
        <v>5953</v>
      </c>
      <c r="I196" t="s">
        <v>91</v>
      </c>
      <c r="J196" t="s">
        <v>5954</v>
      </c>
      <c r="K196" t="s">
        <v>5955</v>
      </c>
      <c r="L196" t="s">
        <v>5956</v>
      </c>
    </row>
    <row r="197" spans="1:12" ht="15" customHeight="1">
      <c r="A197">
        <v>196</v>
      </c>
      <c r="B197" t="s">
        <v>9</v>
      </c>
      <c r="C197" t="s">
        <v>1146</v>
      </c>
      <c r="D197" t="s">
        <v>1147</v>
      </c>
      <c r="E197">
        <v>2026</v>
      </c>
      <c r="F197" t="s">
        <v>1148</v>
      </c>
      <c r="G197" t="s">
        <v>1149</v>
      </c>
      <c r="H197" t="s">
        <v>5953</v>
      </c>
      <c r="I197" t="s">
        <v>91</v>
      </c>
      <c r="J197" t="s">
        <v>5954</v>
      </c>
      <c r="K197" t="s">
        <v>5955</v>
      </c>
      <c r="L197" t="s">
        <v>5956</v>
      </c>
    </row>
    <row r="198" spans="1:12" ht="15" customHeight="1">
      <c r="A198">
        <v>197</v>
      </c>
      <c r="B198" t="s">
        <v>9</v>
      </c>
      <c r="C198" t="s">
        <v>1150</v>
      </c>
      <c r="D198" t="s">
        <v>1151</v>
      </c>
      <c r="E198">
        <v>2026</v>
      </c>
      <c r="F198" t="s">
        <v>1152</v>
      </c>
      <c r="G198" t="s">
        <v>1153</v>
      </c>
      <c r="H198" t="s">
        <v>5953</v>
      </c>
      <c r="I198" t="s">
        <v>91</v>
      </c>
      <c r="J198" t="s">
        <v>5954</v>
      </c>
      <c r="K198" t="s">
        <v>5955</v>
      </c>
      <c r="L198" t="s">
        <v>5956</v>
      </c>
    </row>
    <row r="199" spans="1:12" ht="15" customHeight="1">
      <c r="A199">
        <v>198</v>
      </c>
      <c r="B199" t="s">
        <v>9</v>
      </c>
      <c r="C199" t="s">
        <v>1154</v>
      </c>
      <c r="D199" t="s">
        <v>1155</v>
      </c>
      <c r="E199">
        <v>2026</v>
      </c>
      <c r="F199" t="s">
        <v>1156</v>
      </c>
      <c r="G199" t="s">
        <v>1157</v>
      </c>
      <c r="H199" t="s">
        <v>5953</v>
      </c>
      <c r="I199" t="s">
        <v>91</v>
      </c>
      <c r="J199" t="s">
        <v>5954</v>
      </c>
      <c r="K199" t="s">
        <v>5957</v>
      </c>
      <c r="L199" t="s">
        <v>5956</v>
      </c>
    </row>
    <row r="200" spans="1:12" ht="15" customHeight="1">
      <c r="A200">
        <v>199</v>
      </c>
      <c r="B200" t="s">
        <v>9</v>
      </c>
      <c r="C200" t="s">
        <v>1158</v>
      </c>
      <c r="D200" t="s">
        <v>1159</v>
      </c>
      <c r="E200">
        <v>2026</v>
      </c>
      <c r="F200" t="s">
        <v>923</v>
      </c>
      <c r="G200" t="s">
        <v>1160</v>
      </c>
      <c r="H200" t="s">
        <v>5953</v>
      </c>
      <c r="I200" t="s">
        <v>91</v>
      </c>
      <c r="J200" t="s">
        <v>5954</v>
      </c>
      <c r="K200" t="s">
        <v>5955</v>
      </c>
      <c r="L200" t="s">
        <v>5956</v>
      </c>
    </row>
    <row r="201" spans="1:12" ht="15" customHeight="1">
      <c r="A201">
        <v>200</v>
      </c>
      <c r="B201" t="s">
        <v>9</v>
      </c>
      <c r="C201" t="s">
        <v>1161</v>
      </c>
      <c r="D201" t="s">
        <v>1162</v>
      </c>
      <c r="E201">
        <v>2026</v>
      </c>
      <c r="F201" t="s">
        <v>982</v>
      </c>
      <c r="G201" t="s">
        <v>1163</v>
      </c>
      <c r="H201" t="s">
        <v>5953</v>
      </c>
      <c r="I201" t="s">
        <v>91</v>
      </c>
      <c r="J201" t="s">
        <v>5954</v>
      </c>
      <c r="K201" t="s">
        <v>5957</v>
      </c>
      <c r="L201" t="s">
        <v>5956</v>
      </c>
    </row>
    <row r="202" spans="1:12" ht="15" customHeight="1">
      <c r="A202">
        <v>201</v>
      </c>
      <c r="B202" t="s">
        <v>9</v>
      </c>
      <c r="C202" t="s">
        <v>1164</v>
      </c>
      <c r="D202" t="s">
        <v>1165</v>
      </c>
      <c r="E202">
        <v>2026</v>
      </c>
      <c r="F202" t="s">
        <v>1166</v>
      </c>
      <c r="G202" t="s">
        <v>1167</v>
      </c>
      <c r="H202" t="s">
        <v>5953</v>
      </c>
      <c r="I202" t="s">
        <v>91</v>
      </c>
      <c r="J202" t="s">
        <v>5954</v>
      </c>
      <c r="K202" t="s">
        <v>5955</v>
      </c>
      <c r="L202" t="s">
        <v>5956</v>
      </c>
    </row>
    <row r="203" spans="1:12" ht="15" customHeight="1">
      <c r="A203">
        <v>202</v>
      </c>
      <c r="B203" t="s">
        <v>9</v>
      </c>
      <c r="C203" t="s">
        <v>1168</v>
      </c>
      <c r="D203" t="s">
        <v>1169</v>
      </c>
      <c r="E203">
        <v>2026</v>
      </c>
      <c r="F203" t="s">
        <v>1094</v>
      </c>
      <c r="G203" t="s">
        <v>1170</v>
      </c>
      <c r="H203" t="s">
        <v>5953</v>
      </c>
      <c r="I203" t="s">
        <v>91</v>
      </c>
      <c r="J203" t="s">
        <v>5954</v>
      </c>
      <c r="K203" t="s">
        <v>5955</v>
      </c>
      <c r="L203" t="s">
        <v>5956</v>
      </c>
    </row>
    <row r="204" spans="1:12" ht="15" customHeight="1">
      <c r="A204">
        <v>203</v>
      </c>
      <c r="B204" t="s">
        <v>12</v>
      </c>
      <c r="C204" t="s">
        <v>1189</v>
      </c>
      <c r="E204" t="s">
        <v>684</v>
      </c>
      <c r="F204" t="s">
        <v>1190</v>
      </c>
      <c r="G204" t="s">
        <v>1191</v>
      </c>
      <c r="H204" t="s">
        <v>5953</v>
      </c>
      <c r="I204" t="s">
        <v>91</v>
      </c>
      <c r="J204" t="s">
        <v>5954</v>
      </c>
      <c r="K204" t="s">
        <v>5957</v>
      </c>
      <c r="L204" t="s">
        <v>5956</v>
      </c>
    </row>
    <row r="205" spans="1:12" ht="15" customHeight="1">
      <c r="A205">
        <v>204</v>
      </c>
      <c r="B205" t="s">
        <v>12</v>
      </c>
      <c r="C205" t="s">
        <v>1195</v>
      </c>
      <c r="E205" t="s">
        <v>684</v>
      </c>
      <c r="F205" t="s">
        <v>1196</v>
      </c>
      <c r="G205" t="s">
        <v>1197</v>
      </c>
      <c r="H205" t="s">
        <v>5953</v>
      </c>
      <c r="I205" t="s">
        <v>91</v>
      </c>
      <c r="J205" t="s">
        <v>5954</v>
      </c>
      <c r="K205" t="s">
        <v>5957</v>
      </c>
      <c r="L205" t="s">
        <v>5956</v>
      </c>
    </row>
    <row r="206" spans="1:12" ht="15" customHeight="1">
      <c r="A206">
        <v>205</v>
      </c>
      <c r="B206" t="s">
        <v>12</v>
      </c>
      <c r="C206" t="s">
        <v>1198</v>
      </c>
      <c r="E206" t="s">
        <v>684</v>
      </c>
      <c r="F206" t="s">
        <v>1199</v>
      </c>
      <c r="G206" t="s">
        <v>1200</v>
      </c>
      <c r="H206" t="s">
        <v>5953</v>
      </c>
      <c r="I206" t="s">
        <v>91</v>
      </c>
      <c r="J206" t="s">
        <v>5954</v>
      </c>
      <c r="K206" t="s">
        <v>5957</v>
      </c>
      <c r="L206" t="s">
        <v>5956</v>
      </c>
    </row>
    <row r="207" spans="1:12" ht="15" customHeight="1">
      <c r="A207">
        <v>206</v>
      </c>
      <c r="B207" t="s">
        <v>12</v>
      </c>
      <c r="C207" t="s">
        <v>1202</v>
      </c>
      <c r="E207" t="s">
        <v>684</v>
      </c>
      <c r="F207" t="s">
        <v>1203</v>
      </c>
      <c r="G207" t="s">
        <v>1204</v>
      </c>
      <c r="H207" t="s">
        <v>5953</v>
      </c>
      <c r="I207" t="s">
        <v>91</v>
      </c>
      <c r="J207" t="s">
        <v>5954</v>
      </c>
      <c r="K207" t="s">
        <v>5957</v>
      </c>
      <c r="L207" t="s">
        <v>5956</v>
      </c>
    </row>
    <row r="208" spans="1:12" ht="15" customHeight="1">
      <c r="A208">
        <v>207</v>
      </c>
      <c r="B208" t="s">
        <v>12</v>
      </c>
      <c r="C208" t="s">
        <v>1205</v>
      </c>
      <c r="E208" t="s">
        <v>684</v>
      </c>
      <c r="F208" t="s">
        <v>1206</v>
      </c>
      <c r="G208" t="s">
        <v>1207</v>
      </c>
      <c r="H208" t="s">
        <v>5953</v>
      </c>
      <c r="I208" t="s">
        <v>91</v>
      </c>
      <c r="J208" t="s">
        <v>5954</v>
      </c>
      <c r="K208" t="s">
        <v>5957</v>
      </c>
      <c r="L208" t="s">
        <v>5956</v>
      </c>
    </row>
    <row r="209" spans="1:12" ht="15" customHeight="1">
      <c r="A209">
        <v>208</v>
      </c>
      <c r="B209" t="s">
        <v>12</v>
      </c>
      <c r="C209" t="s">
        <v>1208</v>
      </c>
      <c r="E209" t="s">
        <v>684</v>
      </c>
      <c r="F209" t="s">
        <v>1209</v>
      </c>
      <c r="G209" t="s">
        <v>1210</v>
      </c>
      <c r="H209" t="s">
        <v>5953</v>
      </c>
      <c r="I209" t="s">
        <v>91</v>
      </c>
      <c r="J209" t="s">
        <v>5954</v>
      </c>
      <c r="K209" t="s">
        <v>5957</v>
      </c>
      <c r="L209" t="s">
        <v>5956</v>
      </c>
    </row>
    <row r="210" spans="1:12" ht="15" customHeight="1">
      <c r="A210">
        <v>209</v>
      </c>
      <c r="B210" t="s">
        <v>12</v>
      </c>
      <c r="C210" t="s">
        <v>1220</v>
      </c>
      <c r="E210">
        <v>2025</v>
      </c>
      <c r="F210" t="s">
        <v>1221</v>
      </c>
      <c r="G210" t="s">
        <v>1222</v>
      </c>
      <c r="H210" t="s">
        <v>5953</v>
      </c>
      <c r="I210" t="s">
        <v>91</v>
      </c>
      <c r="J210" t="s">
        <v>5954</v>
      </c>
      <c r="K210" t="s">
        <v>5955</v>
      </c>
      <c r="L210" t="s">
        <v>5956</v>
      </c>
    </row>
    <row r="211" spans="1:12" ht="15" customHeight="1">
      <c r="A211">
        <v>210</v>
      </c>
      <c r="B211" t="s">
        <v>12</v>
      </c>
      <c r="C211" t="s">
        <v>1223</v>
      </c>
      <c r="E211">
        <v>2025</v>
      </c>
      <c r="F211" t="s">
        <v>1224</v>
      </c>
      <c r="G211" t="s">
        <v>1225</v>
      </c>
      <c r="H211" t="s">
        <v>5953</v>
      </c>
      <c r="I211" t="s">
        <v>91</v>
      </c>
      <c r="J211" t="s">
        <v>5954</v>
      </c>
      <c r="K211" t="s">
        <v>5955</v>
      </c>
      <c r="L211" t="s">
        <v>5956</v>
      </c>
    </row>
    <row r="212" spans="1:12" ht="15" customHeight="1">
      <c r="A212">
        <v>211</v>
      </c>
      <c r="B212" t="s">
        <v>12</v>
      </c>
      <c r="C212" t="s">
        <v>1226</v>
      </c>
      <c r="E212">
        <v>2025</v>
      </c>
      <c r="F212" t="s">
        <v>1227</v>
      </c>
      <c r="G212" t="s">
        <v>1228</v>
      </c>
      <c r="H212" t="s">
        <v>5953</v>
      </c>
      <c r="I212" t="s">
        <v>91</v>
      </c>
      <c r="J212" t="s">
        <v>5954</v>
      </c>
      <c r="K212" t="s">
        <v>5955</v>
      </c>
      <c r="L212" t="s">
        <v>5956</v>
      </c>
    </row>
    <row r="213" spans="1:12" ht="15" customHeight="1">
      <c r="A213">
        <v>212</v>
      </c>
      <c r="B213" t="s">
        <v>12</v>
      </c>
      <c r="C213" t="s">
        <v>1229</v>
      </c>
      <c r="E213">
        <v>2024</v>
      </c>
      <c r="F213" t="s">
        <v>1230</v>
      </c>
      <c r="G213" t="s">
        <v>1231</v>
      </c>
      <c r="H213" t="s">
        <v>5953</v>
      </c>
      <c r="I213" t="s">
        <v>91</v>
      </c>
      <c r="J213" t="s">
        <v>5954</v>
      </c>
      <c r="K213" t="s">
        <v>5955</v>
      </c>
      <c r="L213" t="s">
        <v>5956</v>
      </c>
    </row>
    <row r="214" spans="1:12" ht="15" customHeight="1">
      <c r="A214">
        <v>213</v>
      </c>
      <c r="B214" t="s">
        <v>12</v>
      </c>
      <c r="C214" t="s">
        <v>1232</v>
      </c>
      <c r="E214">
        <v>2026</v>
      </c>
      <c r="F214" t="s">
        <v>1233</v>
      </c>
      <c r="G214" t="s">
        <v>1234</v>
      </c>
      <c r="H214" t="s">
        <v>5953</v>
      </c>
      <c r="I214" t="s">
        <v>91</v>
      </c>
      <c r="J214" t="s">
        <v>5954</v>
      </c>
      <c r="K214" t="s">
        <v>5955</v>
      </c>
      <c r="L214" t="s">
        <v>5956</v>
      </c>
    </row>
    <row r="215" spans="1:12" ht="15" customHeight="1">
      <c r="A215">
        <v>214</v>
      </c>
      <c r="B215" t="s">
        <v>12</v>
      </c>
      <c r="C215" t="s">
        <v>1235</v>
      </c>
      <c r="E215">
        <v>2026</v>
      </c>
      <c r="F215" t="s">
        <v>1236</v>
      </c>
      <c r="G215" t="s">
        <v>1237</v>
      </c>
      <c r="H215" t="s">
        <v>5953</v>
      </c>
      <c r="I215" t="s">
        <v>91</v>
      </c>
      <c r="J215" t="s">
        <v>5954</v>
      </c>
      <c r="K215" t="s">
        <v>5955</v>
      </c>
      <c r="L215" t="s">
        <v>5956</v>
      </c>
    </row>
    <row r="216" spans="1:12" ht="15" customHeight="1">
      <c r="A216">
        <v>215</v>
      </c>
      <c r="B216" t="s">
        <v>12</v>
      </c>
      <c r="C216" t="s">
        <v>1238</v>
      </c>
      <c r="E216">
        <v>2026</v>
      </c>
      <c r="F216" t="s">
        <v>1239</v>
      </c>
      <c r="G216" t="s">
        <v>1240</v>
      </c>
      <c r="H216" t="s">
        <v>5953</v>
      </c>
      <c r="I216" t="s">
        <v>91</v>
      </c>
      <c r="J216" t="s">
        <v>5954</v>
      </c>
      <c r="K216" t="s">
        <v>5955</v>
      </c>
      <c r="L216" t="s">
        <v>5956</v>
      </c>
    </row>
    <row r="217" spans="1:12" ht="16.5" customHeight="1">
      <c r="A217">
        <v>216</v>
      </c>
      <c r="B217" t="s">
        <v>12</v>
      </c>
      <c r="C217" t="s">
        <v>5966</v>
      </c>
      <c r="E217">
        <v>2026</v>
      </c>
      <c r="F217" t="s">
        <v>1242</v>
      </c>
      <c r="G217" t="s">
        <v>1243</v>
      </c>
      <c r="H217" t="s">
        <v>5953</v>
      </c>
      <c r="I217" t="s">
        <v>91</v>
      </c>
      <c r="J217" t="s">
        <v>5954</v>
      </c>
      <c r="K217" t="s">
        <v>5955</v>
      </c>
      <c r="L217" t="s">
        <v>5956</v>
      </c>
    </row>
    <row r="218" spans="1:12" ht="15" customHeight="1">
      <c r="A218">
        <v>217</v>
      </c>
      <c r="B218" t="s">
        <v>12</v>
      </c>
      <c r="C218" t="s">
        <v>1244</v>
      </c>
      <c r="E218">
        <v>2026</v>
      </c>
      <c r="F218" t="s">
        <v>1245</v>
      </c>
      <c r="G218" t="s">
        <v>1246</v>
      </c>
      <c r="H218" t="s">
        <v>5953</v>
      </c>
      <c r="I218" t="s">
        <v>91</v>
      </c>
      <c r="J218" t="s">
        <v>5954</v>
      </c>
      <c r="K218" t="s">
        <v>5955</v>
      </c>
      <c r="L218" t="s">
        <v>5956</v>
      </c>
    </row>
    <row r="219" spans="1:12" ht="15" customHeight="1">
      <c r="A219">
        <v>218</v>
      </c>
      <c r="B219" t="s">
        <v>12</v>
      </c>
      <c r="C219" t="s">
        <v>1248</v>
      </c>
      <c r="E219">
        <v>2025</v>
      </c>
      <c r="F219" t="s">
        <v>1249</v>
      </c>
      <c r="G219" t="s">
        <v>1250</v>
      </c>
      <c r="H219" t="s">
        <v>5953</v>
      </c>
      <c r="I219" t="s">
        <v>91</v>
      </c>
      <c r="J219" t="s">
        <v>5954</v>
      </c>
      <c r="K219" t="s">
        <v>5955</v>
      </c>
      <c r="L219" t="s">
        <v>5956</v>
      </c>
    </row>
    <row r="220" spans="1:12" ht="15" customHeight="1">
      <c r="A220">
        <v>219</v>
      </c>
      <c r="B220" t="s">
        <v>8</v>
      </c>
      <c r="C220" t="s">
        <v>291</v>
      </c>
      <c r="D220" t="s">
        <v>292</v>
      </c>
      <c r="E220">
        <v>2023</v>
      </c>
      <c r="G220" t="s">
        <v>293</v>
      </c>
      <c r="H220" t="s">
        <v>5953</v>
      </c>
      <c r="I220" t="s">
        <v>91</v>
      </c>
      <c r="J220" t="s">
        <v>5967</v>
      </c>
      <c r="K220" t="s">
        <v>5968</v>
      </c>
      <c r="L220" t="s">
        <v>5969</v>
      </c>
    </row>
    <row r="221" spans="1:12" ht="15" customHeight="1">
      <c r="A221">
        <v>220</v>
      </c>
      <c r="B221" t="s">
        <v>9</v>
      </c>
      <c r="C221" t="s">
        <v>1040</v>
      </c>
      <c r="D221" t="s">
        <v>1041</v>
      </c>
      <c r="E221">
        <v>2025</v>
      </c>
      <c r="F221" t="s">
        <v>923</v>
      </c>
      <c r="G221" t="s">
        <v>1042</v>
      </c>
      <c r="H221" t="s">
        <v>5953</v>
      </c>
      <c r="I221" t="s">
        <v>91</v>
      </c>
      <c r="J221" t="s">
        <v>5970</v>
      </c>
      <c r="K221" t="s">
        <v>5971</v>
      </c>
      <c r="L221" t="s">
        <v>5972</v>
      </c>
    </row>
    <row r="222" spans="1:12" ht="15" customHeight="1">
      <c r="A222">
        <v>221</v>
      </c>
      <c r="B222" t="s">
        <v>12</v>
      </c>
      <c r="C222" t="s">
        <v>1179</v>
      </c>
      <c r="E222">
        <v>2026</v>
      </c>
      <c r="F222" t="s">
        <v>1180</v>
      </c>
      <c r="G222" t="s">
        <v>1181</v>
      </c>
      <c r="H222" t="s">
        <v>5953</v>
      </c>
      <c r="I222" t="s">
        <v>91</v>
      </c>
      <c r="J222" t="s">
        <v>5973</v>
      </c>
      <c r="K222" t="s">
        <v>5974</v>
      </c>
      <c r="L222" t="s">
        <v>5975</v>
      </c>
    </row>
    <row r="223" spans="1:12" ht="15" customHeight="1">
      <c r="A223">
        <v>222</v>
      </c>
      <c r="B223" t="s">
        <v>12</v>
      </c>
      <c r="C223" t="s">
        <v>849</v>
      </c>
      <c r="E223">
        <v>2026</v>
      </c>
      <c r="F223" t="s">
        <v>1192</v>
      </c>
      <c r="G223" t="s">
        <v>850</v>
      </c>
      <c r="H223" t="s">
        <v>5953</v>
      </c>
      <c r="I223" t="s">
        <v>91</v>
      </c>
      <c r="J223" t="s">
        <v>5976</v>
      </c>
      <c r="K223" t="s">
        <v>5977</v>
      </c>
      <c r="L223" t="s">
        <v>5975</v>
      </c>
    </row>
    <row r="224" spans="1:12" ht="15" customHeight="1">
      <c r="A224">
        <v>223</v>
      </c>
      <c r="B224" t="s">
        <v>10</v>
      </c>
      <c r="C224" t="s">
        <v>454</v>
      </c>
      <c r="D224" t="s">
        <v>5978</v>
      </c>
      <c r="E224">
        <v>2026</v>
      </c>
      <c r="F224" t="s">
        <v>5599</v>
      </c>
      <c r="G224" t="s">
        <v>656</v>
      </c>
      <c r="H224" t="s">
        <v>5953</v>
      </c>
      <c r="I224" t="s">
        <v>91</v>
      </c>
      <c r="J224" t="s">
        <v>5979</v>
      </c>
      <c r="K224" t="s">
        <v>5980</v>
      </c>
      <c r="L224" t="s">
        <v>5956</v>
      </c>
    </row>
    <row r="225" spans="1:12" ht="15" customHeight="1">
      <c r="A225">
        <v>224</v>
      </c>
      <c r="B225" t="s">
        <v>10</v>
      </c>
      <c r="C225" t="s">
        <v>464</v>
      </c>
      <c r="D225" t="s">
        <v>5981</v>
      </c>
      <c r="E225">
        <v>2025</v>
      </c>
      <c r="F225" t="s">
        <v>653</v>
      </c>
      <c r="G225" t="s">
        <v>667</v>
      </c>
      <c r="H225" t="s">
        <v>5953</v>
      </c>
      <c r="I225" t="s">
        <v>91</v>
      </c>
      <c r="J225" t="s">
        <v>5979</v>
      </c>
      <c r="K225" t="s">
        <v>5982</v>
      </c>
      <c r="L225" t="s">
        <v>5956</v>
      </c>
    </row>
    <row r="226" spans="1:12" ht="15" customHeight="1">
      <c r="A226">
        <v>225</v>
      </c>
      <c r="B226" t="s">
        <v>10</v>
      </c>
      <c r="C226" t="s">
        <v>468</v>
      </c>
      <c r="D226" t="s">
        <v>5983</v>
      </c>
      <c r="E226">
        <v>2021</v>
      </c>
      <c r="F226" t="s">
        <v>653</v>
      </c>
      <c r="G226" t="s">
        <v>672</v>
      </c>
      <c r="H226" t="s">
        <v>5953</v>
      </c>
      <c r="I226" t="s">
        <v>91</v>
      </c>
      <c r="J226" t="s">
        <v>5979</v>
      </c>
      <c r="K226" t="s">
        <v>5984</v>
      </c>
      <c r="L226" t="s">
        <v>5956</v>
      </c>
    </row>
    <row r="227" spans="1:12" ht="15" customHeight="1">
      <c r="A227">
        <v>226</v>
      </c>
      <c r="B227" t="s">
        <v>10</v>
      </c>
      <c r="C227" t="s">
        <v>476</v>
      </c>
      <c r="D227" t="s">
        <v>5985</v>
      </c>
      <c r="E227">
        <v>2023</v>
      </c>
      <c r="F227" t="s">
        <v>653</v>
      </c>
      <c r="G227" t="s">
        <v>681</v>
      </c>
      <c r="H227" t="s">
        <v>5953</v>
      </c>
      <c r="I227" t="s">
        <v>91</v>
      </c>
      <c r="J227" t="s">
        <v>5986</v>
      </c>
      <c r="K227" t="s">
        <v>5987</v>
      </c>
      <c r="L227" t="s">
        <v>5956</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35"/>
  <sheetViews>
    <sheetView topLeftCell="F1" zoomScaleNormal="100" workbookViewId="0">
      <pane xSplit="1" ySplit="1" topLeftCell="B2" activePane="bottomRight" state="frozen"/>
      <selection pane="bottomRight" activeCell="H1" sqref="H1"/>
      <selection pane="bottomLeft" activeCell="F2" sqref="F2"/>
      <selection pane="topRight" activeCell="B1" sqref="B1"/>
    </sheetView>
  </sheetViews>
  <sheetFormatPr defaultColWidth="8.7109375" defaultRowHeight="14.45"/>
  <cols>
    <col min="1" max="7" width="25" customWidth="1"/>
    <col min="8" max="8" width="48.7109375" customWidth="1"/>
    <col min="9" max="11" width="25" customWidth="1"/>
    <col min="12" max="12" width="55" customWidth="1"/>
  </cols>
  <sheetData>
    <row r="1" spans="1:12" ht="15" customHeight="1">
      <c r="A1" s="35" t="s">
        <v>5699</v>
      </c>
      <c r="B1" s="35" t="s">
        <v>55</v>
      </c>
      <c r="C1" s="35" t="s">
        <v>57</v>
      </c>
      <c r="D1" s="35" t="s">
        <v>58</v>
      </c>
      <c r="E1" s="35" t="s">
        <v>59</v>
      </c>
      <c r="F1" s="35" t="s">
        <v>60</v>
      </c>
      <c r="G1" s="35" t="s">
        <v>61</v>
      </c>
      <c r="H1" s="35" t="s">
        <v>4972</v>
      </c>
      <c r="I1" s="35" t="s">
        <v>5950</v>
      </c>
      <c r="J1" s="35" t="s">
        <v>5951</v>
      </c>
      <c r="K1" s="35" t="s">
        <v>450</v>
      </c>
      <c r="L1" s="26" t="s">
        <v>5988</v>
      </c>
    </row>
    <row r="2" spans="1:12" ht="15" customHeight="1">
      <c r="A2" t="s">
        <v>5045</v>
      </c>
      <c r="B2" t="s">
        <v>8</v>
      </c>
      <c r="C2" t="s">
        <v>339</v>
      </c>
      <c r="D2" t="s">
        <v>340</v>
      </c>
      <c r="E2">
        <v>2025</v>
      </c>
      <c r="F2" t="s">
        <v>341</v>
      </c>
      <c r="G2" t="s">
        <v>342</v>
      </c>
      <c r="H2" t="s">
        <v>5989</v>
      </c>
      <c r="I2" t="s">
        <v>76</v>
      </c>
      <c r="J2" t="s">
        <v>5990</v>
      </c>
      <c r="K2" t="s">
        <v>5991</v>
      </c>
      <c r="L2" t="s">
        <v>5992</v>
      </c>
    </row>
    <row r="3" spans="1:12" ht="15" customHeight="1">
      <c r="A3" t="s">
        <v>5073</v>
      </c>
      <c r="B3" t="s">
        <v>10</v>
      </c>
      <c r="C3" t="s">
        <v>456</v>
      </c>
      <c r="D3" t="s">
        <v>5993</v>
      </c>
      <c r="E3">
        <v>2026</v>
      </c>
      <c r="F3" t="s">
        <v>653</v>
      </c>
      <c r="G3" t="s">
        <v>659</v>
      </c>
      <c r="H3" t="s">
        <v>5989</v>
      </c>
      <c r="I3" t="s">
        <v>76</v>
      </c>
      <c r="J3" t="s">
        <v>5990</v>
      </c>
      <c r="K3" t="s">
        <v>5991</v>
      </c>
      <c r="L3" t="s">
        <v>5992</v>
      </c>
    </row>
    <row r="4" spans="1:12" ht="15" customHeight="1">
      <c r="A4" t="s">
        <v>5096</v>
      </c>
      <c r="B4" t="s">
        <v>11</v>
      </c>
      <c r="C4" t="s">
        <v>189</v>
      </c>
      <c r="D4" t="s">
        <v>5994</v>
      </c>
      <c r="E4">
        <v>2024</v>
      </c>
      <c r="F4" t="s">
        <v>5097</v>
      </c>
      <c r="G4" t="s">
        <v>191</v>
      </c>
      <c r="H4" t="s">
        <v>5989</v>
      </c>
      <c r="I4" t="s">
        <v>76</v>
      </c>
      <c r="J4" t="s">
        <v>5990</v>
      </c>
      <c r="K4" t="s">
        <v>5991</v>
      </c>
      <c r="L4" t="s">
        <v>5992</v>
      </c>
    </row>
    <row r="5" spans="1:12" ht="15" customHeight="1">
      <c r="A5" t="s">
        <v>5121</v>
      </c>
      <c r="B5" t="s">
        <v>11</v>
      </c>
      <c r="C5" t="s">
        <v>5122</v>
      </c>
      <c r="D5" t="s">
        <v>5995</v>
      </c>
      <c r="E5">
        <v>2025</v>
      </c>
      <c r="F5" t="s">
        <v>5123</v>
      </c>
      <c r="G5" t="s">
        <v>5996</v>
      </c>
      <c r="H5" t="s">
        <v>5989</v>
      </c>
      <c r="I5" t="s">
        <v>76</v>
      </c>
      <c r="J5" t="s">
        <v>5990</v>
      </c>
      <c r="K5" t="s">
        <v>5997</v>
      </c>
      <c r="L5" t="s">
        <v>5992</v>
      </c>
    </row>
    <row r="6" spans="1:12" ht="15" customHeight="1">
      <c r="A6" t="s">
        <v>5145</v>
      </c>
      <c r="B6" t="s">
        <v>11</v>
      </c>
      <c r="C6" t="s">
        <v>5146</v>
      </c>
      <c r="D6" t="s">
        <v>5998</v>
      </c>
      <c r="E6">
        <v>2023</v>
      </c>
      <c r="F6" t="s">
        <v>5147</v>
      </c>
      <c r="G6" t="s">
        <v>5999</v>
      </c>
      <c r="H6" t="s">
        <v>5989</v>
      </c>
      <c r="I6" t="s">
        <v>76</v>
      </c>
      <c r="J6" t="s">
        <v>5990</v>
      </c>
      <c r="K6" t="s">
        <v>5997</v>
      </c>
      <c r="L6" t="s">
        <v>5992</v>
      </c>
    </row>
    <row r="7" spans="1:12" ht="15" customHeight="1">
      <c r="A7" t="s">
        <v>5169</v>
      </c>
      <c r="B7" t="s">
        <v>11</v>
      </c>
      <c r="C7" t="s">
        <v>5170</v>
      </c>
      <c r="D7" t="s">
        <v>6000</v>
      </c>
      <c r="E7">
        <v>2026</v>
      </c>
      <c r="F7" t="s">
        <v>685</v>
      </c>
      <c r="G7" t="s">
        <v>6001</v>
      </c>
      <c r="H7" t="s">
        <v>5989</v>
      </c>
      <c r="I7" t="s">
        <v>76</v>
      </c>
      <c r="J7" t="s">
        <v>5990</v>
      </c>
      <c r="K7" t="s">
        <v>5997</v>
      </c>
      <c r="L7" t="s">
        <v>5992</v>
      </c>
    </row>
    <row r="8" spans="1:12" ht="15" customHeight="1">
      <c r="A8" t="s">
        <v>5193</v>
      </c>
      <c r="B8" t="s">
        <v>11</v>
      </c>
      <c r="C8" t="s">
        <v>5194</v>
      </c>
      <c r="D8" t="s">
        <v>6002</v>
      </c>
      <c r="E8">
        <v>2024</v>
      </c>
      <c r="F8" t="s">
        <v>5195</v>
      </c>
      <c r="G8" t="s">
        <v>403</v>
      </c>
      <c r="H8" t="s">
        <v>5989</v>
      </c>
      <c r="I8" t="s">
        <v>76</v>
      </c>
      <c r="J8" t="s">
        <v>5990</v>
      </c>
      <c r="K8" t="s">
        <v>5991</v>
      </c>
      <c r="L8" s="6" t="s">
        <v>6003</v>
      </c>
    </row>
    <row r="9" spans="1:12" ht="15" customHeight="1">
      <c r="A9" t="s">
        <v>5217</v>
      </c>
      <c r="B9" t="s">
        <v>8</v>
      </c>
      <c r="C9" t="s">
        <v>436</v>
      </c>
      <c r="E9">
        <v>2025</v>
      </c>
      <c r="G9" t="s">
        <v>437</v>
      </c>
      <c r="H9" t="s">
        <v>5989</v>
      </c>
      <c r="I9" t="s">
        <v>76</v>
      </c>
      <c r="J9" t="s">
        <v>5990</v>
      </c>
      <c r="K9" t="s">
        <v>5991</v>
      </c>
      <c r="L9" t="s">
        <v>5992</v>
      </c>
    </row>
    <row r="10" spans="1:12" ht="15" customHeight="1">
      <c r="A10" t="s">
        <v>5239</v>
      </c>
      <c r="B10" t="s">
        <v>13</v>
      </c>
      <c r="C10" t="s">
        <v>760</v>
      </c>
      <c r="E10">
        <v>2026</v>
      </c>
      <c r="F10" t="s">
        <v>761</v>
      </c>
      <c r="G10" t="s">
        <v>762</v>
      </c>
      <c r="H10" t="s">
        <v>5989</v>
      </c>
      <c r="I10" t="s">
        <v>76</v>
      </c>
      <c r="J10" t="s">
        <v>5990</v>
      </c>
      <c r="K10" t="s">
        <v>5991</v>
      </c>
      <c r="L10" t="s">
        <v>5992</v>
      </c>
    </row>
    <row r="11" spans="1:12" ht="15" customHeight="1">
      <c r="A11" t="s">
        <v>5263</v>
      </c>
      <c r="B11" t="s">
        <v>13</v>
      </c>
      <c r="C11" t="s">
        <v>780</v>
      </c>
      <c r="E11">
        <v>2025</v>
      </c>
      <c r="F11" t="s">
        <v>781</v>
      </c>
      <c r="G11" t="s">
        <v>782</v>
      </c>
      <c r="H11" t="s">
        <v>5989</v>
      </c>
      <c r="I11" t="s">
        <v>76</v>
      </c>
      <c r="J11" t="s">
        <v>5990</v>
      </c>
      <c r="K11" t="s">
        <v>5991</v>
      </c>
      <c r="L11" t="s">
        <v>5992</v>
      </c>
    </row>
    <row r="12" spans="1:12" ht="15" customHeight="1">
      <c r="A12" t="s">
        <v>5284</v>
      </c>
      <c r="B12" t="s">
        <v>13</v>
      </c>
      <c r="C12" t="s">
        <v>813</v>
      </c>
      <c r="E12">
        <v>2026</v>
      </c>
      <c r="F12" t="s">
        <v>814</v>
      </c>
      <c r="G12" t="s">
        <v>815</v>
      </c>
      <c r="H12" t="s">
        <v>5989</v>
      </c>
      <c r="I12" t="s">
        <v>76</v>
      </c>
      <c r="J12" t="s">
        <v>5990</v>
      </c>
      <c r="K12" t="s">
        <v>5991</v>
      </c>
      <c r="L12" t="s">
        <v>5992</v>
      </c>
    </row>
    <row r="13" spans="1:12" ht="15" customHeight="1">
      <c r="A13" t="s">
        <v>5307</v>
      </c>
      <c r="B13" t="s">
        <v>13</v>
      </c>
      <c r="C13" t="s">
        <v>816</v>
      </c>
      <c r="E13">
        <v>2026</v>
      </c>
      <c r="F13" t="s">
        <v>755</v>
      </c>
      <c r="G13" t="s">
        <v>817</v>
      </c>
      <c r="H13" t="s">
        <v>5989</v>
      </c>
      <c r="I13" t="s">
        <v>76</v>
      </c>
      <c r="J13" t="s">
        <v>5990</v>
      </c>
      <c r="K13" t="s">
        <v>6004</v>
      </c>
      <c r="L13" t="s">
        <v>5992</v>
      </c>
    </row>
    <row r="14" spans="1:12" ht="15" customHeight="1">
      <c r="A14" t="s">
        <v>5336</v>
      </c>
      <c r="B14" t="s">
        <v>10</v>
      </c>
      <c r="C14" t="s">
        <v>462</v>
      </c>
      <c r="D14" t="s">
        <v>6005</v>
      </c>
      <c r="E14">
        <v>2026</v>
      </c>
      <c r="F14" t="s">
        <v>653</v>
      </c>
      <c r="G14" t="s">
        <v>665</v>
      </c>
      <c r="H14" t="s">
        <v>5989</v>
      </c>
      <c r="I14" t="s">
        <v>76</v>
      </c>
      <c r="J14" t="s">
        <v>5990</v>
      </c>
      <c r="K14" t="s">
        <v>5991</v>
      </c>
      <c r="L14" t="s">
        <v>5992</v>
      </c>
    </row>
    <row r="15" spans="1:12" ht="15" customHeight="1">
      <c r="A15" t="s">
        <v>5357</v>
      </c>
      <c r="B15" t="s">
        <v>10</v>
      </c>
      <c r="C15" t="s">
        <v>470</v>
      </c>
      <c r="D15" t="s">
        <v>6006</v>
      </c>
      <c r="E15">
        <v>2021</v>
      </c>
      <c r="F15" t="s">
        <v>653</v>
      </c>
      <c r="G15" t="s">
        <v>675</v>
      </c>
      <c r="H15" t="s">
        <v>5989</v>
      </c>
      <c r="I15" t="s">
        <v>76</v>
      </c>
      <c r="J15" t="s">
        <v>5990</v>
      </c>
      <c r="K15" t="s">
        <v>5991</v>
      </c>
      <c r="L15" t="s">
        <v>5992</v>
      </c>
    </row>
    <row r="16" spans="1:12" ht="15" customHeight="1">
      <c r="A16" t="s">
        <v>5384</v>
      </c>
      <c r="B16" t="s">
        <v>9</v>
      </c>
      <c r="C16" t="s">
        <v>1037</v>
      </c>
      <c r="D16" t="s">
        <v>1038</v>
      </c>
      <c r="E16">
        <v>2025</v>
      </c>
      <c r="F16" t="s">
        <v>923</v>
      </c>
      <c r="G16" t="s">
        <v>1039</v>
      </c>
      <c r="H16" t="s">
        <v>5989</v>
      </c>
      <c r="I16" t="s">
        <v>76</v>
      </c>
      <c r="J16" t="s">
        <v>5990</v>
      </c>
      <c r="K16" t="s">
        <v>5991</v>
      </c>
      <c r="L16" t="s">
        <v>5992</v>
      </c>
    </row>
    <row r="17" spans="1:12" ht="15" customHeight="1">
      <c r="A17" t="s">
        <v>5408</v>
      </c>
      <c r="B17" t="s">
        <v>9</v>
      </c>
      <c r="C17" t="s">
        <v>1119</v>
      </c>
      <c r="D17" t="s">
        <v>1120</v>
      </c>
      <c r="E17">
        <v>2026</v>
      </c>
      <c r="F17" t="s">
        <v>1121</v>
      </c>
      <c r="G17" t="s">
        <v>1122</v>
      </c>
      <c r="H17" t="s">
        <v>5989</v>
      </c>
      <c r="I17" t="s">
        <v>76</v>
      </c>
      <c r="J17" t="s">
        <v>5990</v>
      </c>
      <c r="K17" t="s">
        <v>5991</v>
      </c>
      <c r="L17" t="s">
        <v>5992</v>
      </c>
    </row>
    <row r="18" spans="1:12" ht="15" customHeight="1">
      <c r="A18" t="s">
        <v>5431</v>
      </c>
      <c r="B18" t="s">
        <v>11</v>
      </c>
      <c r="C18" t="s">
        <v>5432</v>
      </c>
      <c r="D18" t="s">
        <v>6007</v>
      </c>
      <c r="E18">
        <v>2024</v>
      </c>
      <c r="F18" t="s">
        <v>5433</v>
      </c>
      <c r="G18" t="s">
        <v>6008</v>
      </c>
      <c r="H18" t="s">
        <v>5989</v>
      </c>
      <c r="I18" t="s">
        <v>76</v>
      </c>
      <c r="J18" t="s">
        <v>5990</v>
      </c>
      <c r="K18" t="s">
        <v>5997</v>
      </c>
      <c r="L18" t="s">
        <v>5992</v>
      </c>
    </row>
    <row r="19" spans="1:12" ht="15" customHeight="1">
      <c r="A19" t="s">
        <v>5457</v>
      </c>
      <c r="B19" t="s">
        <v>12</v>
      </c>
      <c r="C19" t="s">
        <v>5458</v>
      </c>
      <c r="E19">
        <v>2026</v>
      </c>
      <c r="F19" t="s">
        <v>1176</v>
      </c>
      <c r="G19" t="s">
        <v>750</v>
      </c>
      <c r="H19" t="s">
        <v>5989</v>
      </c>
      <c r="I19" t="s">
        <v>76</v>
      </c>
      <c r="J19" t="s">
        <v>5990</v>
      </c>
      <c r="K19" t="s">
        <v>5991</v>
      </c>
      <c r="L19" t="s">
        <v>5992</v>
      </c>
    </row>
    <row r="20" spans="1:12" ht="15" customHeight="1">
      <c r="A20" t="s">
        <v>5481</v>
      </c>
      <c r="B20" t="s">
        <v>12</v>
      </c>
      <c r="C20" t="s">
        <v>1184</v>
      </c>
      <c r="E20">
        <v>2026</v>
      </c>
      <c r="F20" t="s">
        <v>1185</v>
      </c>
      <c r="G20" t="s">
        <v>1186</v>
      </c>
      <c r="H20" t="s">
        <v>5989</v>
      </c>
      <c r="I20" t="s">
        <v>76</v>
      </c>
      <c r="J20" t="s">
        <v>5990</v>
      </c>
      <c r="K20" t="s">
        <v>5991</v>
      </c>
      <c r="L20" t="s">
        <v>5992</v>
      </c>
    </row>
    <row r="21" spans="1:12" ht="15" customHeight="1">
      <c r="A21" t="s">
        <v>5504</v>
      </c>
      <c r="B21" t="s">
        <v>12</v>
      </c>
      <c r="C21" t="s">
        <v>724</v>
      </c>
      <c r="E21">
        <v>2026</v>
      </c>
      <c r="F21" t="s">
        <v>1188</v>
      </c>
      <c r="G21" t="s">
        <v>726</v>
      </c>
      <c r="H21" t="s">
        <v>5989</v>
      </c>
      <c r="I21" t="s">
        <v>76</v>
      </c>
      <c r="J21" t="s">
        <v>5990</v>
      </c>
      <c r="K21" t="s">
        <v>5991</v>
      </c>
      <c r="L21" t="s">
        <v>5992</v>
      </c>
    </row>
    <row r="22" spans="1:12" ht="15" customHeight="1">
      <c r="A22" t="s">
        <v>5527</v>
      </c>
      <c r="B22" t="s">
        <v>12</v>
      </c>
      <c r="C22" t="s">
        <v>778</v>
      </c>
      <c r="E22">
        <v>2026</v>
      </c>
      <c r="F22" t="s">
        <v>1201</v>
      </c>
      <c r="G22" t="s">
        <v>779</v>
      </c>
      <c r="H22" t="s">
        <v>5989</v>
      </c>
      <c r="I22" t="s">
        <v>76</v>
      </c>
      <c r="J22" t="s">
        <v>5990</v>
      </c>
      <c r="K22" t="s">
        <v>5991</v>
      </c>
      <c r="L22" t="s">
        <v>5992</v>
      </c>
    </row>
    <row r="23" spans="1:12" ht="15" customHeight="1">
      <c r="A23" t="s">
        <v>5549</v>
      </c>
      <c r="B23" t="s">
        <v>10</v>
      </c>
      <c r="C23" t="s">
        <v>451</v>
      </c>
      <c r="D23" t="s">
        <v>6009</v>
      </c>
      <c r="E23">
        <v>2026</v>
      </c>
      <c r="F23" t="s">
        <v>653</v>
      </c>
      <c r="G23" t="s">
        <v>654</v>
      </c>
      <c r="H23" t="s">
        <v>5989</v>
      </c>
      <c r="I23" t="s">
        <v>76</v>
      </c>
      <c r="J23" t="s">
        <v>5990</v>
      </c>
      <c r="K23" t="s">
        <v>6004</v>
      </c>
      <c r="L23" t="s">
        <v>5992</v>
      </c>
    </row>
    <row r="24" spans="1:12" ht="15" customHeight="1">
      <c r="A24" t="s">
        <v>5573</v>
      </c>
      <c r="B24" t="s">
        <v>10</v>
      </c>
      <c r="C24" t="s">
        <v>458</v>
      </c>
      <c r="D24" t="s">
        <v>6010</v>
      </c>
      <c r="E24">
        <v>2026</v>
      </c>
      <c r="F24" t="s">
        <v>653</v>
      </c>
      <c r="G24" t="s">
        <v>6011</v>
      </c>
      <c r="H24" t="s">
        <v>5989</v>
      </c>
      <c r="I24" t="s">
        <v>76</v>
      </c>
      <c r="J24" t="s">
        <v>5990</v>
      </c>
      <c r="K24" t="s">
        <v>6004</v>
      </c>
      <c r="L24" t="s">
        <v>5992</v>
      </c>
    </row>
    <row r="25" spans="1:12" ht="15" customHeight="1">
      <c r="A25" t="s">
        <v>5598</v>
      </c>
      <c r="B25" t="s">
        <v>10</v>
      </c>
      <c r="C25" t="s">
        <v>460</v>
      </c>
      <c r="D25" t="s">
        <v>6012</v>
      </c>
      <c r="E25">
        <v>2026</v>
      </c>
      <c r="F25" t="s">
        <v>5599</v>
      </c>
      <c r="G25" t="s">
        <v>661</v>
      </c>
      <c r="H25" t="s">
        <v>5989</v>
      </c>
      <c r="I25" t="s">
        <v>76</v>
      </c>
      <c r="J25" t="s">
        <v>5990</v>
      </c>
      <c r="K25" t="s">
        <v>6004</v>
      </c>
      <c r="L25" t="s">
        <v>5992</v>
      </c>
    </row>
    <row r="26" spans="1:12" ht="15" customHeight="1">
      <c r="A26" t="s">
        <v>5622</v>
      </c>
      <c r="B26" t="s">
        <v>10</v>
      </c>
      <c r="C26" t="s">
        <v>466</v>
      </c>
      <c r="D26" t="s">
        <v>6013</v>
      </c>
      <c r="E26">
        <v>2024</v>
      </c>
      <c r="F26" t="s">
        <v>653</v>
      </c>
      <c r="G26" t="s">
        <v>670</v>
      </c>
      <c r="H26" t="s">
        <v>5989</v>
      </c>
      <c r="I26" t="s">
        <v>76</v>
      </c>
      <c r="J26" t="s">
        <v>5990</v>
      </c>
      <c r="K26" t="s">
        <v>6004</v>
      </c>
      <c r="L26" t="s">
        <v>5992</v>
      </c>
    </row>
    <row r="27" spans="1:12" ht="15" customHeight="1">
      <c r="A27" t="s">
        <v>5647</v>
      </c>
      <c r="B27" t="s">
        <v>10</v>
      </c>
      <c r="C27" t="s">
        <v>472</v>
      </c>
      <c r="D27" t="s">
        <v>6014</v>
      </c>
      <c r="E27">
        <v>2021</v>
      </c>
      <c r="F27" t="s">
        <v>653</v>
      </c>
      <c r="G27" t="s">
        <v>677</v>
      </c>
      <c r="H27" t="s">
        <v>5989</v>
      </c>
      <c r="I27" t="s">
        <v>76</v>
      </c>
      <c r="J27" t="s">
        <v>5990</v>
      </c>
      <c r="K27" t="s">
        <v>6004</v>
      </c>
      <c r="L27" t="s">
        <v>5992</v>
      </c>
    </row>
    <row r="28" spans="1:12" ht="15" customHeight="1">
      <c r="A28" t="s">
        <v>5672</v>
      </c>
      <c r="B28" t="s">
        <v>10</v>
      </c>
      <c r="C28" t="s">
        <v>474</v>
      </c>
      <c r="D28" t="s">
        <v>6015</v>
      </c>
      <c r="E28">
        <v>2015</v>
      </c>
      <c r="F28" t="s">
        <v>653</v>
      </c>
      <c r="G28" t="s">
        <v>679</v>
      </c>
      <c r="H28" t="s">
        <v>5989</v>
      </c>
      <c r="I28" t="s">
        <v>76</v>
      </c>
      <c r="J28" t="s">
        <v>5990</v>
      </c>
      <c r="K28" t="s">
        <v>6004</v>
      </c>
      <c r="L28" s="6" t="s">
        <v>6016</v>
      </c>
    </row>
    <row r="29" spans="1:12" ht="15" customHeight="1"/>
    <row r="30" spans="1:12" ht="15" customHeight="1"/>
    <row r="31" spans="1:12" ht="15" customHeight="1"/>
    <row r="32" spans="1:12" ht="15" customHeight="1"/>
    <row r="33" ht="15" customHeight="1"/>
    <row r="34" ht="15" customHeight="1"/>
    <row r="35" ht="15" customHeight="1"/>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
  <sheetViews>
    <sheetView zoomScaleNormal="100" workbookViewId="0"/>
  </sheetViews>
  <sheetFormatPr defaultColWidth="8.7109375" defaultRowHeight="14.45"/>
  <cols>
    <col min="1" max="2" width="25" customWidth="1"/>
  </cols>
  <sheetData>
    <row r="1" spans="1:2" ht="15.75" customHeight="1">
      <c r="A1" s="1" t="s">
        <v>6017</v>
      </c>
    </row>
    <row r="2" spans="1:2" ht="15" customHeight="1">
      <c r="A2" s="35" t="s">
        <v>6018</v>
      </c>
      <c r="B2" s="35" t="s">
        <v>6019</v>
      </c>
    </row>
    <row r="3" spans="1:2" ht="95.25" customHeight="1">
      <c r="A3" s="36" t="s">
        <v>6020</v>
      </c>
      <c r="B3" s="36" t="s">
        <v>6021</v>
      </c>
    </row>
    <row r="4" spans="1:2" ht="95.25" customHeight="1">
      <c r="A4" s="36" t="s">
        <v>6022</v>
      </c>
      <c r="B4" s="36" t="s">
        <v>6023</v>
      </c>
    </row>
    <row r="5" spans="1:2" ht="54.75" customHeight="1">
      <c r="A5" s="36" t="s">
        <v>6024</v>
      </c>
      <c r="B5" s="36" t="s">
        <v>6025</v>
      </c>
    </row>
    <row r="6" spans="1:2" ht="27.75" customHeight="1">
      <c r="A6" s="36" t="s">
        <v>6026</v>
      </c>
      <c r="B6" s="36" t="s">
        <v>6027</v>
      </c>
    </row>
    <row r="7" spans="1:2" ht="95.25" customHeight="1">
      <c r="A7" s="36" t="s">
        <v>6028</v>
      </c>
      <c r="B7" s="36" t="s">
        <v>6029</v>
      </c>
    </row>
    <row r="8" spans="1:2" ht="108.75" customHeight="1">
      <c r="A8" s="36" t="s">
        <v>6030</v>
      </c>
      <c r="B8" s="36" t="s">
        <v>6031</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8"/>
  <sheetViews>
    <sheetView zoomScaleNormal="100" workbookViewId="0"/>
  </sheetViews>
  <sheetFormatPr defaultColWidth="8.7109375" defaultRowHeight="14.45"/>
  <cols>
    <col min="1" max="5" width="25" customWidth="1"/>
  </cols>
  <sheetData>
    <row r="1" spans="1:5" ht="15.75" customHeight="1">
      <c r="A1" s="1" t="s">
        <v>6032</v>
      </c>
    </row>
    <row r="2" spans="1:5" ht="15" customHeight="1">
      <c r="A2" s="35" t="s">
        <v>55</v>
      </c>
      <c r="B2" s="35" t="s">
        <v>6033</v>
      </c>
      <c r="C2" s="35" t="s">
        <v>6034</v>
      </c>
      <c r="D2" s="35" t="s">
        <v>6035</v>
      </c>
      <c r="E2" s="35" t="s">
        <v>6036</v>
      </c>
    </row>
    <row r="3" spans="1:5" ht="390.75" customHeight="1">
      <c r="A3" s="36" t="s">
        <v>8</v>
      </c>
      <c r="B3" s="36" t="s">
        <v>6037</v>
      </c>
      <c r="C3" s="36" t="s">
        <v>6038</v>
      </c>
      <c r="D3" s="36" t="s">
        <v>6039</v>
      </c>
      <c r="E3" s="36">
        <v>318</v>
      </c>
    </row>
    <row r="4" spans="1:5" ht="41.25" customHeight="1">
      <c r="A4" s="36" t="s">
        <v>9</v>
      </c>
      <c r="B4" s="36" t="s">
        <v>6040</v>
      </c>
      <c r="C4" s="36" t="s">
        <v>6041</v>
      </c>
      <c r="D4" s="36" t="s">
        <v>6042</v>
      </c>
      <c r="E4" s="36">
        <v>3093</v>
      </c>
    </row>
    <row r="5" spans="1:5" ht="41.25" customHeight="1">
      <c r="A5" s="36" t="s">
        <v>10</v>
      </c>
      <c r="B5" s="36" t="s">
        <v>6043</v>
      </c>
      <c r="C5" s="36" t="s">
        <v>6044</v>
      </c>
      <c r="D5" s="37" t="s">
        <v>6042</v>
      </c>
      <c r="E5" s="36">
        <v>1907</v>
      </c>
    </row>
    <row r="6" spans="1:5" ht="41.25" customHeight="1">
      <c r="A6" s="36" t="s">
        <v>6045</v>
      </c>
      <c r="B6" s="36" t="s">
        <v>6046</v>
      </c>
      <c r="C6" s="36" t="s">
        <v>6047</v>
      </c>
      <c r="D6" s="36" t="s">
        <v>6048</v>
      </c>
      <c r="E6" s="36">
        <v>2034</v>
      </c>
    </row>
    <row r="7" spans="1:5" ht="27.75" customHeight="1">
      <c r="A7" s="36" t="s">
        <v>12</v>
      </c>
      <c r="B7" s="36" t="s">
        <v>6049</v>
      </c>
      <c r="C7" s="36" t="s">
        <v>6050</v>
      </c>
      <c r="D7" s="36" t="s">
        <v>6051</v>
      </c>
      <c r="E7" s="36">
        <v>140</v>
      </c>
    </row>
    <row r="8" spans="1:5" ht="41.25" customHeight="1">
      <c r="A8" s="36" t="s">
        <v>13</v>
      </c>
      <c r="B8" s="36" t="s">
        <v>6052</v>
      </c>
      <c r="C8" s="36" t="s">
        <v>6053</v>
      </c>
      <c r="D8" s="36" t="s">
        <v>6051</v>
      </c>
      <c r="E8" s="36">
        <v>93</v>
      </c>
    </row>
  </sheetData>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0"/>
  <sheetViews>
    <sheetView zoomScaleNormal="100" workbookViewId="0"/>
  </sheetViews>
  <sheetFormatPr defaultColWidth="8.7109375" defaultRowHeight="14.45"/>
  <cols>
    <col min="1" max="4" width="25" customWidth="1"/>
  </cols>
  <sheetData>
    <row r="1" spans="1:4" ht="15.75" customHeight="1">
      <c r="A1" s="1" t="s">
        <v>6054</v>
      </c>
    </row>
    <row r="2" spans="1:4" ht="15" customHeight="1">
      <c r="A2" s="35" t="s">
        <v>6055</v>
      </c>
      <c r="B2" s="35" t="s">
        <v>6056</v>
      </c>
      <c r="C2" s="35" t="s">
        <v>6057</v>
      </c>
      <c r="D2" s="35" t="s">
        <v>6058</v>
      </c>
    </row>
    <row r="3" spans="1:4" ht="27.75" customHeight="1">
      <c r="A3" s="7" t="s">
        <v>6059</v>
      </c>
      <c r="B3" s="7" t="s">
        <v>6060</v>
      </c>
      <c r="C3" s="7">
        <f>'00_Overview_&amp;_PRISMA'!B12</f>
        <v>7585</v>
      </c>
      <c r="D3" s="7" t="s">
        <v>6061</v>
      </c>
    </row>
    <row r="4" spans="1:4" ht="27.75" customHeight="1">
      <c r="A4" s="7" t="s">
        <v>6059</v>
      </c>
      <c r="B4" s="7" t="s">
        <v>6062</v>
      </c>
      <c r="C4" s="7">
        <v>4</v>
      </c>
      <c r="D4" s="7" t="s">
        <v>6063</v>
      </c>
    </row>
    <row r="5" spans="1:4" ht="27.75" customHeight="1">
      <c r="A5" s="7" t="s">
        <v>6064</v>
      </c>
      <c r="B5" s="7" t="s">
        <v>6065</v>
      </c>
      <c r="C5" s="7">
        <f>C3-C6</f>
        <v>6053</v>
      </c>
      <c r="D5" s="7" t="s">
        <v>6066</v>
      </c>
    </row>
    <row r="6" spans="1:4" ht="27.75" customHeight="1">
      <c r="A6" s="7" t="s">
        <v>6064</v>
      </c>
      <c r="B6" s="7" t="s">
        <v>6067</v>
      </c>
      <c r="C6" s="7">
        <f>'00_Overview_&amp;_PRISMA'!C12</f>
        <v>1532</v>
      </c>
      <c r="D6" s="7"/>
    </row>
    <row r="7" spans="1:4" ht="54.75" customHeight="1">
      <c r="A7" s="7" t="s">
        <v>6064</v>
      </c>
      <c r="B7" s="7" t="s">
        <v>6068</v>
      </c>
      <c r="C7" s="7">
        <f>C6-C8</f>
        <v>120</v>
      </c>
      <c r="D7" s="7" t="s">
        <v>6069</v>
      </c>
    </row>
    <row r="8" spans="1:4" ht="41.25" customHeight="1">
      <c r="A8" s="7" t="s">
        <v>6064</v>
      </c>
      <c r="B8" s="7" t="s">
        <v>6070</v>
      </c>
      <c r="C8" s="7">
        <f>'00_Overview_&amp;_PRISMA'!D12</f>
        <v>1412</v>
      </c>
      <c r="D8" s="7" t="s">
        <v>6071</v>
      </c>
    </row>
    <row r="9" spans="1:4" ht="95.25" customHeight="1">
      <c r="A9" s="7" t="s">
        <v>6064</v>
      </c>
      <c r="B9" s="7" t="s">
        <v>5861</v>
      </c>
      <c r="C9" s="7">
        <f>Dedup_Log!C47</f>
        <v>46</v>
      </c>
      <c r="D9" s="7" t="s">
        <v>6072</v>
      </c>
    </row>
    <row r="10" spans="1:4" ht="27.75" customHeight="1">
      <c r="A10" s="7" t="s">
        <v>6064</v>
      </c>
      <c r="B10" s="7" t="s">
        <v>6073</v>
      </c>
      <c r="C10" s="7">
        <f>C8-C9</f>
        <v>1366</v>
      </c>
      <c r="D10" s="7"/>
    </row>
    <row r="11" spans="1:4" ht="122.25" customHeight="1">
      <c r="A11" s="7" t="s">
        <v>6064</v>
      </c>
      <c r="B11" s="7" t="s">
        <v>6074</v>
      </c>
      <c r="C11" s="7">
        <f>Stage2_Exclusions!C1127</f>
        <v>1117</v>
      </c>
      <c r="D11" s="7" t="str">
        <f>"EC1 no AI: "&amp;Stage2_Exclusions!C1122&amp;"; EC2 no software model: "&amp;Stage2_Exclusions!C1123&amp;"; EC4 non-software domain: "&amp;Stage2_Exclusions!C1124&amp;"; EC5 secondary study: "&amp;Stage2_Exclusions!C1125&amp;"; EC8 editorial/short paper: "&amp;Stage2_Exclusions!C1126&amp;". Reasons recorded per record by reviewers; mapped to EC codes (Stage2_Exclusions)."</f>
        <v>EC1 no AI: 667; EC2 no software model: 153; EC4 non-software domain: 176; EC5 secondary study: 110; EC8 editorial/short paper: 11. Reasons recorded per record by reviewers; mapped to EC codes (Stage2_Exclusions).</v>
      </c>
    </row>
    <row r="12" spans="1:4" ht="27.75" customHeight="1">
      <c r="A12" s="7" t="s">
        <v>6075</v>
      </c>
      <c r="B12" s="7" t="s">
        <v>6076</v>
      </c>
      <c r="C12" s="7">
        <f>C10-C11</f>
        <v>249</v>
      </c>
      <c r="D12" s="7" t="s">
        <v>6077</v>
      </c>
    </row>
    <row r="13" spans="1:4" ht="54.75" customHeight="1">
      <c r="A13" s="7" t="s">
        <v>6075</v>
      </c>
      <c r="B13" s="7" t="s">
        <v>6078</v>
      </c>
      <c r="C13" s="7">
        <f>COUNTIF(Excluded_Records!L2:L227,"Report not retrieved*")</f>
        <v>222</v>
      </c>
      <c r="D13" s="7" t="s">
        <v>6079</v>
      </c>
    </row>
    <row r="14" spans="1:4" ht="27.75" customHeight="1">
      <c r="A14" s="7" t="s">
        <v>6080</v>
      </c>
      <c r="B14" s="7" t="s">
        <v>6081</v>
      </c>
      <c r="C14" s="7">
        <f>C12-C13</f>
        <v>27</v>
      </c>
      <c r="D14" s="7"/>
    </row>
    <row r="15" spans="1:4" ht="54.75" customHeight="1">
      <c r="A15" s="7" t="s">
        <v>6080</v>
      </c>
      <c r="B15" s="7" t="s">
        <v>6082</v>
      </c>
      <c r="C15" s="7">
        <f>COUNTA(Excluded_Records!A2:A227)-C13</f>
        <v>4</v>
      </c>
      <c r="D15" s="7" t="s">
        <v>6083</v>
      </c>
    </row>
    <row r="16" spans="1:4" ht="27.75" customHeight="1">
      <c r="A16" s="7" t="s">
        <v>6084</v>
      </c>
      <c r="B16" s="7" t="s">
        <v>6085</v>
      </c>
      <c r="C16" s="7">
        <f>C14-C15</f>
        <v>23</v>
      </c>
      <c r="D16" s="7"/>
    </row>
    <row r="17" spans="1:4" ht="27.75" customHeight="1">
      <c r="A17" s="7" t="s">
        <v>6084</v>
      </c>
      <c r="B17" s="7" t="s">
        <v>6086</v>
      </c>
      <c r="C17" s="7">
        <f>C4</f>
        <v>4</v>
      </c>
      <c r="D17" s="7"/>
    </row>
    <row r="18" spans="1:4" ht="27.75" customHeight="1">
      <c r="A18" s="7" t="s">
        <v>6084</v>
      </c>
      <c r="B18" s="7" t="s">
        <v>6087</v>
      </c>
      <c r="C18" s="7">
        <f>COUNTA(Final_Included_Studies!A2:A200)</f>
        <v>27</v>
      </c>
      <c r="D18" s="7"/>
    </row>
    <row r="19" spans="1:4" ht="41.25" customHeight="1">
      <c r="A19" s="7" t="s">
        <v>6088</v>
      </c>
      <c r="B19" s="7" t="s">
        <v>6089</v>
      </c>
      <c r="C19" s="7" t="str">
        <f>IF(AND(C3-C5-C7-C9-C11-C13-C15+C4=C18,C16+C17=C18),"OK","MISMATCH")</f>
        <v>OK</v>
      </c>
      <c r="D19" s="7" t="s">
        <v>6090</v>
      </c>
    </row>
    <row r="20" spans="1:4" ht="41.25" customHeight="1">
      <c r="A20" s="7" t="s">
        <v>6088</v>
      </c>
      <c r="B20" s="7" t="s">
        <v>6091</v>
      </c>
      <c r="C20" s="7" t="str">
        <f>COUNTA(Excluded_Records!A2:A227)&amp;" of "&amp;(C13+C15)</f>
        <v>226 of 226</v>
      </c>
      <c r="D20" s="7" t="s">
        <v>6092</v>
      </c>
    </row>
  </sheetData>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A30"/>
  <sheetViews>
    <sheetView zoomScaleNormal="100" workbookViewId="0">
      <pane xSplit="1" ySplit="2" topLeftCell="B3" activePane="bottomRight" state="frozen"/>
      <selection pane="bottomRight"/>
      <selection pane="bottomLeft" activeCell="A3" sqref="A3"/>
      <selection pane="topRight" activeCell="B1" sqref="B1"/>
    </sheetView>
  </sheetViews>
  <sheetFormatPr defaultColWidth="8.5703125" defaultRowHeight="14.45"/>
  <cols>
    <col min="1" max="27" width="11" customWidth="1"/>
  </cols>
  <sheetData>
    <row r="1" spans="1:27" ht="15" customHeight="1">
      <c r="A1" s="8" t="s">
        <v>6093</v>
      </c>
    </row>
    <row r="2" spans="1:27" ht="75" customHeight="1">
      <c r="A2" s="26" t="s">
        <v>5699</v>
      </c>
      <c r="B2" s="26" t="s">
        <v>6094</v>
      </c>
      <c r="C2" s="26" t="s">
        <v>6095</v>
      </c>
      <c r="D2" s="26" t="s">
        <v>6096</v>
      </c>
      <c r="E2" s="26" t="s">
        <v>6097</v>
      </c>
      <c r="F2" s="26" t="s">
        <v>6098</v>
      </c>
      <c r="G2" s="26" t="s">
        <v>6099</v>
      </c>
      <c r="H2" s="26" t="s">
        <v>6100</v>
      </c>
      <c r="I2" s="26" t="s">
        <v>6101</v>
      </c>
      <c r="J2" s="26" t="s">
        <v>6102</v>
      </c>
      <c r="K2" s="26" t="s">
        <v>6103</v>
      </c>
      <c r="L2" s="26" t="s">
        <v>6104</v>
      </c>
      <c r="M2" s="26" t="s">
        <v>6105</v>
      </c>
      <c r="N2" s="26" t="s">
        <v>6106</v>
      </c>
      <c r="O2" s="26" t="s">
        <v>6107</v>
      </c>
      <c r="P2" s="26" t="s">
        <v>6108</v>
      </c>
      <c r="Q2" s="26" t="s">
        <v>6109</v>
      </c>
      <c r="R2" s="26" t="s">
        <v>6110</v>
      </c>
      <c r="S2" s="26" t="s">
        <v>6111</v>
      </c>
      <c r="T2" s="26" t="s">
        <v>6112</v>
      </c>
      <c r="U2" s="26" t="s">
        <v>6113</v>
      </c>
      <c r="V2" s="26" t="s">
        <v>6114</v>
      </c>
      <c r="W2" s="26" t="s">
        <v>6115</v>
      </c>
      <c r="X2" s="26" t="s">
        <v>6116</v>
      </c>
      <c r="Y2" s="26" t="s">
        <v>6117</v>
      </c>
      <c r="Z2" s="26" t="s">
        <v>6118</v>
      </c>
      <c r="AA2" s="26" t="s">
        <v>6119</v>
      </c>
    </row>
    <row r="3" spans="1:27" ht="15" customHeight="1">
      <c r="A3" t="s">
        <v>5045</v>
      </c>
      <c r="B3">
        <f>INDEX('Data Extraction'!AE2:AE35,MATCH(A3,'Data Extraction'!A2:A35,0))</f>
        <v>4</v>
      </c>
      <c r="C3">
        <v>1</v>
      </c>
      <c r="D3">
        <v>0</v>
      </c>
      <c r="E3">
        <v>0</v>
      </c>
      <c r="F3">
        <v>0</v>
      </c>
      <c r="G3">
        <v>0</v>
      </c>
      <c r="H3">
        <v>1</v>
      </c>
      <c r="I3">
        <v>0</v>
      </c>
      <c r="J3">
        <v>1</v>
      </c>
      <c r="K3">
        <v>1</v>
      </c>
      <c r="L3">
        <v>0</v>
      </c>
      <c r="M3">
        <v>0</v>
      </c>
      <c r="N3">
        <v>0</v>
      </c>
      <c r="O3">
        <v>0</v>
      </c>
      <c r="P3">
        <v>0</v>
      </c>
      <c r="Q3">
        <v>1</v>
      </c>
      <c r="R3">
        <v>0</v>
      </c>
      <c r="S3">
        <v>0</v>
      </c>
      <c r="T3">
        <v>0</v>
      </c>
      <c r="U3">
        <v>0</v>
      </c>
      <c r="V3">
        <v>0</v>
      </c>
      <c r="W3">
        <v>1</v>
      </c>
      <c r="X3">
        <v>0</v>
      </c>
      <c r="Y3">
        <v>1</v>
      </c>
      <c r="Z3">
        <v>0</v>
      </c>
      <c r="AA3">
        <v>0</v>
      </c>
    </row>
    <row r="4" spans="1:27" ht="15" customHeight="1">
      <c r="A4" t="s">
        <v>5073</v>
      </c>
      <c r="B4">
        <f>INDEX('Data Extraction'!AE2:AE35,MATCH(A4,'Data Extraction'!A2:A35,0))</f>
        <v>3</v>
      </c>
      <c r="C4">
        <v>1</v>
      </c>
      <c r="D4">
        <v>0</v>
      </c>
      <c r="E4">
        <v>0</v>
      </c>
      <c r="F4">
        <v>0</v>
      </c>
      <c r="G4">
        <v>0</v>
      </c>
      <c r="H4">
        <v>0</v>
      </c>
      <c r="I4">
        <v>0</v>
      </c>
      <c r="J4">
        <v>0</v>
      </c>
      <c r="K4">
        <v>1</v>
      </c>
      <c r="L4">
        <v>0</v>
      </c>
      <c r="M4">
        <v>1</v>
      </c>
      <c r="N4">
        <v>0</v>
      </c>
      <c r="O4">
        <v>0</v>
      </c>
      <c r="P4">
        <v>0</v>
      </c>
      <c r="Q4">
        <v>1</v>
      </c>
      <c r="R4">
        <v>0</v>
      </c>
      <c r="S4">
        <v>0</v>
      </c>
      <c r="T4">
        <v>1</v>
      </c>
      <c r="U4">
        <v>0</v>
      </c>
      <c r="V4">
        <v>0</v>
      </c>
      <c r="W4">
        <v>0</v>
      </c>
      <c r="X4">
        <v>0</v>
      </c>
      <c r="Y4">
        <v>1</v>
      </c>
      <c r="Z4">
        <v>0</v>
      </c>
      <c r="AA4">
        <v>0</v>
      </c>
    </row>
    <row r="5" spans="1:27" ht="15" customHeight="1">
      <c r="A5" t="s">
        <v>5096</v>
      </c>
      <c r="B5">
        <f>INDEX('Data Extraction'!AE2:AE35,MATCH(A5,'Data Extraction'!A2:A35,0))</f>
        <v>2</v>
      </c>
      <c r="C5">
        <v>1</v>
      </c>
      <c r="D5">
        <v>0</v>
      </c>
      <c r="E5">
        <v>0</v>
      </c>
      <c r="F5">
        <v>0</v>
      </c>
      <c r="G5">
        <v>0</v>
      </c>
      <c r="H5">
        <v>0</v>
      </c>
      <c r="I5">
        <v>0</v>
      </c>
      <c r="J5">
        <v>0</v>
      </c>
      <c r="K5">
        <v>0</v>
      </c>
      <c r="L5">
        <v>0</v>
      </c>
      <c r="M5">
        <v>0</v>
      </c>
      <c r="N5">
        <v>1</v>
      </c>
      <c r="O5">
        <v>0</v>
      </c>
      <c r="P5">
        <v>0</v>
      </c>
      <c r="Q5">
        <v>1</v>
      </c>
      <c r="R5">
        <v>0</v>
      </c>
      <c r="S5">
        <v>1</v>
      </c>
      <c r="T5">
        <v>0</v>
      </c>
      <c r="U5">
        <v>0</v>
      </c>
      <c r="V5">
        <v>0</v>
      </c>
      <c r="W5">
        <v>0</v>
      </c>
      <c r="X5">
        <v>0</v>
      </c>
      <c r="Y5">
        <v>0</v>
      </c>
      <c r="Z5">
        <v>1</v>
      </c>
      <c r="AA5">
        <v>0</v>
      </c>
    </row>
    <row r="6" spans="1:27" ht="15" customHeight="1">
      <c r="A6" t="s">
        <v>5121</v>
      </c>
      <c r="B6">
        <f>INDEX('Data Extraction'!AE2:AE35,MATCH(A6,'Data Extraction'!A2:A35,0))</f>
        <v>4</v>
      </c>
      <c r="C6">
        <v>1</v>
      </c>
      <c r="D6">
        <v>0</v>
      </c>
      <c r="E6">
        <v>0</v>
      </c>
      <c r="F6">
        <v>0</v>
      </c>
      <c r="G6">
        <v>0</v>
      </c>
      <c r="H6">
        <v>0</v>
      </c>
      <c r="I6">
        <v>0</v>
      </c>
      <c r="J6">
        <v>1</v>
      </c>
      <c r="K6">
        <v>1</v>
      </c>
      <c r="L6">
        <v>0</v>
      </c>
      <c r="M6">
        <v>0</v>
      </c>
      <c r="N6">
        <v>0</v>
      </c>
      <c r="O6">
        <v>0</v>
      </c>
      <c r="P6">
        <v>0</v>
      </c>
      <c r="Q6">
        <v>0</v>
      </c>
      <c r="R6">
        <v>1</v>
      </c>
      <c r="S6">
        <v>1</v>
      </c>
      <c r="T6">
        <v>0</v>
      </c>
      <c r="U6">
        <v>0</v>
      </c>
      <c r="V6">
        <v>0</v>
      </c>
      <c r="W6">
        <v>1</v>
      </c>
      <c r="X6">
        <v>1</v>
      </c>
      <c r="Y6">
        <v>0</v>
      </c>
      <c r="Z6">
        <v>0</v>
      </c>
      <c r="AA6">
        <v>0</v>
      </c>
    </row>
    <row r="7" spans="1:27" ht="15" customHeight="1">
      <c r="A7" t="s">
        <v>5145</v>
      </c>
      <c r="B7">
        <f>INDEX('Data Extraction'!AE2:AE35,MATCH(A7,'Data Extraction'!A2:A35,0))</f>
        <v>2</v>
      </c>
      <c r="C7">
        <v>1</v>
      </c>
      <c r="D7">
        <v>0</v>
      </c>
      <c r="E7">
        <v>0</v>
      </c>
      <c r="F7">
        <v>0</v>
      </c>
      <c r="G7">
        <v>0</v>
      </c>
      <c r="H7">
        <v>0</v>
      </c>
      <c r="I7">
        <v>0</v>
      </c>
      <c r="J7">
        <v>0</v>
      </c>
      <c r="K7">
        <v>1</v>
      </c>
      <c r="L7">
        <v>0</v>
      </c>
      <c r="M7">
        <v>0</v>
      </c>
      <c r="N7">
        <v>0</v>
      </c>
      <c r="O7">
        <v>0</v>
      </c>
      <c r="P7">
        <v>0</v>
      </c>
      <c r="Q7">
        <v>0</v>
      </c>
      <c r="R7">
        <v>1</v>
      </c>
      <c r="S7">
        <v>0</v>
      </c>
      <c r="T7">
        <v>0</v>
      </c>
      <c r="U7">
        <v>0</v>
      </c>
      <c r="V7">
        <v>0</v>
      </c>
      <c r="W7">
        <v>0</v>
      </c>
      <c r="X7">
        <v>1</v>
      </c>
      <c r="Y7">
        <v>0</v>
      </c>
      <c r="Z7">
        <v>0</v>
      </c>
      <c r="AA7">
        <v>0</v>
      </c>
    </row>
    <row r="8" spans="1:27" ht="15" customHeight="1">
      <c r="A8" t="s">
        <v>5169</v>
      </c>
      <c r="B8">
        <f>INDEX('Data Extraction'!AE2:AE35,MATCH(A8,'Data Extraction'!A2:A35,0))</f>
        <v>3</v>
      </c>
      <c r="C8">
        <v>1</v>
      </c>
      <c r="D8">
        <v>0</v>
      </c>
      <c r="E8">
        <v>0</v>
      </c>
      <c r="F8">
        <v>0</v>
      </c>
      <c r="G8">
        <v>0</v>
      </c>
      <c r="H8">
        <v>0</v>
      </c>
      <c r="I8">
        <v>0</v>
      </c>
      <c r="J8">
        <v>0</v>
      </c>
      <c r="K8">
        <v>0</v>
      </c>
      <c r="L8">
        <v>1</v>
      </c>
      <c r="M8">
        <v>0</v>
      </c>
      <c r="N8">
        <v>0</v>
      </c>
      <c r="O8">
        <v>0</v>
      </c>
      <c r="P8">
        <v>0</v>
      </c>
      <c r="Q8">
        <v>0</v>
      </c>
      <c r="R8">
        <v>0</v>
      </c>
      <c r="S8">
        <v>0</v>
      </c>
      <c r="T8">
        <v>0</v>
      </c>
      <c r="U8">
        <v>1</v>
      </c>
      <c r="V8">
        <v>0</v>
      </c>
      <c r="W8">
        <v>0</v>
      </c>
      <c r="X8">
        <v>0</v>
      </c>
      <c r="Y8">
        <v>0</v>
      </c>
      <c r="Z8">
        <v>0</v>
      </c>
      <c r="AA8">
        <v>1</v>
      </c>
    </row>
    <row r="9" spans="1:27" ht="15" customHeight="1">
      <c r="A9" t="s">
        <v>5193</v>
      </c>
      <c r="B9">
        <f>INDEX('Data Extraction'!AE2:AE35,MATCH(A9,'Data Extraction'!A2:A35,0))</f>
        <v>4</v>
      </c>
      <c r="C9">
        <v>1</v>
      </c>
      <c r="D9">
        <v>0</v>
      </c>
      <c r="E9">
        <v>0</v>
      </c>
      <c r="F9">
        <v>1</v>
      </c>
      <c r="G9">
        <v>0</v>
      </c>
      <c r="H9">
        <v>0</v>
      </c>
      <c r="I9">
        <v>0</v>
      </c>
      <c r="J9">
        <v>0</v>
      </c>
      <c r="K9">
        <v>0</v>
      </c>
      <c r="L9">
        <v>0</v>
      </c>
      <c r="M9">
        <v>0</v>
      </c>
      <c r="N9">
        <v>0</v>
      </c>
      <c r="O9">
        <v>1</v>
      </c>
      <c r="P9">
        <v>0</v>
      </c>
      <c r="Q9">
        <v>1</v>
      </c>
      <c r="R9">
        <v>0</v>
      </c>
      <c r="S9">
        <v>0</v>
      </c>
      <c r="T9">
        <v>0</v>
      </c>
      <c r="U9">
        <v>0</v>
      </c>
      <c r="V9">
        <v>0</v>
      </c>
      <c r="W9">
        <v>0</v>
      </c>
      <c r="X9">
        <v>1</v>
      </c>
      <c r="Y9">
        <v>0</v>
      </c>
      <c r="Z9">
        <v>0</v>
      </c>
      <c r="AA9">
        <v>0</v>
      </c>
    </row>
    <row r="10" spans="1:27" ht="15" customHeight="1">
      <c r="A10" t="s">
        <v>5217</v>
      </c>
      <c r="B10">
        <f>INDEX('Data Extraction'!AE2:AE35,MATCH(A10,'Data Extraction'!A2:A35,0))</f>
        <v>4</v>
      </c>
      <c r="C10">
        <v>1</v>
      </c>
      <c r="D10">
        <v>0</v>
      </c>
      <c r="E10">
        <v>0</v>
      </c>
      <c r="F10">
        <v>0</v>
      </c>
      <c r="G10">
        <v>0</v>
      </c>
      <c r="H10">
        <v>0</v>
      </c>
      <c r="I10">
        <v>0</v>
      </c>
      <c r="J10">
        <v>0</v>
      </c>
      <c r="K10">
        <v>0</v>
      </c>
      <c r="L10">
        <v>0</v>
      </c>
      <c r="M10">
        <v>0</v>
      </c>
      <c r="N10">
        <v>1</v>
      </c>
      <c r="O10">
        <v>0</v>
      </c>
      <c r="P10">
        <v>0</v>
      </c>
      <c r="Q10">
        <v>1</v>
      </c>
      <c r="R10">
        <v>0</v>
      </c>
      <c r="S10">
        <v>1</v>
      </c>
      <c r="T10">
        <v>0</v>
      </c>
      <c r="U10">
        <v>0</v>
      </c>
      <c r="V10">
        <v>0</v>
      </c>
      <c r="W10">
        <v>0</v>
      </c>
      <c r="X10">
        <v>0</v>
      </c>
      <c r="Y10">
        <v>0</v>
      </c>
      <c r="Z10">
        <v>1</v>
      </c>
      <c r="AA10">
        <v>0</v>
      </c>
    </row>
    <row r="11" spans="1:27" ht="15" customHeight="1">
      <c r="A11" t="s">
        <v>5239</v>
      </c>
      <c r="B11">
        <f>INDEX('Data Extraction'!AE2:AE35,MATCH(A11,'Data Extraction'!A2:A35,0))</f>
        <v>5</v>
      </c>
      <c r="C11">
        <v>1</v>
      </c>
      <c r="D11">
        <v>0</v>
      </c>
      <c r="E11">
        <v>0</v>
      </c>
      <c r="F11">
        <v>0</v>
      </c>
      <c r="G11">
        <v>0</v>
      </c>
      <c r="H11">
        <v>1</v>
      </c>
      <c r="I11">
        <v>0</v>
      </c>
      <c r="J11">
        <v>1</v>
      </c>
      <c r="K11">
        <v>1</v>
      </c>
      <c r="L11">
        <v>0</v>
      </c>
      <c r="M11">
        <v>1</v>
      </c>
      <c r="N11">
        <v>0</v>
      </c>
      <c r="O11">
        <v>1</v>
      </c>
      <c r="P11">
        <v>0</v>
      </c>
      <c r="Q11">
        <v>1</v>
      </c>
      <c r="R11">
        <v>0</v>
      </c>
      <c r="S11">
        <v>0</v>
      </c>
      <c r="T11">
        <v>1</v>
      </c>
      <c r="U11">
        <v>0</v>
      </c>
      <c r="V11">
        <v>0</v>
      </c>
      <c r="W11">
        <v>1</v>
      </c>
      <c r="X11">
        <v>1</v>
      </c>
      <c r="Y11">
        <v>1</v>
      </c>
      <c r="Z11">
        <v>0</v>
      </c>
      <c r="AA11">
        <v>0</v>
      </c>
    </row>
    <row r="12" spans="1:27" ht="15" customHeight="1">
      <c r="A12" t="s">
        <v>5263</v>
      </c>
      <c r="B12">
        <f>INDEX('Data Extraction'!AE2:AE35,MATCH(A12,'Data Extraction'!A2:A35,0))</f>
        <v>5</v>
      </c>
      <c r="C12">
        <v>1</v>
      </c>
      <c r="D12">
        <v>0</v>
      </c>
      <c r="E12">
        <v>0</v>
      </c>
      <c r="F12">
        <v>0</v>
      </c>
      <c r="G12">
        <v>0</v>
      </c>
      <c r="H12">
        <v>0</v>
      </c>
      <c r="I12">
        <v>0</v>
      </c>
      <c r="J12">
        <v>0</v>
      </c>
      <c r="K12">
        <v>0</v>
      </c>
      <c r="L12">
        <v>0</v>
      </c>
      <c r="M12">
        <v>0</v>
      </c>
      <c r="N12">
        <v>0</v>
      </c>
      <c r="O12">
        <v>1</v>
      </c>
      <c r="P12">
        <v>0</v>
      </c>
      <c r="Q12">
        <v>1</v>
      </c>
      <c r="R12">
        <v>0</v>
      </c>
      <c r="S12">
        <v>0</v>
      </c>
      <c r="T12">
        <v>1</v>
      </c>
      <c r="U12">
        <v>0</v>
      </c>
      <c r="V12">
        <v>0</v>
      </c>
      <c r="W12">
        <v>0</v>
      </c>
      <c r="X12">
        <v>0</v>
      </c>
      <c r="Y12">
        <v>1</v>
      </c>
      <c r="Z12">
        <v>0</v>
      </c>
      <c r="AA12">
        <v>0</v>
      </c>
    </row>
    <row r="13" spans="1:27" ht="15" customHeight="1">
      <c r="A13" t="s">
        <v>5284</v>
      </c>
      <c r="B13">
        <f>INDEX('Data Extraction'!AE2:AE35,MATCH(A13,'Data Extraction'!A2:A35,0))</f>
        <v>3</v>
      </c>
      <c r="C13">
        <v>1</v>
      </c>
      <c r="D13">
        <v>0</v>
      </c>
      <c r="E13">
        <v>0</v>
      </c>
      <c r="F13">
        <v>0</v>
      </c>
      <c r="G13">
        <v>0</v>
      </c>
      <c r="H13">
        <v>0</v>
      </c>
      <c r="I13">
        <v>0</v>
      </c>
      <c r="J13">
        <v>0</v>
      </c>
      <c r="K13">
        <v>0</v>
      </c>
      <c r="L13">
        <v>1</v>
      </c>
      <c r="M13">
        <v>0</v>
      </c>
      <c r="N13">
        <v>1</v>
      </c>
      <c r="O13">
        <v>0</v>
      </c>
      <c r="P13">
        <v>0</v>
      </c>
      <c r="Q13">
        <v>0</v>
      </c>
      <c r="R13">
        <v>0</v>
      </c>
      <c r="S13">
        <v>0</v>
      </c>
      <c r="T13">
        <v>0</v>
      </c>
      <c r="U13">
        <v>1</v>
      </c>
      <c r="V13">
        <v>0</v>
      </c>
      <c r="W13">
        <v>0</v>
      </c>
      <c r="X13">
        <v>0</v>
      </c>
      <c r="Y13">
        <v>0</v>
      </c>
      <c r="Z13">
        <v>1</v>
      </c>
      <c r="AA13">
        <v>1</v>
      </c>
    </row>
    <row r="14" spans="1:27" ht="15" customHeight="1">
      <c r="A14" t="s">
        <v>5307</v>
      </c>
      <c r="B14">
        <f>INDEX('Data Extraction'!AE2:AE35,MATCH(A14,'Data Extraction'!A2:A35,0))</f>
        <v>4</v>
      </c>
      <c r="C14">
        <v>0</v>
      </c>
      <c r="D14">
        <v>0</v>
      </c>
      <c r="E14">
        <v>1</v>
      </c>
      <c r="F14">
        <v>0</v>
      </c>
      <c r="G14">
        <v>0</v>
      </c>
      <c r="H14">
        <v>0</v>
      </c>
      <c r="I14">
        <v>0</v>
      </c>
      <c r="J14">
        <v>0</v>
      </c>
      <c r="K14">
        <v>1</v>
      </c>
      <c r="L14">
        <v>0</v>
      </c>
      <c r="M14">
        <v>0</v>
      </c>
      <c r="N14">
        <v>0</v>
      </c>
      <c r="O14">
        <v>0</v>
      </c>
      <c r="P14">
        <v>0</v>
      </c>
      <c r="Q14">
        <v>1</v>
      </c>
      <c r="R14">
        <v>1</v>
      </c>
      <c r="S14">
        <v>0</v>
      </c>
      <c r="T14">
        <v>0</v>
      </c>
      <c r="U14">
        <v>0</v>
      </c>
      <c r="V14">
        <v>0</v>
      </c>
      <c r="W14">
        <v>0</v>
      </c>
      <c r="X14">
        <v>1</v>
      </c>
      <c r="Y14">
        <v>0</v>
      </c>
      <c r="Z14">
        <v>0</v>
      </c>
      <c r="AA14">
        <v>0</v>
      </c>
    </row>
    <row r="15" spans="1:27" ht="15" customHeight="1">
      <c r="A15" t="s">
        <v>5336</v>
      </c>
      <c r="B15">
        <f>INDEX('Data Extraction'!AE2:AE35,MATCH(A15,'Data Extraction'!A2:A35,0))</f>
        <v>2</v>
      </c>
      <c r="C15">
        <v>1</v>
      </c>
      <c r="D15">
        <v>0</v>
      </c>
      <c r="E15">
        <v>0</v>
      </c>
      <c r="F15">
        <v>1</v>
      </c>
      <c r="G15">
        <v>0</v>
      </c>
      <c r="H15">
        <v>0</v>
      </c>
      <c r="I15">
        <v>0</v>
      </c>
      <c r="J15">
        <v>0</v>
      </c>
      <c r="K15">
        <v>0</v>
      </c>
      <c r="L15">
        <v>1</v>
      </c>
      <c r="M15">
        <v>0</v>
      </c>
      <c r="N15">
        <v>0</v>
      </c>
      <c r="O15">
        <v>0</v>
      </c>
      <c r="P15">
        <v>0</v>
      </c>
      <c r="Q15">
        <v>0</v>
      </c>
      <c r="R15">
        <v>1</v>
      </c>
      <c r="S15">
        <v>0</v>
      </c>
      <c r="T15">
        <v>0</v>
      </c>
      <c r="U15">
        <v>1</v>
      </c>
      <c r="V15">
        <v>0</v>
      </c>
      <c r="W15">
        <v>0</v>
      </c>
      <c r="X15">
        <v>0</v>
      </c>
      <c r="Y15">
        <v>0</v>
      </c>
      <c r="Z15">
        <v>0</v>
      </c>
      <c r="AA15">
        <v>0</v>
      </c>
    </row>
    <row r="16" spans="1:27" ht="15" customHeight="1">
      <c r="A16" t="s">
        <v>5357</v>
      </c>
      <c r="B16">
        <f>INDEX('Data Extraction'!AE2:AE35,MATCH(A16,'Data Extraction'!A2:A35,0))</f>
        <v>4</v>
      </c>
      <c r="C16">
        <v>0</v>
      </c>
      <c r="D16">
        <v>1</v>
      </c>
      <c r="E16">
        <v>0</v>
      </c>
      <c r="F16">
        <v>0</v>
      </c>
      <c r="G16">
        <v>0</v>
      </c>
      <c r="H16">
        <v>0</v>
      </c>
      <c r="I16">
        <v>0</v>
      </c>
      <c r="J16">
        <v>0</v>
      </c>
      <c r="K16">
        <v>1</v>
      </c>
      <c r="L16">
        <v>0</v>
      </c>
      <c r="M16">
        <v>0</v>
      </c>
      <c r="N16">
        <v>0</v>
      </c>
      <c r="O16">
        <v>0</v>
      </c>
      <c r="P16">
        <v>0</v>
      </c>
      <c r="Q16">
        <v>1</v>
      </c>
      <c r="R16">
        <v>0</v>
      </c>
      <c r="S16">
        <v>0</v>
      </c>
      <c r="T16">
        <v>0</v>
      </c>
      <c r="U16">
        <v>0</v>
      </c>
      <c r="V16">
        <v>1</v>
      </c>
      <c r="W16">
        <v>0</v>
      </c>
      <c r="X16">
        <v>0</v>
      </c>
      <c r="Y16">
        <v>0</v>
      </c>
      <c r="Z16">
        <v>0</v>
      </c>
      <c r="AA16">
        <v>0</v>
      </c>
    </row>
    <row r="17" spans="1:27" ht="15" customHeight="1">
      <c r="A17" t="s">
        <v>5384</v>
      </c>
      <c r="B17">
        <f>INDEX('Data Extraction'!AE2:AE35,MATCH(A17,'Data Extraction'!A2:A35,0))</f>
        <v>3</v>
      </c>
      <c r="C17">
        <v>1</v>
      </c>
      <c r="D17">
        <v>0</v>
      </c>
      <c r="E17">
        <v>0</v>
      </c>
      <c r="F17">
        <v>0</v>
      </c>
      <c r="G17">
        <v>0</v>
      </c>
      <c r="H17">
        <v>0</v>
      </c>
      <c r="I17">
        <v>0</v>
      </c>
      <c r="J17">
        <v>0</v>
      </c>
      <c r="K17">
        <v>0</v>
      </c>
      <c r="L17">
        <v>1</v>
      </c>
      <c r="M17">
        <v>0</v>
      </c>
      <c r="N17">
        <v>0</v>
      </c>
      <c r="O17">
        <v>1</v>
      </c>
      <c r="P17">
        <v>0</v>
      </c>
      <c r="Q17">
        <v>0</v>
      </c>
      <c r="R17">
        <v>0</v>
      </c>
      <c r="S17">
        <v>0</v>
      </c>
      <c r="T17">
        <v>0</v>
      </c>
      <c r="U17">
        <v>0</v>
      </c>
      <c r="V17">
        <v>0</v>
      </c>
      <c r="W17">
        <v>0</v>
      </c>
      <c r="X17">
        <v>0</v>
      </c>
      <c r="Y17">
        <v>0</v>
      </c>
      <c r="Z17">
        <v>1</v>
      </c>
      <c r="AA17">
        <v>0</v>
      </c>
    </row>
    <row r="18" spans="1:27" ht="15" customHeight="1">
      <c r="A18" t="s">
        <v>5408</v>
      </c>
      <c r="B18">
        <f>INDEX('Data Extraction'!AE2:AE35,MATCH(A18,'Data Extraction'!A2:A35,0))</f>
        <v>5</v>
      </c>
      <c r="C18">
        <v>1</v>
      </c>
      <c r="D18">
        <v>0</v>
      </c>
      <c r="E18">
        <v>0</v>
      </c>
      <c r="F18">
        <v>0</v>
      </c>
      <c r="G18">
        <v>0</v>
      </c>
      <c r="H18">
        <v>0</v>
      </c>
      <c r="I18">
        <v>1</v>
      </c>
      <c r="J18">
        <v>0</v>
      </c>
      <c r="K18">
        <v>0</v>
      </c>
      <c r="L18">
        <v>1</v>
      </c>
      <c r="M18">
        <v>1</v>
      </c>
      <c r="N18">
        <v>0</v>
      </c>
      <c r="O18">
        <v>0</v>
      </c>
      <c r="P18">
        <v>0</v>
      </c>
      <c r="Q18">
        <v>0</v>
      </c>
      <c r="R18">
        <v>0</v>
      </c>
      <c r="S18">
        <v>0</v>
      </c>
      <c r="T18">
        <v>1</v>
      </c>
      <c r="U18">
        <v>0</v>
      </c>
      <c r="V18">
        <v>0</v>
      </c>
      <c r="W18">
        <v>0</v>
      </c>
      <c r="X18">
        <v>0</v>
      </c>
      <c r="Y18">
        <v>1</v>
      </c>
      <c r="Z18">
        <v>0</v>
      </c>
      <c r="AA18">
        <v>0</v>
      </c>
    </row>
    <row r="19" spans="1:27" ht="15" customHeight="1">
      <c r="A19" t="s">
        <v>5431</v>
      </c>
      <c r="B19">
        <f>INDEX('Data Extraction'!AE2:AE35,MATCH(A19,'Data Extraction'!A2:A35,0))</f>
        <v>2</v>
      </c>
      <c r="C19">
        <v>1</v>
      </c>
      <c r="D19">
        <v>0</v>
      </c>
      <c r="E19">
        <v>0</v>
      </c>
      <c r="F19">
        <v>0</v>
      </c>
      <c r="G19">
        <v>0</v>
      </c>
      <c r="H19">
        <v>0</v>
      </c>
      <c r="I19">
        <v>0</v>
      </c>
      <c r="J19">
        <v>0</v>
      </c>
      <c r="K19">
        <v>1</v>
      </c>
      <c r="L19">
        <v>0</v>
      </c>
      <c r="M19">
        <v>0</v>
      </c>
      <c r="N19">
        <v>0</v>
      </c>
      <c r="O19">
        <v>0</v>
      </c>
      <c r="P19">
        <v>0</v>
      </c>
      <c r="Q19">
        <v>1</v>
      </c>
      <c r="R19">
        <v>1</v>
      </c>
      <c r="S19">
        <v>0</v>
      </c>
      <c r="T19">
        <v>0</v>
      </c>
      <c r="U19">
        <v>1</v>
      </c>
      <c r="V19">
        <v>0</v>
      </c>
      <c r="W19">
        <v>0</v>
      </c>
      <c r="X19">
        <v>0</v>
      </c>
      <c r="Y19">
        <v>0</v>
      </c>
      <c r="Z19">
        <v>0</v>
      </c>
      <c r="AA19">
        <v>0</v>
      </c>
    </row>
    <row r="20" spans="1:27" ht="15" customHeight="1">
      <c r="A20" t="s">
        <v>5457</v>
      </c>
      <c r="B20">
        <f>INDEX('Data Extraction'!AE2:AE35,MATCH(A20,'Data Extraction'!A2:A35,0))</f>
        <v>4</v>
      </c>
      <c r="C20">
        <v>1</v>
      </c>
      <c r="D20">
        <v>0</v>
      </c>
      <c r="E20">
        <v>0</v>
      </c>
      <c r="F20">
        <v>0</v>
      </c>
      <c r="G20">
        <v>0</v>
      </c>
      <c r="H20">
        <v>1</v>
      </c>
      <c r="I20">
        <v>0</v>
      </c>
      <c r="J20">
        <v>0</v>
      </c>
      <c r="K20">
        <v>1</v>
      </c>
      <c r="L20">
        <v>1</v>
      </c>
      <c r="M20">
        <v>0</v>
      </c>
      <c r="N20">
        <v>0</v>
      </c>
      <c r="O20">
        <v>0</v>
      </c>
      <c r="P20">
        <v>0</v>
      </c>
      <c r="Q20">
        <v>0</v>
      </c>
      <c r="R20">
        <v>0</v>
      </c>
      <c r="S20">
        <v>0</v>
      </c>
      <c r="T20">
        <v>0</v>
      </c>
      <c r="U20">
        <v>0</v>
      </c>
      <c r="V20">
        <v>0</v>
      </c>
      <c r="W20">
        <v>0</v>
      </c>
      <c r="X20">
        <v>1</v>
      </c>
      <c r="Y20">
        <v>0</v>
      </c>
      <c r="Z20">
        <v>0</v>
      </c>
      <c r="AA20">
        <v>1</v>
      </c>
    </row>
    <row r="21" spans="1:27" ht="15" customHeight="1">
      <c r="A21" t="s">
        <v>5481</v>
      </c>
      <c r="B21">
        <f>INDEX('Data Extraction'!AE2:AE35,MATCH(A21,'Data Extraction'!A2:A35,0))</f>
        <v>5</v>
      </c>
      <c r="C21">
        <v>1</v>
      </c>
      <c r="D21">
        <v>0</v>
      </c>
      <c r="E21">
        <v>0</v>
      </c>
      <c r="F21">
        <v>0</v>
      </c>
      <c r="G21">
        <v>0</v>
      </c>
      <c r="H21">
        <v>0</v>
      </c>
      <c r="I21">
        <v>1</v>
      </c>
      <c r="J21">
        <v>0</v>
      </c>
      <c r="K21">
        <v>1</v>
      </c>
      <c r="L21">
        <v>0</v>
      </c>
      <c r="M21">
        <v>1</v>
      </c>
      <c r="N21">
        <v>0</v>
      </c>
      <c r="O21">
        <v>0</v>
      </c>
      <c r="P21">
        <v>0</v>
      </c>
      <c r="Q21">
        <v>0</v>
      </c>
      <c r="R21">
        <v>1</v>
      </c>
      <c r="S21">
        <v>1</v>
      </c>
      <c r="T21">
        <v>0</v>
      </c>
      <c r="U21">
        <v>0</v>
      </c>
      <c r="V21">
        <v>1</v>
      </c>
      <c r="W21">
        <v>0</v>
      </c>
      <c r="X21">
        <v>1</v>
      </c>
      <c r="Y21">
        <v>1</v>
      </c>
      <c r="Z21">
        <v>0</v>
      </c>
      <c r="AA21">
        <v>0</v>
      </c>
    </row>
    <row r="22" spans="1:27" ht="15" customHeight="1">
      <c r="A22" t="s">
        <v>5504</v>
      </c>
      <c r="B22">
        <f>INDEX('Data Extraction'!AE2:AE35,MATCH(A22,'Data Extraction'!A2:A35,0))</f>
        <v>4</v>
      </c>
      <c r="C22">
        <v>1</v>
      </c>
      <c r="D22">
        <v>0</v>
      </c>
      <c r="E22">
        <v>0</v>
      </c>
      <c r="F22">
        <v>0</v>
      </c>
      <c r="G22">
        <v>0</v>
      </c>
      <c r="H22">
        <v>0</v>
      </c>
      <c r="I22">
        <v>0</v>
      </c>
      <c r="J22">
        <v>0</v>
      </c>
      <c r="K22">
        <v>0</v>
      </c>
      <c r="L22">
        <v>0</v>
      </c>
      <c r="M22">
        <v>0</v>
      </c>
      <c r="N22">
        <v>1</v>
      </c>
      <c r="O22">
        <v>0</v>
      </c>
      <c r="P22">
        <v>0</v>
      </c>
      <c r="Q22">
        <v>0</v>
      </c>
      <c r="R22">
        <v>1</v>
      </c>
      <c r="S22">
        <v>1</v>
      </c>
      <c r="T22">
        <v>0</v>
      </c>
      <c r="U22">
        <v>0</v>
      </c>
      <c r="V22">
        <v>0</v>
      </c>
      <c r="W22">
        <v>0</v>
      </c>
      <c r="X22">
        <v>0</v>
      </c>
      <c r="Y22">
        <v>0</v>
      </c>
      <c r="Z22">
        <v>1</v>
      </c>
      <c r="AA22">
        <v>0</v>
      </c>
    </row>
    <row r="23" spans="1:27" ht="15" customHeight="1">
      <c r="A23" t="s">
        <v>5527</v>
      </c>
      <c r="B23">
        <f>INDEX('Data Extraction'!AE2:AE35,MATCH(A23,'Data Extraction'!A2:A35,0))</f>
        <v>3</v>
      </c>
      <c r="C23">
        <v>1</v>
      </c>
      <c r="D23">
        <v>0</v>
      </c>
      <c r="E23">
        <v>0</v>
      </c>
      <c r="F23">
        <v>0</v>
      </c>
      <c r="G23">
        <v>0</v>
      </c>
      <c r="H23">
        <v>0</v>
      </c>
      <c r="I23">
        <v>0</v>
      </c>
      <c r="J23">
        <v>0</v>
      </c>
      <c r="K23">
        <v>0</v>
      </c>
      <c r="L23">
        <v>0</v>
      </c>
      <c r="M23">
        <v>0</v>
      </c>
      <c r="N23">
        <v>0</v>
      </c>
      <c r="O23">
        <v>1</v>
      </c>
      <c r="P23">
        <v>0</v>
      </c>
      <c r="Q23">
        <v>1</v>
      </c>
      <c r="R23">
        <v>0</v>
      </c>
      <c r="S23">
        <v>0</v>
      </c>
      <c r="T23">
        <v>0</v>
      </c>
      <c r="U23">
        <v>1</v>
      </c>
      <c r="V23">
        <v>0</v>
      </c>
      <c r="W23">
        <v>0</v>
      </c>
      <c r="X23">
        <v>1</v>
      </c>
      <c r="Y23">
        <v>1</v>
      </c>
      <c r="Z23">
        <v>0</v>
      </c>
      <c r="AA23">
        <v>0</v>
      </c>
    </row>
    <row r="24" spans="1:27" ht="15" customHeight="1">
      <c r="A24" t="s">
        <v>5549</v>
      </c>
      <c r="B24">
        <f>INDEX('Data Extraction'!AE2:AE35,MATCH(A24,'Data Extraction'!A2:A35,0))</f>
        <v>4</v>
      </c>
      <c r="C24">
        <v>1</v>
      </c>
      <c r="D24">
        <v>0</v>
      </c>
      <c r="E24">
        <v>0</v>
      </c>
      <c r="F24">
        <v>0</v>
      </c>
      <c r="G24">
        <v>0</v>
      </c>
      <c r="H24">
        <v>0</v>
      </c>
      <c r="I24">
        <v>0</v>
      </c>
      <c r="J24">
        <v>0</v>
      </c>
      <c r="K24">
        <v>0</v>
      </c>
      <c r="L24">
        <v>0</v>
      </c>
      <c r="M24">
        <v>0</v>
      </c>
      <c r="N24">
        <v>1</v>
      </c>
      <c r="O24">
        <v>0</v>
      </c>
      <c r="P24">
        <v>1</v>
      </c>
      <c r="Q24">
        <v>1</v>
      </c>
      <c r="R24">
        <v>1</v>
      </c>
      <c r="S24">
        <v>1</v>
      </c>
      <c r="T24">
        <v>0</v>
      </c>
      <c r="U24">
        <v>0</v>
      </c>
      <c r="V24">
        <v>1</v>
      </c>
      <c r="W24">
        <v>0</v>
      </c>
      <c r="X24">
        <v>1</v>
      </c>
      <c r="Y24">
        <v>0</v>
      </c>
      <c r="Z24">
        <v>0</v>
      </c>
      <c r="AA24">
        <v>0</v>
      </c>
    </row>
    <row r="25" spans="1:27" ht="15" customHeight="1">
      <c r="A25" t="s">
        <v>5573</v>
      </c>
      <c r="B25">
        <f>INDEX('Data Extraction'!AE2:AE35,MATCH(A25,'Data Extraction'!A2:A35,0))</f>
        <v>3</v>
      </c>
      <c r="C25">
        <v>1</v>
      </c>
      <c r="D25">
        <v>0</v>
      </c>
      <c r="E25">
        <v>1</v>
      </c>
      <c r="F25">
        <v>0</v>
      </c>
      <c r="G25">
        <v>0</v>
      </c>
      <c r="H25">
        <v>0</v>
      </c>
      <c r="I25">
        <v>0</v>
      </c>
      <c r="J25">
        <v>1</v>
      </c>
      <c r="K25">
        <v>0</v>
      </c>
      <c r="L25">
        <v>0</v>
      </c>
      <c r="M25">
        <v>0</v>
      </c>
      <c r="N25">
        <v>1</v>
      </c>
      <c r="O25">
        <v>0</v>
      </c>
      <c r="P25">
        <v>0</v>
      </c>
      <c r="Q25">
        <v>0</v>
      </c>
      <c r="R25">
        <v>1</v>
      </c>
      <c r="S25">
        <v>0</v>
      </c>
      <c r="T25">
        <v>1</v>
      </c>
      <c r="U25">
        <v>0</v>
      </c>
      <c r="V25">
        <v>0</v>
      </c>
      <c r="W25">
        <v>1</v>
      </c>
      <c r="X25">
        <v>0</v>
      </c>
      <c r="Y25">
        <v>0</v>
      </c>
      <c r="Z25">
        <v>0</v>
      </c>
      <c r="AA25">
        <v>0</v>
      </c>
    </row>
    <row r="26" spans="1:27" ht="15" customHeight="1">
      <c r="A26" t="s">
        <v>5598</v>
      </c>
      <c r="B26">
        <f>INDEX('Data Extraction'!AE2:AE35,MATCH(A26,'Data Extraction'!A2:A35,0))</f>
        <v>2</v>
      </c>
      <c r="C26">
        <v>1</v>
      </c>
      <c r="D26">
        <v>0</v>
      </c>
      <c r="E26">
        <v>0</v>
      </c>
      <c r="F26">
        <v>0</v>
      </c>
      <c r="G26">
        <v>0</v>
      </c>
      <c r="H26">
        <v>0</v>
      </c>
      <c r="I26">
        <v>0</v>
      </c>
      <c r="J26">
        <v>1</v>
      </c>
      <c r="K26">
        <v>0</v>
      </c>
      <c r="L26">
        <v>1</v>
      </c>
      <c r="M26">
        <v>0</v>
      </c>
      <c r="N26">
        <v>0</v>
      </c>
      <c r="O26">
        <v>0</v>
      </c>
      <c r="P26">
        <v>0</v>
      </c>
      <c r="Q26">
        <v>0</v>
      </c>
      <c r="R26">
        <v>1</v>
      </c>
      <c r="S26">
        <v>0</v>
      </c>
      <c r="T26">
        <v>0</v>
      </c>
      <c r="U26">
        <v>0</v>
      </c>
      <c r="V26">
        <v>0</v>
      </c>
      <c r="W26">
        <v>1</v>
      </c>
      <c r="X26">
        <v>0</v>
      </c>
      <c r="Y26">
        <v>0</v>
      </c>
      <c r="Z26">
        <v>1</v>
      </c>
      <c r="AA26">
        <v>0</v>
      </c>
    </row>
    <row r="27" spans="1:27" ht="15" customHeight="1">
      <c r="A27" t="s">
        <v>5622</v>
      </c>
      <c r="B27">
        <f>INDEX('Data Extraction'!AE2:AE35,MATCH(A27,'Data Extraction'!A2:A35,0))</f>
        <v>4</v>
      </c>
      <c r="C27">
        <v>1</v>
      </c>
      <c r="D27">
        <v>0</v>
      </c>
      <c r="E27">
        <v>0</v>
      </c>
      <c r="F27">
        <v>0</v>
      </c>
      <c r="G27">
        <v>0</v>
      </c>
      <c r="H27">
        <v>1</v>
      </c>
      <c r="I27">
        <v>0</v>
      </c>
      <c r="J27">
        <v>1</v>
      </c>
      <c r="K27">
        <v>0</v>
      </c>
      <c r="L27">
        <v>0</v>
      </c>
      <c r="M27">
        <v>0</v>
      </c>
      <c r="N27">
        <v>0</v>
      </c>
      <c r="O27">
        <v>0</v>
      </c>
      <c r="P27">
        <v>1</v>
      </c>
      <c r="Q27">
        <v>0</v>
      </c>
      <c r="R27">
        <v>0</v>
      </c>
      <c r="S27">
        <v>0</v>
      </c>
      <c r="T27">
        <v>0</v>
      </c>
      <c r="U27">
        <v>1</v>
      </c>
      <c r="V27">
        <v>0</v>
      </c>
      <c r="W27">
        <v>1</v>
      </c>
      <c r="X27">
        <v>0</v>
      </c>
      <c r="Y27">
        <v>0</v>
      </c>
      <c r="Z27">
        <v>0</v>
      </c>
      <c r="AA27">
        <v>1</v>
      </c>
    </row>
    <row r="28" spans="1:27" ht="15" customHeight="1">
      <c r="A28" t="s">
        <v>5647</v>
      </c>
      <c r="B28">
        <f>INDEX('Data Extraction'!AE2:AE35,MATCH(A28,'Data Extraction'!A2:A35,0))</f>
        <v>2</v>
      </c>
      <c r="C28">
        <v>0</v>
      </c>
      <c r="D28">
        <v>1</v>
      </c>
      <c r="E28">
        <v>0</v>
      </c>
      <c r="F28">
        <v>0</v>
      </c>
      <c r="G28">
        <v>0</v>
      </c>
      <c r="H28">
        <v>0</v>
      </c>
      <c r="I28">
        <v>0</v>
      </c>
      <c r="J28">
        <v>0</v>
      </c>
      <c r="K28">
        <v>0</v>
      </c>
      <c r="L28">
        <v>0</v>
      </c>
      <c r="M28">
        <v>0</v>
      </c>
      <c r="N28">
        <v>0</v>
      </c>
      <c r="O28">
        <v>0</v>
      </c>
      <c r="P28">
        <v>1</v>
      </c>
      <c r="Q28">
        <v>0</v>
      </c>
      <c r="R28">
        <v>1</v>
      </c>
      <c r="S28">
        <v>0</v>
      </c>
      <c r="T28">
        <v>0</v>
      </c>
      <c r="U28">
        <v>0</v>
      </c>
      <c r="V28">
        <v>1</v>
      </c>
      <c r="W28">
        <v>0</v>
      </c>
      <c r="X28">
        <v>0</v>
      </c>
      <c r="Y28">
        <v>0</v>
      </c>
      <c r="Z28">
        <v>1</v>
      </c>
      <c r="AA28">
        <v>0</v>
      </c>
    </row>
    <row r="29" spans="1:27" ht="15" customHeight="1">
      <c r="A29" t="s">
        <v>5672</v>
      </c>
      <c r="B29">
        <f>INDEX('Data Extraction'!AE2:AE35,MATCH(A29,'Data Extraction'!A2:A35,0))</f>
        <v>4</v>
      </c>
      <c r="C29">
        <v>0</v>
      </c>
      <c r="D29">
        <v>1</v>
      </c>
      <c r="E29">
        <v>0</v>
      </c>
      <c r="F29">
        <v>0</v>
      </c>
      <c r="G29">
        <v>0</v>
      </c>
      <c r="H29">
        <v>0</v>
      </c>
      <c r="I29">
        <v>0</v>
      </c>
      <c r="J29">
        <v>0</v>
      </c>
      <c r="K29">
        <v>0</v>
      </c>
      <c r="L29">
        <v>0</v>
      </c>
      <c r="M29">
        <v>0</v>
      </c>
      <c r="N29">
        <v>0</v>
      </c>
      <c r="O29">
        <v>0</v>
      </c>
      <c r="P29">
        <v>1</v>
      </c>
      <c r="Q29">
        <v>0</v>
      </c>
      <c r="R29">
        <v>0</v>
      </c>
      <c r="S29">
        <v>1</v>
      </c>
      <c r="T29">
        <v>0</v>
      </c>
      <c r="U29">
        <v>0</v>
      </c>
      <c r="V29">
        <v>1</v>
      </c>
      <c r="W29">
        <v>0</v>
      </c>
      <c r="X29">
        <v>0</v>
      </c>
      <c r="Y29">
        <v>0</v>
      </c>
      <c r="Z29">
        <v>0</v>
      </c>
      <c r="AA29">
        <v>1</v>
      </c>
    </row>
    <row r="30" spans="1:27" ht="15" customHeight="1">
      <c r="A30" t="s">
        <v>5896</v>
      </c>
      <c r="C30">
        <f t="shared" ref="C30:AA30" si="0">SUM(C3:C29)</f>
        <v>23</v>
      </c>
      <c r="D30">
        <f t="shared" si="0"/>
        <v>3</v>
      </c>
      <c r="E30">
        <f t="shared" si="0"/>
        <v>2</v>
      </c>
      <c r="F30">
        <f t="shared" si="0"/>
        <v>2</v>
      </c>
      <c r="G30">
        <f t="shared" si="0"/>
        <v>0</v>
      </c>
      <c r="H30">
        <f t="shared" si="0"/>
        <v>4</v>
      </c>
      <c r="I30">
        <f t="shared" si="0"/>
        <v>2</v>
      </c>
      <c r="J30">
        <f t="shared" si="0"/>
        <v>6</v>
      </c>
      <c r="K30">
        <f t="shared" si="0"/>
        <v>10</v>
      </c>
      <c r="L30">
        <f t="shared" si="0"/>
        <v>7</v>
      </c>
      <c r="M30">
        <f t="shared" si="0"/>
        <v>4</v>
      </c>
      <c r="N30">
        <f t="shared" si="0"/>
        <v>6</v>
      </c>
      <c r="O30">
        <f t="shared" si="0"/>
        <v>5</v>
      </c>
      <c r="P30">
        <f t="shared" si="0"/>
        <v>4</v>
      </c>
      <c r="Q30">
        <f t="shared" si="0"/>
        <v>12</v>
      </c>
      <c r="R30">
        <f t="shared" si="0"/>
        <v>11</v>
      </c>
      <c r="S30">
        <f t="shared" si="0"/>
        <v>7</v>
      </c>
      <c r="T30">
        <f t="shared" si="0"/>
        <v>5</v>
      </c>
      <c r="U30">
        <f t="shared" si="0"/>
        <v>6</v>
      </c>
      <c r="V30">
        <f t="shared" si="0"/>
        <v>5</v>
      </c>
      <c r="W30">
        <f t="shared" si="0"/>
        <v>6</v>
      </c>
      <c r="X30">
        <f t="shared" si="0"/>
        <v>9</v>
      </c>
      <c r="Y30">
        <f t="shared" si="0"/>
        <v>7</v>
      </c>
      <c r="Z30">
        <f t="shared" si="0"/>
        <v>7</v>
      </c>
      <c r="AA30">
        <f t="shared" si="0"/>
        <v>5</v>
      </c>
    </row>
  </sheetData>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4"/>
  <sheetViews>
    <sheetView zoomScaleNormal="100" workbookViewId="0"/>
  </sheetViews>
  <sheetFormatPr defaultColWidth="8.5703125" defaultRowHeight="14.45"/>
  <cols>
    <col min="2" max="2" width="34" customWidth="1"/>
    <col min="3" max="3" width="40" customWidth="1"/>
  </cols>
  <sheetData>
    <row r="1" spans="1:5" ht="15" customHeight="1">
      <c r="A1" s="8" t="s">
        <v>6120</v>
      </c>
    </row>
    <row r="2" spans="1:5" ht="15" customHeight="1">
      <c r="A2" s="9" t="s">
        <v>6055</v>
      </c>
      <c r="B2" s="9" t="s">
        <v>6121</v>
      </c>
      <c r="C2" s="9" t="s">
        <v>6122</v>
      </c>
      <c r="D2" s="9" t="s">
        <v>6123</v>
      </c>
      <c r="E2" s="9" t="s">
        <v>6124</v>
      </c>
    </row>
    <row r="3" spans="1:5" ht="15" customHeight="1">
      <c r="A3">
        <v>1</v>
      </c>
      <c r="B3" t="s">
        <v>6125</v>
      </c>
      <c r="C3" t="s">
        <v>6126</v>
      </c>
      <c r="D3">
        <f t="shared" ref="D3:D14" si="0">IF(C3="",0,LEN(C3)-LEN(SUBSTITUTE(C3,"P","")))</f>
        <v>5</v>
      </c>
      <c r="E3" t="str">
        <f t="shared" ref="E3:E14" si="1">IF(D3&gt;=5,"Heavy",IF(D3&gt;=3,"Moderate",IF(D3&gt;=1,"Light","Zero")))</f>
        <v>Heavy</v>
      </c>
    </row>
    <row r="4" spans="1:5" ht="15" customHeight="1">
      <c r="A4">
        <v>2</v>
      </c>
      <c r="B4" t="s">
        <v>5130</v>
      </c>
      <c r="C4" t="s">
        <v>6127</v>
      </c>
      <c r="D4">
        <f t="shared" si="0"/>
        <v>7</v>
      </c>
      <c r="E4" t="str">
        <f t="shared" si="1"/>
        <v>Heavy</v>
      </c>
    </row>
    <row r="5" spans="1:5" ht="15" customHeight="1">
      <c r="A5">
        <v>3</v>
      </c>
      <c r="B5" t="s">
        <v>6128</v>
      </c>
      <c r="C5" t="s">
        <v>5169</v>
      </c>
      <c r="D5">
        <f t="shared" si="0"/>
        <v>1</v>
      </c>
      <c r="E5" t="str">
        <f t="shared" si="1"/>
        <v>Light</v>
      </c>
    </row>
    <row r="6" spans="1:5" ht="15" customHeight="1">
      <c r="A6">
        <v>4</v>
      </c>
      <c r="B6" t="s">
        <v>6129</v>
      </c>
      <c r="C6" t="s">
        <v>6130</v>
      </c>
      <c r="D6">
        <f t="shared" si="0"/>
        <v>3</v>
      </c>
      <c r="E6" t="str">
        <f t="shared" si="1"/>
        <v>Moderate</v>
      </c>
    </row>
    <row r="7" spans="1:5" ht="15" customHeight="1">
      <c r="A7">
        <v>5</v>
      </c>
      <c r="B7" t="s">
        <v>6131</v>
      </c>
      <c r="C7" t="s">
        <v>6132</v>
      </c>
      <c r="D7">
        <f t="shared" si="0"/>
        <v>3</v>
      </c>
      <c r="E7" t="str">
        <f t="shared" si="1"/>
        <v>Moderate</v>
      </c>
    </row>
    <row r="8" spans="1:5" ht="15" customHeight="1">
      <c r="A8">
        <v>6</v>
      </c>
      <c r="B8" t="s">
        <v>6133</v>
      </c>
      <c r="C8" t="s">
        <v>6134</v>
      </c>
      <c r="D8">
        <f t="shared" si="0"/>
        <v>2</v>
      </c>
      <c r="E8" t="str">
        <f t="shared" si="1"/>
        <v>Light</v>
      </c>
    </row>
    <row r="9" spans="1:5" ht="15" customHeight="1">
      <c r="A9">
        <v>7</v>
      </c>
      <c r="B9" t="s">
        <v>5202</v>
      </c>
      <c r="C9" t="s">
        <v>6135</v>
      </c>
      <c r="D9">
        <f t="shared" si="0"/>
        <v>6</v>
      </c>
      <c r="E9" t="str">
        <f t="shared" si="1"/>
        <v>Heavy</v>
      </c>
    </row>
    <row r="10" spans="1:5" ht="15" customHeight="1">
      <c r="A10">
        <v>8</v>
      </c>
      <c r="B10" t="s">
        <v>5224</v>
      </c>
      <c r="C10" t="s">
        <v>6136</v>
      </c>
      <c r="D10">
        <f t="shared" si="0"/>
        <v>3</v>
      </c>
      <c r="E10" t="str">
        <f t="shared" si="1"/>
        <v>Moderate</v>
      </c>
    </row>
    <row r="11" spans="1:5" ht="15" customHeight="1">
      <c r="A11">
        <v>9</v>
      </c>
      <c r="B11" t="s">
        <v>6137</v>
      </c>
      <c r="D11">
        <f t="shared" si="0"/>
        <v>0</v>
      </c>
      <c r="E11" t="str">
        <f t="shared" si="1"/>
        <v>Zero</v>
      </c>
    </row>
    <row r="12" spans="1:5" ht="15" customHeight="1">
      <c r="A12">
        <v>10</v>
      </c>
      <c r="B12" t="s">
        <v>6138</v>
      </c>
      <c r="C12" t="s">
        <v>6139</v>
      </c>
      <c r="D12">
        <f t="shared" si="0"/>
        <v>3</v>
      </c>
      <c r="E12" t="str">
        <f t="shared" si="1"/>
        <v>Moderate</v>
      </c>
    </row>
    <row r="13" spans="1:5" ht="15" customHeight="1">
      <c r="A13">
        <v>11</v>
      </c>
      <c r="B13" t="s">
        <v>6140</v>
      </c>
      <c r="C13" t="s">
        <v>6141</v>
      </c>
      <c r="D13">
        <f t="shared" si="0"/>
        <v>1</v>
      </c>
      <c r="E13" t="str">
        <f t="shared" si="1"/>
        <v>Light</v>
      </c>
    </row>
    <row r="14" spans="1:5" ht="15" customHeight="1">
      <c r="A14">
        <v>12</v>
      </c>
      <c r="B14" t="s">
        <v>6142</v>
      </c>
      <c r="C14" t="s">
        <v>6143</v>
      </c>
      <c r="D14">
        <f t="shared" si="0"/>
        <v>2</v>
      </c>
      <c r="E14" t="str">
        <f t="shared" si="1"/>
        <v>Light</v>
      </c>
    </row>
  </sheetData>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2"/>
  <sheetViews>
    <sheetView zoomScaleNormal="100" workbookViewId="0"/>
  </sheetViews>
  <sheetFormatPr defaultColWidth="8.7109375" defaultRowHeight="14.45"/>
  <cols>
    <col min="1" max="8" width="25" customWidth="1"/>
  </cols>
  <sheetData>
    <row r="1" spans="1:10" ht="15.75" customHeight="1">
      <c r="A1" s="1" t="s">
        <v>6144</v>
      </c>
    </row>
    <row r="2" spans="1:10" ht="15" customHeight="1">
      <c r="A2" s="35" t="s">
        <v>6145</v>
      </c>
      <c r="B2" s="35" t="s">
        <v>6125</v>
      </c>
      <c r="C2" s="35" t="s">
        <v>6146</v>
      </c>
      <c r="D2" s="35" t="s">
        <v>6147</v>
      </c>
      <c r="E2" s="35" t="s">
        <v>6131</v>
      </c>
      <c r="F2" s="35" t="s">
        <v>6148</v>
      </c>
      <c r="G2" s="35" t="s">
        <v>6149</v>
      </c>
      <c r="H2" s="35" t="s">
        <v>6150</v>
      </c>
      <c r="I2" s="26" t="s">
        <v>6151</v>
      </c>
      <c r="J2" s="26" t="s">
        <v>6123</v>
      </c>
    </row>
    <row r="3" spans="1:10" ht="27.75" customHeight="1">
      <c r="A3" s="36" t="s">
        <v>6152</v>
      </c>
      <c r="B3" s="36" t="s">
        <v>6153</v>
      </c>
      <c r="C3" s="36" t="s">
        <v>6154</v>
      </c>
      <c r="D3" s="36" t="s">
        <v>6155</v>
      </c>
      <c r="E3" s="36" t="s">
        <v>6156</v>
      </c>
      <c r="F3" s="36" t="s">
        <v>6157</v>
      </c>
      <c r="G3" s="36" t="s">
        <v>6158</v>
      </c>
      <c r="H3" s="36" t="s">
        <v>6159</v>
      </c>
      <c r="I3" s="7" t="s">
        <v>6160</v>
      </c>
      <c r="J3">
        <f>Study_Coding!C30</f>
        <v>23</v>
      </c>
    </row>
    <row r="4" spans="1:10" ht="27.75" customHeight="1">
      <c r="A4" s="36" t="s">
        <v>6161</v>
      </c>
      <c r="B4" s="36" t="s">
        <v>6162</v>
      </c>
      <c r="C4" s="36" t="s">
        <v>6163</v>
      </c>
      <c r="D4" s="36" t="s">
        <v>6164</v>
      </c>
      <c r="E4" s="36" t="s">
        <v>6165</v>
      </c>
      <c r="F4" s="36" t="s">
        <v>6166</v>
      </c>
      <c r="G4" s="36" t="s">
        <v>6167</v>
      </c>
      <c r="H4" s="36" t="s">
        <v>6168</v>
      </c>
      <c r="I4" s="7" t="s">
        <v>6169</v>
      </c>
      <c r="J4">
        <f>Study_Coding!D30</f>
        <v>3</v>
      </c>
    </row>
    <row r="5" spans="1:10" ht="27.75" customHeight="1">
      <c r="A5" s="36" t="s">
        <v>6170</v>
      </c>
      <c r="B5" s="36" t="s">
        <v>6171</v>
      </c>
      <c r="C5" s="36" t="s">
        <v>6172</v>
      </c>
      <c r="D5" s="36" t="s">
        <v>6173</v>
      </c>
      <c r="E5" s="36" t="s">
        <v>6174</v>
      </c>
      <c r="F5" s="36" t="s">
        <v>6175</v>
      </c>
      <c r="G5" s="36" t="s">
        <v>6176</v>
      </c>
      <c r="H5" s="36" t="s">
        <v>6177</v>
      </c>
      <c r="I5" s="7" t="s">
        <v>6178</v>
      </c>
      <c r="J5">
        <f>Study_Coding!E30</f>
        <v>2</v>
      </c>
    </row>
    <row r="6" spans="1:10" ht="27.75" customHeight="1">
      <c r="A6" s="36" t="s">
        <v>6179</v>
      </c>
      <c r="B6" s="36" t="s">
        <v>6180</v>
      </c>
      <c r="C6" s="36" t="s">
        <v>6181</v>
      </c>
      <c r="D6" s="36" t="s">
        <v>6182</v>
      </c>
      <c r="E6" s="36" t="s">
        <v>6183</v>
      </c>
      <c r="F6" s="36" t="s">
        <v>6184</v>
      </c>
      <c r="G6" s="36" t="s">
        <v>6185</v>
      </c>
      <c r="H6" s="36" t="s">
        <v>6186</v>
      </c>
      <c r="I6" s="7" t="s">
        <v>6187</v>
      </c>
      <c r="J6">
        <f>Study_Coding!F30</f>
        <v>2</v>
      </c>
    </row>
    <row r="7" spans="1:10" ht="27.75" customHeight="1">
      <c r="A7" s="36" t="s">
        <v>6188</v>
      </c>
      <c r="B7" s="36" t="s">
        <v>6189</v>
      </c>
      <c r="C7" s="36" t="s">
        <v>6190</v>
      </c>
      <c r="D7" s="36" t="s">
        <v>6191</v>
      </c>
      <c r="E7" s="36" t="s">
        <v>6192</v>
      </c>
      <c r="F7" s="36" t="s">
        <v>6193</v>
      </c>
      <c r="G7" s="36" t="s">
        <v>6194</v>
      </c>
      <c r="H7" s="36" t="s">
        <v>6195</v>
      </c>
      <c r="I7" s="7" t="s">
        <v>6196</v>
      </c>
      <c r="J7">
        <f>Study_Coding!G30</f>
        <v>0</v>
      </c>
    </row>
    <row r="8" spans="1:10" ht="27.75" customHeight="1">
      <c r="A8" s="36" t="s">
        <v>6197</v>
      </c>
      <c r="B8" s="36" t="s">
        <v>6198</v>
      </c>
      <c r="C8" s="36" t="s">
        <v>6199</v>
      </c>
      <c r="D8" s="36" t="s">
        <v>6200</v>
      </c>
      <c r="E8" s="36" t="s">
        <v>6201</v>
      </c>
      <c r="F8" s="36" t="s">
        <v>6202</v>
      </c>
      <c r="G8" s="36" t="s">
        <v>6203</v>
      </c>
      <c r="H8" s="36" t="s">
        <v>6204</v>
      </c>
      <c r="I8" s="7" t="s">
        <v>6205</v>
      </c>
      <c r="J8">
        <f>Study_Coding!H30</f>
        <v>4</v>
      </c>
    </row>
    <row r="9" spans="1:10" ht="27.75" customHeight="1">
      <c r="A9" s="36" t="s">
        <v>6206</v>
      </c>
      <c r="B9" s="36" t="s">
        <v>6207</v>
      </c>
      <c r="C9" s="36" t="s">
        <v>6208</v>
      </c>
      <c r="D9" s="36" t="s">
        <v>6209</v>
      </c>
      <c r="E9" s="36" t="s">
        <v>6210</v>
      </c>
      <c r="F9" s="36" t="s">
        <v>6211</v>
      </c>
      <c r="G9" s="36" t="s">
        <v>6212</v>
      </c>
      <c r="H9" s="36" t="s">
        <v>6213</v>
      </c>
      <c r="I9" s="7" t="s">
        <v>6214</v>
      </c>
      <c r="J9">
        <f>Study_Coding!I30</f>
        <v>2</v>
      </c>
    </row>
    <row r="12" spans="1:10" ht="15" customHeight="1">
      <c r="A12" s="8" t="s">
        <v>6215</v>
      </c>
    </row>
    <row r="13" spans="1:10" ht="23.25" customHeight="1">
      <c r="A13" s="26" t="s">
        <v>6145</v>
      </c>
      <c r="B13" s="26" t="s">
        <v>6125</v>
      </c>
      <c r="C13" s="26" t="s">
        <v>6146</v>
      </c>
      <c r="D13" s="26" t="s">
        <v>6147</v>
      </c>
      <c r="E13" s="26" t="s">
        <v>6131</v>
      </c>
      <c r="F13" s="26" t="s">
        <v>6148</v>
      </c>
      <c r="G13" s="26" t="s">
        <v>6149</v>
      </c>
      <c r="H13" s="26" t="s">
        <v>6150</v>
      </c>
    </row>
    <row r="14" spans="1:10" ht="27.75" customHeight="1">
      <c r="A14" t="s">
        <v>6216</v>
      </c>
      <c r="B14" s="7" t="s">
        <v>6217</v>
      </c>
      <c r="C14" s="7" t="s">
        <v>6218</v>
      </c>
      <c r="D14" s="7" t="s">
        <v>6219</v>
      </c>
      <c r="E14" s="7" t="s">
        <v>6220</v>
      </c>
      <c r="F14" s="7" t="s">
        <v>6221</v>
      </c>
      <c r="G14" s="7" t="s">
        <v>6222</v>
      </c>
      <c r="H14" s="7" t="s">
        <v>6223</v>
      </c>
    </row>
    <row r="15" spans="1:10" ht="15" customHeight="1">
      <c r="A15" t="s">
        <v>6161</v>
      </c>
      <c r="B15" s="38" t="s">
        <v>6224</v>
      </c>
      <c r="C15" s="7" t="s">
        <v>5357</v>
      </c>
      <c r="D15" s="38" t="s">
        <v>6224</v>
      </c>
      <c r="E15" s="38" t="s">
        <v>6224</v>
      </c>
      <c r="F15" s="38" t="s">
        <v>6224</v>
      </c>
      <c r="G15" s="38" t="s">
        <v>6224</v>
      </c>
      <c r="H15" s="7" t="s">
        <v>6225</v>
      </c>
    </row>
    <row r="16" spans="1:10" ht="15" customHeight="1">
      <c r="A16" t="s">
        <v>6170</v>
      </c>
      <c r="B16" s="7" t="s">
        <v>5573</v>
      </c>
      <c r="C16" s="7" t="s">
        <v>5307</v>
      </c>
      <c r="D16" s="38" t="s">
        <v>6224</v>
      </c>
      <c r="E16" s="38" t="s">
        <v>6224</v>
      </c>
      <c r="F16" s="7" t="s">
        <v>5573</v>
      </c>
      <c r="G16" s="38" t="s">
        <v>6224</v>
      </c>
      <c r="H16" s="38" t="s">
        <v>6224</v>
      </c>
    </row>
    <row r="17" spans="1:8" ht="15" customHeight="1">
      <c r="A17" t="s">
        <v>6179</v>
      </c>
      <c r="B17" s="38" t="s">
        <v>6224</v>
      </c>
      <c r="C17" s="38" t="s">
        <v>6224</v>
      </c>
      <c r="D17" s="7" t="s">
        <v>5336</v>
      </c>
      <c r="E17" s="38" t="s">
        <v>6224</v>
      </c>
      <c r="F17" s="38" t="s">
        <v>6224</v>
      </c>
      <c r="G17" s="7" t="s">
        <v>5193</v>
      </c>
      <c r="H17" s="38" t="s">
        <v>6224</v>
      </c>
    </row>
    <row r="18" spans="1:8" ht="15" customHeight="1">
      <c r="A18" t="s">
        <v>6188</v>
      </c>
      <c r="B18" s="38" t="s">
        <v>6224</v>
      </c>
      <c r="C18" s="38" t="s">
        <v>6224</v>
      </c>
      <c r="D18" s="38" t="s">
        <v>6224</v>
      </c>
      <c r="E18" s="38" t="s">
        <v>6224</v>
      </c>
      <c r="F18" s="38" t="s">
        <v>6224</v>
      </c>
      <c r="G18" s="38" t="s">
        <v>6224</v>
      </c>
      <c r="H18" s="38" t="s">
        <v>6224</v>
      </c>
    </row>
    <row r="19" spans="1:8" ht="15" customHeight="1">
      <c r="A19" t="s">
        <v>6197</v>
      </c>
      <c r="B19" s="7" t="s">
        <v>6226</v>
      </c>
      <c r="C19" s="7" t="s">
        <v>6227</v>
      </c>
      <c r="D19" s="7" t="s">
        <v>5457</v>
      </c>
      <c r="E19" s="7" t="s">
        <v>5239</v>
      </c>
      <c r="F19" s="38" t="s">
        <v>6224</v>
      </c>
      <c r="G19" s="7" t="s">
        <v>5239</v>
      </c>
      <c r="H19" s="7" t="s">
        <v>5622</v>
      </c>
    </row>
    <row r="20" spans="1:8" ht="15" customHeight="1">
      <c r="A20" t="s">
        <v>6206</v>
      </c>
      <c r="B20" s="38" t="s">
        <v>6224</v>
      </c>
      <c r="C20" s="7" t="s">
        <v>5481</v>
      </c>
      <c r="D20" s="7" t="s">
        <v>5408</v>
      </c>
      <c r="E20" s="7" t="s">
        <v>6214</v>
      </c>
      <c r="F20" s="38" t="s">
        <v>6224</v>
      </c>
      <c r="G20" s="38" t="s">
        <v>6224</v>
      </c>
      <c r="H20" s="38" t="s">
        <v>6224</v>
      </c>
    </row>
    <row r="21" spans="1:8" ht="15" customHeight="1">
      <c r="A21" t="s">
        <v>6228</v>
      </c>
      <c r="B21">
        <f>Study_Coding!J30</f>
        <v>6</v>
      </c>
      <c r="C21">
        <f>Study_Coding!K30</f>
        <v>10</v>
      </c>
      <c r="D21">
        <f>Study_Coding!L30</f>
        <v>7</v>
      </c>
      <c r="E21">
        <f>Study_Coding!M30</f>
        <v>4</v>
      </c>
      <c r="F21">
        <f>Study_Coding!N30</f>
        <v>6</v>
      </c>
      <c r="G21">
        <f>Study_Coding!O30</f>
        <v>5</v>
      </c>
      <c r="H21">
        <f>Study_Coding!P30</f>
        <v>4</v>
      </c>
    </row>
    <row r="22" spans="1:8" ht="15" customHeight="1">
      <c r="A22" t="s">
        <v>6229</v>
      </c>
    </row>
  </sheetData>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0"/>
  <sheetViews>
    <sheetView zoomScaleNormal="100" workbookViewId="0"/>
  </sheetViews>
  <sheetFormatPr defaultColWidth="8.7109375" defaultRowHeight="14.45"/>
  <cols>
    <col min="1" max="5" width="25" customWidth="1"/>
    <col min="6" max="6" width="60" customWidth="1"/>
  </cols>
  <sheetData>
    <row r="1" spans="1:6" ht="15.75" customHeight="1">
      <c r="A1" s="1" t="s">
        <v>6230</v>
      </c>
    </row>
    <row r="2" spans="1:6" ht="15" customHeight="1">
      <c r="A2" s="35" t="s">
        <v>6094</v>
      </c>
      <c r="B2" s="35" t="s">
        <v>6231</v>
      </c>
      <c r="C2" s="35" t="s">
        <v>5030</v>
      </c>
      <c r="D2" s="35" t="s">
        <v>5029</v>
      </c>
      <c r="E2" s="35" t="s">
        <v>6232</v>
      </c>
      <c r="F2" s="26" t="s">
        <v>6233</v>
      </c>
    </row>
    <row r="3" spans="1:6" ht="27.75" customHeight="1">
      <c r="A3" s="36" t="s">
        <v>6234</v>
      </c>
      <c r="B3" s="36" t="s">
        <v>6235</v>
      </c>
      <c r="C3" s="36" t="s">
        <v>6236</v>
      </c>
      <c r="D3" s="36" t="s">
        <v>6237</v>
      </c>
      <c r="E3" s="36" t="str">
        <f>COUNTIF('Data Extraction'!$AE$2:$AE$35,1)&amp;" / "&amp;COUNT('Data Extraction'!$AE$2:$AE$35)&amp;" ("&amp;TEXT(COUNTIF('Data Extraction'!$AE$2:$AE$35,1)/COUNT('Data Extraction'!$AE$2:$AE$35),"0.0%")&amp;")"</f>
        <v>0 / 27 (0.0%)</v>
      </c>
      <c r="F3" s="7" t="s">
        <v>6196</v>
      </c>
    </row>
    <row r="4" spans="1:6" ht="41.25" customHeight="1">
      <c r="A4" s="36" t="s">
        <v>6238</v>
      </c>
      <c r="B4" s="36" t="s">
        <v>6239</v>
      </c>
      <c r="C4" s="36" t="s">
        <v>6240</v>
      </c>
      <c r="D4" s="36" t="s">
        <v>6241</v>
      </c>
      <c r="E4" s="36" t="str">
        <f>COUNTIF('Data Extraction'!$AE$2:$AE$35,2)&amp;" / "&amp;COUNT('Data Extraction'!$AE$2:$AE$35)&amp;" ("&amp;TEXT(COUNTIF('Data Extraction'!$AE$2:$AE$35,2)/COUNT('Data Extraction'!$AE$2:$AE$35),"0.0%")&amp;")"</f>
        <v>6 / 27 (22.2%)</v>
      </c>
      <c r="F4" s="7" t="s">
        <v>6242</v>
      </c>
    </row>
    <row r="5" spans="1:6" ht="41.25" customHeight="1">
      <c r="A5" s="36" t="s">
        <v>6243</v>
      </c>
      <c r="B5" s="36" t="s">
        <v>6244</v>
      </c>
      <c r="C5" s="36" t="s">
        <v>6245</v>
      </c>
      <c r="D5" s="36" t="s">
        <v>6246</v>
      </c>
      <c r="E5" s="36" t="str">
        <f>COUNTIF('Data Extraction'!$AE$2:$AE$35,3)&amp;" / "&amp;COUNT('Data Extraction'!$AE$2:$AE$35)&amp;" ("&amp;TEXT(COUNTIF('Data Extraction'!$AE$2:$AE$35,3)/COUNT('Data Extraction'!$AE$2:$AE$35),"0.0%")&amp;")"</f>
        <v>6 / 27 (22.2%)</v>
      </c>
      <c r="F5" s="7" t="s">
        <v>6247</v>
      </c>
    </row>
    <row r="6" spans="1:6" ht="41.25" customHeight="1">
      <c r="A6" s="36" t="s">
        <v>6248</v>
      </c>
      <c r="B6" s="36" t="s">
        <v>6249</v>
      </c>
      <c r="C6" s="36" t="s">
        <v>6250</v>
      </c>
      <c r="D6" s="36" t="s">
        <v>6251</v>
      </c>
      <c r="E6" s="36" t="str">
        <f>COUNTIF('Data Extraction'!$AE$2:$AE$35,4)&amp;" / "&amp;COUNT('Data Extraction'!$AE$2:$AE$35)&amp;" ("&amp;TEXT(COUNTIF('Data Extraction'!$AE$2:$AE$35,4)/COUNT('Data Extraction'!$AE$2:$AE$35),"0.0%")&amp;")"</f>
        <v>11 / 27 (40.7%)</v>
      </c>
      <c r="F6" s="7" t="s">
        <v>6252</v>
      </c>
    </row>
    <row r="7" spans="1:6" ht="41.25" customHeight="1">
      <c r="A7" s="36" t="s">
        <v>6253</v>
      </c>
      <c r="B7" s="36" t="s">
        <v>6254</v>
      </c>
      <c r="C7" s="36" t="s">
        <v>6255</v>
      </c>
      <c r="D7" s="36" t="s">
        <v>6256</v>
      </c>
      <c r="E7" s="36" t="str">
        <f>COUNTIF('Data Extraction'!$AE$2:$AE$35,5)&amp;" / "&amp;COUNT('Data Extraction'!$AE$2:$AE$35)&amp;" ("&amp;TEXT(COUNTIF('Data Extraction'!$AE$2:$AE$35,5)/COUNT('Data Extraction'!$AE$2:$AE$35),"0.0%")&amp;")"</f>
        <v>4 / 27 (14.8%)</v>
      </c>
      <c r="F7" s="7" t="s">
        <v>6257</v>
      </c>
    </row>
    <row r="8" spans="1:6" ht="41.25" customHeight="1">
      <c r="A8" s="36" t="s">
        <v>6258</v>
      </c>
      <c r="B8" s="36" t="s">
        <v>6259</v>
      </c>
      <c r="C8" s="36" t="s">
        <v>6260</v>
      </c>
      <c r="D8" s="36" t="s">
        <v>6261</v>
      </c>
      <c r="E8" s="36" t="str">
        <f>COUNTIF('Data Extraction'!$AE$2:$AE$35,6)&amp;" / "&amp;COUNT('Data Extraction'!$AE$2:$AE$35)&amp;" ("&amp;TEXT(COUNTIF('Data Extraction'!$AE$2:$AE$35,6)/COUNT('Data Extraction'!$AE$2:$AE$35),"0.0%")&amp;")"</f>
        <v>0 / 27 (0.0%)</v>
      </c>
      <c r="F8" s="7" t="s">
        <v>6196</v>
      </c>
    </row>
    <row r="10" spans="1:6" ht="15" customHeight="1">
      <c r="A10" t="s">
        <v>6262</v>
      </c>
    </row>
  </sheetData>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2"/>
  <sheetViews>
    <sheetView zoomScaleNormal="100" workbookViewId="0"/>
  </sheetViews>
  <sheetFormatPr defaultColWidth="8.7109375" defaultRowHeight="14.45"/>
  <cols>
    <col min="1" max="4" width="25" customWidth="1"/>
    <col min="5" max="5" width="55" customWidth="1"/>
  </cols>
  <sheetData>
    <row r="1" spans="1:6" ht="15.75" customHeight="1">
      <c r="A1" s="1" t="s">
        <v>6263</v>
      </c>
    </row>
    <row r="2" spans="1:6" ht="15" customHeight="1">
      <c r="A2" s="35" t="s">
        <v>6264</v>
      </c>
      <c r="B2" s="35" t="s">
        <v>6265</v>
      </c>
      <c r="C2" s="35" t="s">
        <v>6266</v>
      </c>
      <c r="D2" s="35" t="s">
        <v>6267</v>
      </c>
      <c r="E2" s="26" t="s">
        <v>6233</v>
      </c>
      <c r="F2" s="26" t="s">
        <v>6123</v>
      </c>
    </row>
    <row r="3" spans="1:6" ht="41.25" customHeight="1">
      <c r="A3" s="36" t="s">
        <v>6268</v>
      </c>
      <c r="B3" s="36" t="s">
        <v>6269</v>
      </c>
      <c r="C3" s="36" t="s">
        <v>6270</v>
      </c>
      <c r="D3" s="36" t="s">
        <v>6271</v>
      </c>
      <c r="E3" s="7" t="s">
        <v>6272</v>
      </c>
      <c r="F3">
        <f>Study_Coding!Q30</f>
        <v>12</v>
      </c>
    </row>
    <row r="4" spans="1:6" ht="41.25" customHeight="1">
      <c r="A4" s="36" t="s">
        <v>6273</v>
      </c>
      <c r="B4" s="36" t="s">
        <v>6274</v>
      </c>
      <c r="C4" s="36" t="s">
        <v>6275</v>
      </c>
      <c r="D4" s="36" t="s">
        <v>6276</v>
      </c>
      <c r="E4" s="7" t="s">
        <v>6277</v>
      </c>
      <c r="F4">
        <f>Study_Coding!R30</f>
        <v>11</v>
      </c>
    </row>
    <row r="5" spans="1:6" ht="41.25" customHeight="1">
      <c r="A5" s="36" t="s">
        <v>6278</v>
      </c>
      <c r="B5" s="36" t="s">
        <v>6279</v>
      </c>
      <c r="C5" s="36" t="s">
        <v>6280</v>
      </c>
      <c r="D5" s="36" t="s">
        <v>6281</v>
      </c>
      <c r="E5" s="7" t="s">
        <v>6282</v>
      </c>
      <c r="F5">
        <f>Study_Coding!S30</f>
        <v>7</v>
      </c>
    </row>
    <row r="6" spans="1:6" ht="54.75" customHeight="1">
      <c r="A6" s="36" t="s">
        <v>6283</v>
      </c>
      <c r="B6" s="36" t="s">
        <v>6284</v>
      </c>
      <c r="C6" s="36" t="s">
        <v>6285</v>
      </c>
      <c r="D6" s="36" t="s">
        <v>6286</v>
      </c>
      <c r="E6" s="7" t="s">
        <v>6287</v>
      </c>
      <c r="F6">
        <f>Study_Coding!T30</f>
        <v>5</v>
      </c>
    </row>
    <row r="7" spans="1:6" ht="41.25" customHeight="1">
      <c r="A7" s="36" t="s">
        <v>6288</v>
      </c>
      <c r="B7" s="36" t="s">
        <v>6289</v>
      </c>
      <c r="C7" s="36" t="s">
        <v>6290</v>
      </c>
      <c r="D7" s="36" t="s">
        <v>6291</v>
      </c>
      <c r="E7" s="7" t="s">
        <v>6292</v>
      </c>
      <c r="F7">
        <f>Study_Coding!U30</f>
        <v>6</v>
      </c>
    </row>
    <row r="8" spans="1:6" ht="54.75" customHeight="1">
      <c r="A8" s="36" t="s">
        <v>6293</v>
      </c>
      <c r="B8" s="36" t="s">
        <v>6294</v>
      </c>
      <c r="C8" s="36" t="s">
        <v>6295</v>
      </c>
      <c r="D8" s="36" t="s">
        <v>6296</v>
      </c>
      <c r="E8" s="7" t="s">
        <v>6297</v>
      </c>
      <c r="F8">
        <f>Study_Coding!V30</f>
        <v>5</v>
      </c>
    </row>
    <row r="10" spans="1:6" ht="15" customHeight="1">
      <c r="A10" s="19"/>
    </row>
    <row r="12" spans="1:6" ht="15" customHeight="1">
      <c r="A12" s="6" t="s">
        <v>6298</v>
      </c>
    </row>
  </sheetData>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6"/>
  <sheetViews>
    <sheetView zoomScaleNormal="100" workbookViewId="0"/>
  </sheetViews>
  <sheetFormatPr defaultColWidth="8.7109375" defaultRowHeight="14.45"/>
  <cols>
    <col min="1" max="3" width="25" customWidth="1"/>
  </cols>
  <sheetData>
    <row r="1" spans="1:3" ht="15.75" customHeight="1">
      <c r="A1" s="1" t="s">
        <v>6299</v>
      </c>
    </row>
    <row r="2" spans="1:3" ht="15" customHeight="1">
      <c r="A2" s="35" t="s">
        <v>6300</v>
      </c>
      <c r="B2" s="35" t="s">
        <v>6301</v>
      </c>
      <c r="C2" s="35" t="s">
        <v>6302</v>
      </c>
    </row>
    <row r="3" spans="1:3" ht="54.75" customHeight="1">
      <c r="A3" s="36" t="s">
        <v>6303</v>
      </c>
      <c r="B3" s="36" t="s">
        <v>6304</v>
      </c>
      <c r="C3" s="36" t="s">
        <v>6305</v>
      </c>
    </row>
    <row r="4" spans="1:3" ht="54.75" customHeight="1">
      <c r="A4" s="36" t="s">
        <v>6306</v>
      </c>
      <c r="B4" s="36" t="s">
        <v>6307</v>
      </c>
      <c r="C4" s="36" t="s">
        <v>6308</v>
      </c>
    </row>
    <row r="5" spans="1:3" ht="68.25" customHeight="1">
      <c r="A5" s="36" t="s">
        <v>6309</v>
      </c>
      <c r="B5" s="36" t="s">
        <v>6310</v>
      </c>
      <c r="C5" s="36" t="s">
        <v>6311</v>
      </c>
    </row>
    <row r="6" spans="1:3" ht="41.25" customHeight="1">
      <c r="A6" s="36" t="s">
        <v>6312</v>
      </c>
      <c r="B6" s="36" t="s">
        <v>6313</v>
      </c>
      <c r="C6" s="36" t="s">
        <v>6314</v>
      </c>
    </row>
  </sheetData>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7"/>
  <sheetViews>
    <sheetView zoomScaleNormal="100" workbookViewId="0"/>
  </sheetViews>
  <sheetFormatPr defaultColWidth="8.7109375" defaultRowHeight="14.45"/>
  <cols>
    <col min="1" max="4" width="25" customWidth="1"/>
    <col min="5" max="5" width="45" customWidth="1"/>
    <col min="7" max="7" width="60" customWidth="1"/>
  </cols>
  <sheetData>
    <row r="1" spans="1:7" ht="15.75" customHeight="1">
      <c r="A1" s="1" t="s">
        <v>6315</v>
      </c>
    </row>
    <row r="2" spans="1:7" ht="15" customHeight="1">
      <c r="A2" s="35" t="s">
        <v>6316</v>
      </c>
      <c r="B2" s="35" t="s">
        <v>6317</v>
      </c>
      <c r="C2" s="35" t="s">
        <v>6318</v>
      </c>
      <c r="D2" s="35" t="s">
        <v>6319</v>
      </c>
      <c r="E2" s="26" t="s">
        <v>6320</v>
      </c>
      <c r="F2" s="26" t="s">
        <v>6123</v>
      </c>
      <c r="G2" s="26" t="s">
        <v>6321</v>
      </c>
    </row>
    <row r="3" spans="1:7" ht="41.25" customHeight="1">
      <c r="A3" s="36" t="s">
        <v>6322</v>
      </c>
      <c r="B3" s="36" t="s">
        <v>6323</v>
      </c>
      <c r="C3" s="36" t="s">
        <v>6324</v>
      </c>
      <c r="D3" s="36" t="s">
        <v>6325</v>
      </c>
      <c r="E3" s="7" t="s">
        <v>6217</v>
      </c>
      <c r="F3">
        <f>Study_Coding!W30</f>
        <v>6</v>
      </c>
      <c r="G3" s="39" t="s">
        <v>6326</v>
      </c>
    </row>
    <row r="4" spans="1:7" ht="41.25" customHeight="1">
      <c r="A4" s="36" t="s">
        <v>6327</v>
      </c>
      <c r="B4" s="36" t="s">
        <v>6328</v>
      </c>
      <c r="C4" s="36" t="s">
        <v>6329</v>
      </c>
      <c r="D4" s="36" t="s">
        <v>6330</v>
      </c>
      <c r="E4" s="7" t="s">
        <v>6331</v>
      </c>
      <c r="F4">
        <f>Study_Coding!X30</f>
        <v>9</v>
      </c>
      <c r="G4" s="39" t="s">
        <v>6332</v>
      </c>
    </row>
    <row r="5" spans="1:7" ht="41.25" customHeight="1">
      <c r="A5" s="36" t="s">
        <v>6333</v>
      </c>
      <c r="B5" s="36" t="s">
        <v>6334</v>
      </c>
      <c r="C5" s="36" t="s">
        <v>6335</v>
      </c>
      <c r="D5" s="36" t="s">
        <v>6336</v>
      </c>
      <c r="E5" s="7" t="s">
        <v>6337</v>
      </c>
      <c r="F5">
        <f>Study_Coding!Y30</f>
        <v>7</v>
      </c>
      <c r="G5" s="39" t="s">
        <v>6338</v>
      </c>
    </row>
    <row r="6" spans="1:7" ht="41.25" customHeight="1">
      <c r="A6" s="36" t="s">
        <v>6339</v>
      </c>
      <c r="B6" s="36" t="s">
        <v>6340</v>
      </c>
      <c r="C6" s="36" t="s">
        <v>6341</v>
      </c>
      <c r="D6" s="36" t="s">
        <v>6342</v>
      </c>
      <c r="E6" s="7" t="s">
        <v>6343</v>
      </c>
      <c r="F6">
        <f>Study_Coding!Z30</f>
        <v>7</v>
      </c>
      <c r="G6" s="39" t="s">
        <v>6344</v>
      </c>
    </row>
    <row r="7" spans="1:7" ht="41.25" customHeight="1">
      <c r="A7" s="36" t="s">
        <v>6345</v>
      </c>
      <c r="B7" s="36" t="s">
        <v>6346</v>
      </c>
      <c r="C7" s="36" t="s">
        <v>6347</v>
      </c>
      <c r="D7" s="36" t="s">
        <v>6348</v>
      </c>
      <c r="E7" s="7" t="s">
        <v>6349</v>
      </c>
      <c r="F7">
        <f>Study_Coding!AA30</f>
        <v>5</v>
      </c>
      <c r="G7" s="7" t="s">
        <v>6350</v>
      </c>
    </row>
  </sheetData>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8"/>
  <sheetViews>
    <sheetView zoomScaleNormal="100" workbookViewId="0"/>
  </sheetViews>
  <sheetFormatPr defaultColWidth="8.7109375" defaultRowHeight="14.45"/>
  <cols>
    <col min="1" max="4" width="25" customWidth="1"/>
  </cols>
  <sheetData>
    <row r="1" spans="1:4" ht="15.75" customHeight="1">
      <c r="A1" s="1" t="s">
        <v>6351</v>
      </c>
    </row>
    <row r="2" spans="1:4" ht="15" customHeight="1">
      <c r="A2" s="35" t="s">
        <v>6352</v>
      </c>
      <c r="B2" s="35" t="s">
        <v>6353</v>
      </c>
      <c r="C2" s="35" t="s">
        <v>6354</v>
      </c>
      <c r="D2" s="35" t="s">
        <v>6355</v>
      </c>
    </row>
    <row r="3" spans="1:4" ht="54.75" customHeight="1">
      <c r="A3" s="40" t="s">
        <v>6356</v>
      </c>
      <c r="B3" s="40" t="s">
        <v>6357</v>
      </c>
      <c r="C3" s="40" t="s">
        <v>6358</v>
      </c>
      <c r="D3" s="40" t="s">
        <v>6359</v>
      </c>
    </row>
    <row r="4" spans="1:4" ht="54.75" customHeight="1">
      <c r="A4" s="40" t="s">
        <v>6360</v>
      </c>
      <c r="B4" s="40" t="s">
        <v>6361</v>
      </c>
      <c r="C4" s="40" t="s">
        <v>6362</v>
      </c>
      <c r="D4" s="40" t="s">
        <v>6363</v>
      </c>
    </row>
    <row r="5" spans="1:4" ht="68.25" customHeight="1">
      <c r="A5" s="40" t="s">
        <v>6364</v>
      </c>
      <c r="B5" s="40" t="s">
        <v>6365</v>
      </c>
      <c r="C5" s="40" t="s">
        <v>6366</v>
      </c>
      <c r="D5" s="40" t="s">
        <v>6367</v>
      </c>
    </row>
    <row r="6" spans="1:4" ht="54.75" customHeight="1">
      <c r="A6" s="40" t="s">
        <v>6368</v>
      </c>
      <c r="B6" s="40" t="s">
        <v>6369</v>
      </c>
      <c r="C6" s="40" t="s">
        <v>6370</v>
      </c>
      <c r="D6" s="40" t="s">
        <v>6371</v>
      </c>
    </row>
    <row r="7" spans="1:4" ht="43.5">
      <c r="A7" s="7" t="s">
        <v>6372</v>
      </c>
      <c r="B7" s="7" t="s">
        <v>6373</v>
      </c>
      <c r="C7" s="7" t="s">
        <v>6374</v>
      </c>
      <c r="D7" s="7" t="s">
        <v>6375</v>
      </c>
    </row>
    <row r="8" spans="1:4" ht="43.5">
      <c r="A8" s="7" t="s">
        <v>6376</v>
      </c>
      <c r="B8" s="7" t="s">
        <v>6377</v>
      </c>
      <c r="C8" s="7" t="s">
        <v>6378</v>
      </c>
      <c r="D8" s="7" t="s">
        <v>6379</v>
      </c>
    </row>
  </sheetData>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6"/>
  <sheetViews>
    <sheetView zoomScaleNormal="100" workbookViewId="0"/>
  </sheetViews>
  <sheetFormatPr defaultColWidth="8.7109375" defaultRowHeight="14.45"/>
  <cols>
    <col min="1" max="2" width="25" customWidth="1"/>
  </cols>
  <sheetData>
    <row r="1" spans="1:2" ht="15.75" customHeight="1">
      <c r="A1" s="1" t="s">
        <v>6380</v>
      </c>
    </row>
    <row r="2" spans="1:2" ht="15" customHeight="1">
      <c r="A2" s="35" t="s">
        <v>6381</v>
      </c>
      <c r="B2" s="35" t="s">
        <v>6382</v>
      </c>
    </row>
    <row r="3" spans="1:2" ht="27.75" customHeight="1">
      <c r="A3" s="36" t="s">
        <v>6383</v>
      </c>
      <c r="B3" s="36" t="s">
        <v>6384</v>
      </c>
    </row>
    <row r="4" spans="1:2" ht="95.25" customHeight="1">
      <c r="A4" s="36" t="s">
        <v>6385</v>
      </c>
      <c r="B4" s="41" t="s">
        <v>6386</v>
      </c>
    </row>
    <row r="5" spans="1:2" ht="95.25" customHeight="1">
      <c r="A5" s="36" t="s">
        <v>6387</v>
      </c>
      <c r="B5" s="41" t="s">
        <v>6388</v>
      </c>
    </row>
    <row r="6" spans="1:2" ht="68.25" customHeight="1">
      <c r="A6" s="36" t="s">
        <v>6389</v>
      </c>
      <c r="B6" s="41" t="s">
        <v>6390</v>
      </c>
    </row>
  </sheetData>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50"/>
  <sheetViews>
    <sheetView zoomScaleNormal="100" workbookViewId="0"/>
  </sheetViews>
  <sheetFormatPr defaultColWidth="8.5703125" defaultRowHeight="14.45"/>
  <cols>
    <col min="1" max="1" width="30" customWidth="1"/>
    <col min="2" max="2" width="90" customWidth="1"/>
    <col min="3" max="3" width="40" customWidth="1"/>
  </cols>
  <sheetData>
    <row r="1" spans="1:3" ht="15" customHeight="1">
      <c r="A1" s="26" t="s">
        <v>6391</v>
      </c>
      <c r="B1" s="26" t="s">
        <v>6392</v>
      </c>
      <c r="C1" s="26" t="s">
        <v>21</v>
      </c>
    </row>
    <row r="2" spans="1:3" ht="27.75" customHeight="1">
      <c r="A2" s="7" t="s">
        <v>6393</v>
      </c>
      <c r="B2" s="7" t="s">
        <v>6394</v>
      </c>
      <c r="C2" s="7" t="s">
        <v>6395</v>
      </c>
    </row>
    <row r="3" spans="1:3" ht="27.75" customHeight="1">
      <c r="A3" s="7" t="s">
        <v>6393</v>
      </c>
      <c r="B3" s="7" t="s">
        <v>6396</v>
      </c>
      <c r="C3" s="7" t="s">
        <v>6397</v>
      </c>
    </row>
    <row r="4" spans="1:3" ht="27.75" customHeight="1">
      <c r="A4" s="7" t="s">
        <v>6398</v>
      </c>
      <c r="B4" s="7" t="s">
        <v>6399</v>
      </c>
      <c r="C4" s="7" t="s">
        <v>6400</v>
      </c>
    </row>
    <row r="5" spans="1:3" ht="27.75" customHeight="1">
      <c r="A5" s="7" t="s">
        <v>6393</v>
      </c>
      <c r="B5" s="7" t="s">
        <v>6401</v>
      </c>
      <c r="C5" s="7" t="s">
        <v>6400</v>
      </c>
    </row>
    <row r="6" spans="1:3" ht="27.75" customHeight="1">
      <c r="A6" s="7" t="s">
        <v>6393</v>
      </c>
      <c r="B6" s="7" t="s">
        <v>6402</v>
      </c>
      <c r="C6" s="7" t="s">
        <v>6403</v>
      </c>
    </row>
    <row r="7" spans="1:3" ht="41.25" customHeight="1">
      <c r="A7" s="7" t="s">
        <v>6404</v>
      </c>
      <c r="B7" s="7" t="s">
        <v>6405</v>
      </c>
      <c r="C7" s="7" t="s">
        <v>6406</v>
      </c>
    </row>
    <row r="8" spans="1:3" ht="15" customHeight="1">
      <c r="A8" s="7" t="s">
        <v>6407</v>
      </c>
      <c r="B8" s="7" t="s">
        <v>6408</v>
      </c>
      <c r="C8" s="7" t="s">
        <v>6400</v>
      </c>
    </row>
    <row r="9" spans="1:3" ht="27.75" customHeight="1">
      <c r="A9" s="7" t="s">
        <v>6409</v>
      </c>
      <c r="B9" s="7" t="s">
        <v>6410</v>
      </c>
      <c r="C9" s="7" t="s">
        <v>6411</v>
      </c>
    </row>
    <row r="10" spans="1:3" ht="27.75" customHeight="1">
      <c r="A10" s="7" t="s">
        <v>6412</v>
      </c>
      <c r="B10" s="7" t="s">
        <v>6413</v>
      </c>
      <c r="C10" s="7" t="s">
        <v>6414</v>
      </c>
    </row>
    <row r="11" spans="1:3" ht="27.75" customHeight="1">
      <c r="A11" s="7" t="s">
        <v>6415</v>
      </c>
      <c r="B11" s="7" t="s">
        <v>6416</v>
      </c>
      <c r="C11" s="7" t="s">
        <v>6400</v>
      </c>
    </row>
    <row r="12" spans="1:3" ht="15" customHeight="1">
      <c r="A12" s="7" t="s">
        <v>6417</v>
      </c>
      <c r="B12" s="7" t="s">
        <v>6418</v>
      </c>
      <c r="C12" s="7" t="s">
        <v>6419</v>
      </c>
    </row>
    <row r="13" spans="1:3" ht="41.25" customHeight="1">
      <c r="A13" s="7" t="s">
        <v>6420</v>
      </c>
      <c r="B13" s="7" t="s">
        <v>6421</v>
      </c>
      <c r="C13" s="7" t="s">
        <v>6422</v>
      </c>
    </row>
    <row r="15" spans="1:3" ht="41.25" customHeight="1">
      <c r="A15" s="42" t="s">
        <v>6423</v>
      </c>
      <c r="B15" s="42" t="s">
        <v>6424</v>
      </c>
      <c r="C15" s="42" t="s">
        <v>6400</v>
      </c>
    </row>
    <row r="16" spans="1:3" ht="54.75" customHeight="1">
      <c r="A16" s="42" t="s">
        <v>6425</v>
      </c>
      <c r="B16" s="42" t="s">
        <v>6426</v>
      </c>
      <c r="C16" s="42" t="s">
        <v>6400</v>
      </c>
    </row>
    <row r="17" spans="1:3" ht="41.25" customHeight="1">
      <c r="A17" s="42" t="s">
        <v>6427</v>
      </c>
      <c r="B17" s="42" t="s">
        <v>6428</v>
      </c>
      <c r="C17" s="42" t="s">
        <v>6429</v>
      </c>
    </row>
    <row r="18" spans="1:3" ht="54.75" customHeight="1">
      <c r="A18" s="42" t="s">
        <v>6430</v>
      </c>
      <c r="B18" s="42" t="s">
        <v>6431</v>
      </c>
      <c r="C18" s="42" t="s">
        <v>6400</v>
      </c>
    </row>
    <row r="19" spans="1:3" ht="41.25" customHeight="1">
      <c r="A19" s="42" t="s">
        <v>6432</v>
      </c>
      <c r="B19" s="42" t="s">
        <v>6433</v>
      </c>
      <c r="C19" s="42" t="s">
        <v>6400</v>
      </c>
    </row>
    <row r="20" spans="1:3" ht="54.75" customHeight="1">
      <c r="A20" s="42" t="s">
        <v>6434</v>
      </c>
      <c r="B20" s="42" t="s">
        <v>6435</v>
      </c>
      <c r="C20" s="42" t="s">
        <v>6400</v>
      </c>
    </row>
    <row r="21" spans="1:3" ht="15" customHeight="1">
      <c r="A21" s="42" t="s">
        <v>6436</v>
      </c>
      <c r="B21" s="42" t="s">
        <v>6437</v>
      </c>
      <c r="C21" s="42" t="s">
        <v>6400</v>
      </c>
    </row>
    <row r="22" spans="1:3" ht="15" customHeight="1">
      <c r="A22" s="42" t="s">
        <v>6438</v>
      </c>
      <c r="B22" s="42" t="s">
        <v>6439</v>
      </c>
      <c r="C22" s="42" t="s">
        <v>6400</v>
      </c>
    </row>
    <row r="24" spans="1:3" ht="15" customHeight="1">
      <c r="A24" t="s">
        <v>6440</v>
      </c>
    </row>
    <row r="25" spans="1:3" ht="15" customHeight="1">
      <c r="A25" s="42" t="s">
        <v>6441</v>
      </c>
      <c r="B25" s="42" t="s">
        <v>6442</v>
      </c>
      <c r="C25" s="42" t="s">
        <v>6400</v>
      </c>
    </row>
    <row r="26" spans="1:3" ht="15" customHeight="1">
      <c r="A26" s="42" t="s">
        <v>6443</v>
      </c>
      <c r="B26" s="42" t="s">
        <v>6444</v>
      </c>
      <c r="C26" s="42" t="s">
        <v>6400</v>
      </c>
    </row>
    <row r="27" spans="1:3" ht="27.75" customHeight="1">
      <c r="A27" s="42" t="s">
        <v>6393</v>
      </c>
      <c r="B27" s="42" t="s">
        <v>6445</v>
      </c>
      <c r="C27" s="42" t="s">
        <v>6400</v>
      </c>
    </row>
    <row r="28" spans="1:3" ht="15" customHeight="1">
      <c r="A28" s="42" t="s">
        <v>6446</v>
      </c>
      <c r="B28" s="42" t="s">
        <v>6447</v>
      </c>
      <c r="C28" s="42" t="s">
        <v>6400</v>
      </c>
    </row>
    <row r="29" spans="1:3" ht="15" customHeight="1">
      <c r="A29" s="42" t="s">
        <v>6448</v>
      </c>
      <c r="B29" s="42" t="s">
        <v>6449</v>
      </c>
      <c r="C29" s="42" t="s">
        <v>6450</v>
      </c>
    </row>
    <row r="30" spans="1:3" ht="27.75" customHeight="1">
      <c r="A30" s="42" t="s">
        <v>6451</v>
      </c>
      <c r="B30" s="42" t="s">
        <v>6452</v>
      </c>
      <c r="C30" s="42" t="s">
        <v>6400</v>
      </c>
    </row>
    <row r="32" spans="1:3">
      <c r="A32" s="8" t="s">
        <v>6453</v>
      </c>
    </row>
    <row r="33" spans="1:1">
      <c r="A33" t="s">
        <v>6454</v>
      </c>
    </row>
    <row r="34" spans="1:1">
      <c r="A34" t="s">
        <v>6455</v>
      </c>
    </row>
    <row r="35" spans="1:1">
      <c r="A35" t="s">
        <v>6456</v>
      </c>
    </row>
    <row r="36" spans="1:1">
      <c r="A36" t="s">
        <v>6457</v>
      </c>
    </row>
    <row r="37" spans="1:1">
      <c r="A37" t="s">
        <v>6458</v>
      </c>
    </row>
    <row r="38" spans="1:1">
      <c r="A38" t="s">
        <v>6459</v>
      </c>
    </row>
    <row r="39" spans="1:1">
      <c r="A39" t="s">
        <v>6460</v>
      </c>
    </row>
    <row r="40" spans="1:1">
      <c r="A40" t="s">
        <v>6461</v>
      </c>
    </row>
    <row r="41" spans="1:1">
      <c r="A41" t="s">
        <v>6462</v>
      </c>
    </row>
    <row r="42" spans="1:1">
      <c r="A42" t="s">
        <v>6463</v>
      </c>
    </row>
    <row r="43" spans="1:1">
      <c r="A43" t="s">
        <v>6464</v>
      </c>
    </row>
    <row r="44" spans="1:1">
      <c r="A44" t="s">
        <v>6465</v>
      </c>
    </row>
    <row r="45" spans="1:1">
      <c r="A45" t="s">
        <v>6466</v>
      </c>
    </row>
    <row r="46" spans="1:1">
      <c r="A46" t="s">
        <v>6467</v>
      </c>
    </row>
    <row r="47" spans="1:1">
      <c r="A47" t="s">
        <v>6468</v>
      </c>
    </row>
    <row r="48" spans="1:1">
      <c r="A48" t="s">
        <v>6469</v>
      </c>
    </row>
    <row r="49" spans="1:1">
      <c r="A49" t="s">
        <v>6470</v>
      </c>
    </row>
    <row r="50" spans="1:1">
      <c r="A50" t="s">
        <v>6471</v>
      </c>
    </row>
  </sheetData>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D39"/>
  <sheetViews>
    <sheetView zoomScaleNormal="100" workbookViewId="0"/>
  </sheetViews>
  <sheetFormatPr defaultColWidth="8.5703125" defaultRowHeight="14.45"/>
  <cols>
    <col min="3" max="3" width="60" customWidth="1"/>
  </cols>
  <sheetData>
    <row r="1" spans="1:11" ht="15" customHeight="1">
      <c r="A1" s="8" t="s">
        <v>6472</v>
      </c>
    </row>
    <row r="3" spans="1:11" ht="15" customHeight="1">
      <c r="A3" s="8" t="s">
        <v>6473</v>
      </c>
      <c r="B3" t="s">
        <v>5867</v>
      </c>
      <c r="C3" t="s">
        <v>6474</v>
      </c>
    </row>
    <row r="4" spans="1:11" ht="15" customHeight="1">
      <c r="A4" s="8" t="s">
        <v>6475</v>
      </c>
      <c r="B4" t="s">
        <v>5877</v>
      </c>
      <c r="C4" t="s">
        <v>6476</v>
      </c>
    </row>
    <row r="5" spans="1:11" ht="15" customHeight="1">
      <c r="A5" s="8" t="s">
        <v>6477</v>
      </c>
      <c r="B5" t="s">
        <v>5877</v>
      </c>
      <c r="C5" t="s">
        <v>6478</v>
      </c>
    </row>
    <row r="6" spans="1:11" ht="15" customHeight="1">
      <c r="A6" s="8" t="s">
        <v>6479</v>
      </c>
      <c r="B6" t="s">
        <v>6480</v>
      </c>
      <c r="C6" t="s">
        <v>6481</v>
      </c>
    </row>
    <row r="7" spans="1:11" ht="15" customHeight="1">
      <c r="A7" s="8" t="s">
        <v>6482</v>
      </c>
      <c r="B7" t="s">
        <v>6480</v>
      </c>
      <c r="C7" t="s">
        <v>6481</v>
      </c>
    </row>
    <row r="8" spans="1:11" ht="15" customHeight="1">
      <c r="A8" s="8" t="s">
        <v>6483</v>
      </c>
      <c r="B8" t="s">
        <v>6480</v>
      </c>
      <c r="C8" t="s">
        <v>6481</v>
      </c>
    </row>
    <row r="9" spans="1:11" ht="15" customHeight="1">
      <c r="A9" s="8" t="s">
        <v>6484</v>
      </c>
      <c r="B9" t="s">
        <v>6480</v>
      </c>
      <c r="C9" t="s">
        <v>6485</v>
      </c>
    </row>
    <row r="11" spans="1:11" ht="15" customHeight="1">
      <c r="A11" s="8" t="s">
        <v>6486</v>
      </c>
    </row>
    <row r="12" spans="1:11" ht="34.5" customHeight="1">
      <c r="A12" s="26" t="s">
        <v>5699</v>
      </c>
      <c r="B12" s="26" t="s">
        <v>55</v>
      </c>
      <c r="C12" s="26" t="s">
        <v>57</v>
      </c>
      <c r="D12" s="26" t="s">
        <v>58</v>
      </c>
      <c r="E12" s="26" t="s">
        <v>59</v>
      </c>
      <c r="F12" s="26" t="s">
        <v>60</v>
      </c>
      <c r="G12" s="26" t="s">
        <v>61</v>
      </c>
      <c r="H12" s="26" t="s">
        <v>4972</v>
      </c>
      <c r="I12" s="26" t="s">
        <v>5950</v>
      </c>
      <c r="J12" s="26" t="s">
        <v>5951</v>
      </c>
      <c r="K12" s="26" t="s">
        <v>450</v>
      </c>
    </row>
    <row r="13" spans="1:11" ht="15" customHeight="1">
      <c r="A13" t="s">
        <v>6473</v>
      </c>
      <c r="B13" t="s">
        <v>9</v>
      </c>
      <c r="C13" t="s">
        <v>1040</v>
      </c>
      <c r="D13" t="s">
        <v>1041</v>
      </c>
      <c r="E13">
        <v>2025</v>
      </c>
      <c r="F13" t="s">
        <v>923</v>
      </c>
      <c r="G13" t="s">
        <v>1042</v>
      </c>
      <c r="H13" t="s">
        <v>5989</v>
      </c>
      <c r="I13" t="s">
        <v>76</v>
      </c>
      <c r="J13" t="s">
        <v>5990</v>
      </c>
      <c r="K13" t="s">
        <v>5991</v>
      </c>
    </row>
    <row r="14" spans="1:11" ht="15" customHeight="1">
      <c r="A14" t="s">
        <v>6475</v>
      </c>
      <c r="B14" t="s">
        <v>12</v>
      </c>
      <c r="C14" t="s">
        <v>1179</v>
      </c>
      <c r="E14" t="s">
        <v>684</v>
      </c>
      <c r="F14" t="s">
        <v>1180</v>
      </c>
      <c r="G14" t="s">
        <v>1181</v>
      </c>
      <c r="H14" t="s">
        <v>5989</v>
      </c>
      <c r="I14" t="s">
        <v>76</v>
      </c>
      <c r="J14" t="s">
        <v>5990</v>
      </c>
      <c r="K14" t="s">
        <v>6487</v>
      </c>
    </row>
    <row r="15" spans="1:11" ht="15" customHeight="1">
      <c r="A15" t="s">
        <v>6477</v>
      </c>
      <c r="B15" t="s">
        <v>12</v>
      </c>
      <c r="C15" t="s">
        <v>849</v>
      </c>
      <c r="E15" t="s">
        <v>684</v>
      </c>
      <c r="F15" t="s">
        <v>1192</v>
      </c>
      <c r="G15" t="s">
        <v>850</v>
      </c>
      <c r="H15" t="s">
        <v>5989</v>
      </c>
      <c r="I15" t="s">
        <v>76</v>
      </c>
      <c r="J15" t="s">
        <v>5990</v>
      </c>
      <c r="K15" t="s">
        <v>6488</v>
      </c>
    </row>
    <row r="16" spans="1:11" ht="15" customHeight="1">
      <c r="A16" t="s">
        <v>6479</v>
      </c>
      <c r="B16" t="s">
        <v>10</v>
      </c>
      <c r="C16" t="s">
        <v>454</v>
      </c>
      <c r="D16" t="s">
        <v>5978</v>
      </c>
      <c r="E16">
        <v>2026</v>
      </c>
      <c r="F16" t="s">
        <v>5599</v>
      </c>
      <c r="G16" t="s">
        <v>656</v>
      </c>
      <c r="H16" t="s">
        <v>5989</v>
      </c>
      <c r="I16" t="s">
        <v>76</v>
      </c>
      <c r="J16" t="s">
        <v>5990</v>
      </c>
      <c r="K16" t="s">
        <v>6489</v>
      </c>
    </row>
    <row r="17" spans="1:30" ht="15" customHeight="1">
      <c r="A17" t="s">
        <v>6482</v>
      </c>
      <c r="B17" t="s">
        <v>10</v>
      </c>
      <c r="C17" t="s">
        <v>464</v>
      </c>
      <c r="D17" t="s">
        <v>5981</v>
      </c>
      <c r="E17">
        <v>2025</v>
      </c>
      <c r="F17" t="s">
        <v>653</v>
      </c>
      <c r="G17" t="s">
        <v>667</v>
      </c>
      <c r="H17" t="s">
        <v>5989</v>
      </c>
      <c r="I17" t="s">
        <v>76</v>
      </c>
      <c r="J17" t="s">
        <v>5990</v>
      </c>
      <c r="K17" t="s">
        <v>6489</v>
      </c>
    </row>
    <row r="18" spans="1:30" ht="15" customHeight="1">
      <c r="A18" t="s">
        <v>6483</v>
      </c>
      <c r="B18" t="s">
        <v>10</v>
      </c>
      <c r="C18" t="s">
        <v>468</v>
      </c>
      <c r="D18" t="s">
        <v>5983</v>
      </c>
      <c r="E18">
        <v>2021</v>
      </c>
      <c r="F18" t="s">
        <v>653</v>
      </c>
      <c r="G18" t="s">
        <v>672</v>
      </c>
      <c r="H18" t="s">
        <v>5989</v>
      </c>
      <c r="I18" t="s">
        <v>76</v>
      </c>
      <c r="J18" t="s">
        <v>5990</v>
      </c>
      <c r="K18" t="s">
        <v>6489</v>
      </c>
    </row>
    <row r="19" spans="1:30" ht="15" customHeight="1">
      <c r="A19" t="s">
        <v>6484</v>
      </c>
      <c r="B19" t="s">
        <v>10</v>
      </c>
      <c r="C19" t="s">
        <v>476</v>
      </c>
      <c r="D19" t="s">
        <v>5985</v>
      </c>
      <c r="E19">
        <v>2023</v>
      </c>
      <c r="F19" t="s">
        <v>653</v>
      </c>
      <c r="G19" t="s">
        <v>681</v>
      </c>
      <c r="H19" t="s">
        <v>5989</v>
      </c>
      <c r="I19" t="s">
        <v>76</v>
      </c>
      <c r="J19" t="s">
        <v>5990</v>
      </c>
      <c r="K19" t="s">
        <v>6489</v>
      </c>
    </row>
    <row r="21" spans="1:30" ht="15" customHeight="1">
      <c r="A21" s="8" t="s">
        <v>6490</v>
      </c>
    </row>
    <row r="22" spans="1:30" ht="57" customHeight="1">
      <c r="A22" s="26" t="s">
        <v>446</v>
      </c>
      <c r="B22" s="26" t="s">
        <v>55</v>
      </c>
      <c r="C22" s="26" t="s">
        <v>57</v>
      </c>
      <c r="D22" s="26" t="s">
        <v>5015</v>
      </c>
      <c r="E22" s="26" t="s">
        <v>59</v>
      </c>
      <c r="F22" s="26" t="s">
        <v>60</v>
      </c>
      <c r="G22" s="26" t="s">
        <v>5016</v>
      </c>
      <c r="H22" s="26" t="s">
        <v>5017</v>
      </c>
      <c r="I22" s="26" t="s">
        <v>5018</v>
      </c>
      <c r="J22" s="26" t="s">
        <v>5019</v>
      </c>
      <c r="K22" s="26" t="s">
        <v>5020</v>
      </c>
      <c r="L22" s="26" t="s">
        <v>5021</v>
      </c>
      <c r="M22" s="26" t="s">
        <v>5022</v>
      </c>
      <c r="N22" s="26" t="s">
        <v>5023</v>
      </c>
      <c r="O22" s="26" t="s">
        <v>5024</v>
      </c>
      <c r="P22" s="26" t="s">
        <v>5025</v>
      </c>
      <c r="Q22" s="26" t="s">
        <v>5026</v>
      </c>
      <c r="R22" s="26" t="s">
        <v>5027</v>
      </c>
      <c r="S22" s="26" t="s">
        <v>5028</v>
      </c>
      <c r="T22" s="26" t="s">
        <v>5029</v>
      </c>
      <c r="U22" s="26" t="s">
        <v>5030</v>
      </c>
      <c r="V22" s="26" t="s">
        <v>5031</v>
      </c>
      <c r="W22" s="26" t="s">
        <v>5032</v>
      </c>
      <c r="X22" s="26" t="s">
        <v>5033</v>
      </c>
      <c r="Y22" s="26" t="s">
        <v>5034</v>
      </c>
      <c r="Z22" s="26" t="s">
        <v>5035</v>
      </c>
      <c r="AA22" s="26" t="s">
        <v>5036</v>
      </c>
      <c r="AB22" s="26" t="s">
        <v>5037</v>
      </c>
      <c r="AC22" s="26" t="s">
        <v>5038</v>
      </c>
      <c r="AD22" s="26" t="s">
        <v>5039</v>
      </c>
    </row>
    <row r="23" spans="1:30" ht="15" customHeight="1">
      <c r="A23" t="s">
        <v>6473</v>
      </c>
      <c r="B23" t="s">
        <v>9</v>
      </c>
      <c r="C23" t="s">
        <v>1040</v>
      </c>
      <c r="D23" t="s">
        <v>6491</v>
      </c>
      <c r="E23">
        <v>2025</v>
      </c>
      <c r="F23" t="s">
        <v>923</v>
      </c>
      <c r="G23" t="s">
        <v>6492</v>
      </c>
      <c r="H23" t="s">
        <v>6493</v>
      </c>
      <c r="I23" t="s">
        <v>6494</v>
      </c>
      <c r="J23" t="s">
        <v>6495</v>
      </c>
      <c r="K23" t="s">
        <v>6496</v>
      </c>
      <c r="L23" t="s">
        <v>6497</v>
      </c>
      <c r="M23" t="s">
        <v>6498</v>
      </c>
      <c r="N23" t="s">
        <v>6499</v>
      </c>
      <c r="O23" t="s">
        <v>6500</v>
      </c>
      <c r="P23" t="s">
        <v>6501</v>
      </c>
      <c r="Q23" t="s">
        <v>6502</v>
      </c>
      <c r="R23" t="s">
        <v>6503</v>
      </c>
      <c r="S23" t="s">
        <v>6504</v>
      </c>
      <c r="T23" t="s">
        <v>6505</v>
      </c>
      <c r="U23" t="s">
        <v>6506</v>
      </c>
      <c r="V23" t="s">
        <v>6507</v>
      </c>
      <c r="W23" t="s">
        <v>6508</v>
      </c>
      <c r="X23" t="s">
        <v>6498</v>
      </c>
      <c r="Y23" t="s">
        <v>6509</v>
      </c>
      <c r="Z23" t="s">
        <v>6510</v>
      </c>
      <c r="AA23" t="s">
        <v>6511</v>
      </c>
      <c r="AB23" t="s">
        <v>6512</v>
      </c>
      <c r="AC23" t="s">
        <v>6513</v>
      </c>
      <c r="AD23" t="s">
        <v>6514</v>
      </c>
    </row>
    <row r="24" spans="1:30" ht="15" customHeight="1">
      <c r="A24" t="s">
        <v>6475</v>
      </c>
      <c r="B24" t="s">
        <v>12</v>
      </c>
      <c r="C24" t="s">
        <v>1179</v>
      </c>
      <c r="D24" t="s">
        <v>6491</v>
      </c>
      <c r="E24" t="s">
        <v>684</v>
      </c>
      <c r="F24" t="s">
        <v>1180</v>
      </c>
      <c r="G24" t="s">
        <v>6515</v>
      </c>
      <c r="H24" t="s">
        <v>6516</v>
      </c>
      <c r="I24" t="s">
        <v>6517</v>
      </c>
      <c r="J24" t="s">
        <v>6518</v>
      </c>
      <c r="K24" t="s">
        <v>6519</v>
      </c>
      <c r="L24" t="s">
        <v>6520</v>
      </c>
      <c r="M24" t="s">
        <v>5440</v>
      </c>
      <c r="N24" t="s">
        <v>6521</v>
      </c>
      <c r="O24" t="s">
        <v>6522</v>
      </c>
      <c r="P24" t="s">
        <v>6523</v>
      </c>
      <c r="Q24" t="s">
        <v>6524</v>
      </c>
      <c r="R24" t="s">
        <v>6525</v>
      </c>
      <c r="S24" t="s">
        <v>6526</v>
      </c>
      <c r="T24" t="s">
        <v>6527</v>
      </c>
      <c r="U24" t="s">
        <v>6528</v>
      </c>
      <c r="V24" t="s">
        <v>6529</v>
      </c>
      <c r="W24" t="s">
        <v>6530</v>
      </c>
      <c r="X24" t="s">
        <v>6531</v>
      </c>
      <c r="Y24" t="s">
        <v>6532</v>
      </c>
      <c r="Z24" t="s">
        <v>6533</v>
      </c>
      <c r="AA24" t="s">
        <v>6534</v>
      </c>
      <c r="AB24" t="s">
        <v>6535</v>
      </c>
      <c r="AC24" t="s">
        <v>6536</v>
      </c>
      <c r="AD24" t="s">
        <v>5070</v>
      </c>
    </row>
    <row r="25" spans="1:30" ht="15" customHeight="1">
      <c r="A25" t="s">
        <v>6477</v>
      </c>
      <c r="B25" t="s">
        <v>12</v>
      </c>
      <c r="C25" t="s">
        <v>849</v>
      </c>
      <c r="D25" t="s">
        <v>6491</v>
      </c>
      <c r="E25" t="s">
        <v>684</v>
      </c>
      <c r="F25" t="s">
        <v>1192</v>
      </c>
      <c r="G25" t="s">
        <v>6537</v>
      </c>
      <c r="H25" t="s">
        <v>6538</v>
      </c>
      <c r="I25" t="s">
        <v>6539</v>
      </c>
      <c r="J25" t="s">
        <v>6540</v>
      </c>
      <c r="K25" t="s">
        <v>6541</v>
      </c>
      <c r="L25" t="s">
        <v>6542</v>
      </c>
      <c r="M25" t="s">
        <v>6543</v>
      </c>
      <c r="N25" t="s">
        <v>6544</v>
      </c>
      <c r="O25" t="s">
        <v>6545</v>
      </c>
      <c r="P25" t="s">
        <v>6546</v>
      </c>
      <c r="Q25" t="s">
        <v>6547</v>
      </c>
      <c r="R25" t="s">
        <v>6548</v>
      </c>
      <c r="S25" t="s">
        <v>6549</v>
      </c>
      <c r="T25" t="s">
        <v>6550</v>
      </c>
      <c r="U25" t="s">
        <v>6551</v>
      </c>
      <c r="V25" t="s">
        <v>6552</v>
      </c>
      <c r="W25" t="s">
        <v>6553</v>
      </c>
      <c r="X25" t="s">
        <v>6554</v>
      </c>
      <c r="Y25" t="s">
        <v>6555</v>
      </c>
      <c r="Z25" t="s">
        <v>6556</v>
      </c>
      <c r="AA25" t="s">
        <v>6557</v>
      </c>
      <c r="AB25" t="s">
        <v>6558</v>
      </c>
      <c r="AC25" t="s">
        <v>6559</v>
      </c>
      <c r="AD25" t="s">
        <v>5095</v>
      </c>
    </row>
    <row r="26" spans="1:30" ht="15" customHeight="1">
      <c r="A26" t="s">
        <v>6479</v>
      </c>
      <c r="B26" t="s">
        <v>10</v>
      </c>
      <c r="C26" t="s">
        <v>454</v>
      </c>
      <c r="D26" t="s">
        <v>6560</v>
      </c>
      <c r="E26">
        <v>2026</v>
      </c>
      <c r="F26" t="s">
        <v>5599</v>
      </c>
      <c r="G26" t="s">
        <v>6561</v>
      </c>
      <c r="H26" t="s">
        <v>6562</v>
      </c>
      <c r="I26" t="s">
        <v>6563</v>
      </c>
      <c r="J26" t="s">
        <v>6564</v>
      </c>
      <c r="K26" t="s">
        <v>6565</v>
      </c>
      <c r="L26" t="s">
        <v>6566</v>
      </c>
      <c r="M26" t="s">
        <v>6567</v>
      </c>
      <c r="N26" t="s">
        <v>6568</v>
      </c>
      <c r="O26" t="s">
        <v>6569</v>
      </c>
      <c r="P26" t="s">
        <v>6570</v>
      </c>
      <c r="Q26" t="s">
        <v>6571</v>
      </c>
      <c r="R26" t="s">
        <v>6572</v>
      </c>
      <c r="S26" t="s">
        <v>6573</v>
      </c>
      <c r="T26" t="s">
        <v>6574</v>
      </c>
      <c r="U26" t="s">
        <v>6575</v>
      </c>
      <c r="V26" t="s">
        <v>6576</v>
      </c>
      <c r="W26" t="s">
        <v>6577</v>
      </c>
      <c r="X26" t="s">
        <v>6578</v>
      </c>
      <c r="Y26" t="s">
        <v>6579</v>
      </c>
      <c r="Z26" t="s">
        <v>6579</v>
      </c>
      <c r="AA26" t="s">
        <v>6580</v>
      </c>
      <c r="AB26" t="s">
        <v>6581</v>
      </c>
      <c r="AC26" t="s">
        <v>6582</v>
      </c>
      <c r="AD26" t="s">
        <v>5070</v>
      </c>
    </row>
    <row r="27" spans="1:30" ht="15" customHeight="1">
      <c r="A27" t="s">
        <v>6482</v>
      </c>
      <c r="B27" t="s">
        <v>10</v>
      </c>
      <c r="C27" t="s">
        <v>464</v>
      </c>
      <c r="D27" t="s">
        <v>6560</v>
      </c>
      <c r="E27">
        <v>2025</v>
      </c>
      <c r="F27" t="s">
        <v>653</v>
      </c>
      <c r="G27" t="s">
        <v>6583</v>
      </c>
      <c r="H27" t="s">
        <v>6584</v>
      </c>
      <c r="I27" t="s">
        <v>6585</v>
      </c>
      <c r="J27" t="s">
        <v>6586</v>
      </c>
      <c r="K27" t="s">
        <v>6587</v>
      </c>
      <c r="L27" t="s">
        <v>6588</v>
      </c>
      <c r="M27" t="s">
        <v>6589</v>
      </c>
      <c r="N27" t="s">
        <v>6590</v>
      </c>
      <c r="O27" t="s">
        <v>6591</v>
      </c>
      <c r="P27" t="s">
        <v>6592</v>
      </c>
      <c r="Q27" t="s">
        <v>6593</v>
      </c>
      <c r="R27" t="s">
        <v>6594</v>
      </c>
      <c r="S27" t="s">
        <v>6595</v>
      </c>
      <c r="T27" t="s">
        <v>6596</v>
      </c>
      <c r="U27" t="s">
        <v>6597</v>
      </c>
      <c r="V27" t="s">
        <v>6598</v>
      </c>
      <c r="W27" t="s">
        <v>6579</v>
      </c>
      <c r="X27" t="s">
        <v>6599</v>
      </c>
      <c r="Y27" t="s">
        <v>6600</v>
      </c>
      <c r="Z27" t="s">
        <v>6579</v>
      </c>
      <c r="AA27" t="s">
        <v>6601</v>
      </c>
      <c r="AB27" t="s">
        <v>6581</v>
      </c>
      <c r="AC27" t="s">
        <v>6602</v>
      </c>
      <c r="AD27" t="s">
        <v>5120</v>
      </c>
    </row>
    <row r="28" spans="1:30" ht="15" customHeight="1">
      <c r="A28" t="s">
        <v>6483</v>
      </c>
      <c r="B28" t="s">
        <v>10</v>
      </c>
      <c r="C28" t="s">
        <v>468</v>
      </c>
      <c r="D28" t="s">
        <v>6560</v>
      </c>
      <c r="E28">
        <v>2021</v>
      </c>
      <c r="F28" t="s">
        <v>653</v>
      </c>
      <c r="G28" t="s">
        <v>6603</v>
      </c>
      <c r="H28" t="s">
        <v>6604</v>
      </c>
      <c r="I28" t="s">
        <v>6605</v>
      </c>
      <c r="J28" t="s">
        <v>6606</v>
      </c>
      <c r="K28" t="s">
        <v>6607</v>
      </c>
      <c r="L28" t="s">
        <v>6608</v>
      </c>
      <c r="M28" t="s">
        <v>5440</v>
      </c>
      <c r="N28" t="s">
        <v>6609</v>
      </c>
      <c r="O28" t="s">
        <v>6610</v>
      </c>
      <c r="P28" t="s">
        <v>6611</v>
      </c>
      <c r="Q28" t="s">
        <v>6612</v>
      </c>
      <c r="R28" t="s">
        <v>6613</v>
      </c>
      <c r="S28" t="s">
        <v>6614</v>
      </c>
      <c r="T28" t="s">
        <v>6615</v>
      </c>
      <c r="U28" t="s">
        <v>6616</v>
      </c>
      <c r="V28" t="s">
        <v>6617</v>
      </c>
      <c r="W28" t="s">
        <v>6618</v>
      </c>
      <c r="X28" t="s">
        <v>6619</v>
      </c>
      <c r="Y28" t="s">
        <v>6600</v>
      </c>
      <c r="Z28" t="s">
        <v>6579</v>
      </c>
      <c r="AA28" t="s">
        <v>6620</v>
      </c>
      <c r="AB28" t="s">
        <v>6581</v>
      </c>
      <c r="AC28" t="s">
        <v>6602</v>
      </c>
      <c r="AD28" t="s">
        <v>5120</v>
      </c>
    </row>
    <row r="29" spans="1:30" ht="15" customHeight="1">
      <c r="A29" t="s">
        <v>6484</v>
      </c>
      <c r="B29" t="s">
        <v>10</v>
      </c>
      <c r="C29" t="s">
        <v>476</v>
      </c>
      <c r="D29" t="s">
        <v>6560</v>
      </c>
      <c r="E29">
        <v>2023</v>
      </c>
      <c r="F29" t="s">
        <v>653</v>
      </c>
      <c r="G29" t="s">
        <v>6621</v>
      </c>
      <c r="H29" t="s">
        <v>6622</v>
      </c>
      <c r="I29" t="s">
        <v>6623</v>
      </c>
      <c r="J29" t="s">
        <v>6624</v>
      </c>
      <c r="K29" t="s">
        <v>6625</v>
      </c>
      <c r="L29" t="s">
        <v>6626</v>
      </c>
      <c r="M29" t="s">
        <v>6627</v>
      </c>
      <c r="N29" t="s">
        <v>6628</v>
      </c>
      <c r="O29" t="s">
        <v>6629</v>
      </c>
      <c r="P29" t="s">
        <v>6630</v>
      </c>
      <c r="Q29" t="s">
        <v>6631</v>
      </c>
      <c r="R29" t="s">
        <v>6632</v>
      </c>
      <c r="S29" t="s">
        <v>6633</v>
      </c>
      <c r="T29" t="s">
        <v>6634</v>
      </c>
      <c r="U29" t="s">
        <v>6575</v>
      </c>
      <c r="V29" t="s">
        <v>6635</v>
      </c>
      <c r="W29" t="s">
        <v>6636</v>
      </c>
      <c r="X29" t="s">
        <v>5451</v>
      </c>
      <c r="Y29" t="s">
        <v>5451</v>
      </c>
      <c r="Z29" t="s">
        <v>6579</v>
      </c>
      <c r="AA29" t="s">
        <v>6637</v>
      </c>
      <c r="AB29" t="s">
        <v>6579</v>
      </c>
      <c r="AC29" t="s">
        <v>6638</v>
      </c>
      <c r="AD29" t="s">
        <v>5070</v>
      </c>
    </row>
    <row r="31" spans="1:30" ht="15" customHeight="1">
      <c r="A31" s="8" t="s">
        <v>6639</v>
      </c>
    </row>
    <row r="32" spans="1:30" ht="1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row>
    <row r="33" spans="1:25" ht="15" customHeight="1">
      <c r="A33" t="s">
        <v>6473</v>
      </c>
      <c r="B33" t="s">
        <v>9</v>
      </c>
      <c r="C33" t="s">
        <v>1040</v>
      </c>
      <c r="D33" t="s">
        <v>6640</v>
      </c>
      <c r="E33">
        <v>1</v>
      </c>
      <c r="F33">
        <v>1</v>
      </c>
      <c r="G33">
        <v>1</v>
      </c>
      <c r="H33">
        <v>1</v>
      </c>
      <c r="I33">
        <v>1</v>
      </c>
      <c r="J33" t="s">
        <v>6641</v>
      </c>
      <c r="K33">
        <v>1</v>
      </c>
      <c r="L33">
        <v>1</v>
      </c>
      <c r="M33">
        <v>0</v>
      </c>
      <c r="N33">
        <v>0</v>
      </c>
      <c r="O33">
        <v>1</v>
      </c>
      <c r="P33">
        <v>0</v>
      </c>
      <c r="Q33" t="s">
        <v>6641</v>
      </c>
      <c r="R33" t="s">
        <v>6641</v>
      </c>
      <c r="S33" t="s">
        <v>6641</v>
      </c>
      <c r="T33">
        <v>1</v>
      </c>
      <c r="U33" t="s">
        <v>6641</v>
      </c>
      <c r="V33">
        <v>1</v>
      </c>
      <c r="W33" t="s">
        <v>6642</v>
      </c>
      <c r="X33" t="s">
        <v>6643</v>
      </c>
      <c r="Y33" t="s">
        <v>5752</v>
      </c>
    </row>
    <row r="34" spans="1:25" ht="15" customHeight="1">
      <c r="A34" t="s">
        <v>6475</v>
      </c>
      <c r="B34" t="s">
        <v>12</v>
      </c>
      <c r="C34" t="s">
        <v>1179</v>
      </c>
      <c r="D34" t="s">
        <v>6644</v>
      </c>
      <c r="E34">
        <v>1</v>
      </c>
      <c r="F34">
        <v>1</v>
      </c>
      <c r="G34" t="s">
        <v>6641</v>
      </c>
      <c r="H34">
        <v>1</v>
      </c>
      <c r="I34">
        <v>1</v>
      </c>
      <c r="J34" t="s">
        <v>6641</v>
      </c>
      <c r="K34">
        <v>1</v>
      </c>
      <c r="L34" t="s">
        <v>6641</v>
      </c>
      <c r="M34" t="s">
        <v>6641</v>
      </c>
      <c r="N34">
        <v>0</v>
      </c>
      <c r="O34">
        <v>1</v>
      </c>
      <c r="P34" t="s">
        <v>6641</v>
      </c>
      <c r="Q34" t="s">
        <v>6641</v>
      </c>
      <c r="R34" t="s">
        <v>6641</v>
      </c>
      <c r="S34" t="s">
        <v>6641</v>
      </c>
      <c r="T34" t="s">
        <v>6641</v>
      </c>
      <c r="U34" t="s">
        <v>6641</v>
      </c>
      <c r="V34">
        <v>1</v>
      </c>
      <c r="W34">
        <v>12</v>
      </c>
      <c r="X34" t="s">
        <v>6645</v>
      </c>
      <c r="Y34" t="s">
        <v>5752</v>
      </c>
    </row>
    <row r="35" spans="1:25" ht="15" customHeight="1">
      <c r="A35" t="s">
        <v>6477</v>
      </c>
      <c r="B35" t="s">
        <v>12</v>
      </c>
      <c r="C35" t="s">
        <v>849</v>
      </c>
      <c r="D35" t="s">
        <v>6646</v>
      </c>
      <c r="E35">
        <v>1</v>
      </c>
      <c r="F35">
        <v>1</v>
      </c>
      <c r="G35">
        <v>1</v>
      </c>
      <c r="H35">
        <v>1</v>
      </c>
      <c r="I35">
        <v>1</v>
      </c>
      <c r="J35" t="s">
        <v>6641</v>
      </c>
      <c r="K35">
        <v>1</v>
      </c>
      <c r="L35" t="s">
        <v>6641</v>
      </c>
      <c r="M35">
        <v>0</v>
      </c>
      <c r="N35">
        <v>0</v>
      </c>
      <c r="O35">
        <v>1</v>
      </c>
      <c r="P35">
        <v>0</v>
      </c>
      <c r="Q35" t="s">
        <v>6641</v>
      </c>
      <c r="R35" t="s">
        <v>6641</v>
      </c>
      <c r="S35" t="s">
        <v>6641</v>
      </c>
      <c r="T35">
        <v>1</v>
      </c>
      <c r="U35" t="s">
        <v>6641</v>
      </c>
      <c r="V35">
        <v>1</v>
      </c>
      <c r="W35">
        <v>12</v>
      </c>
      <c r="X35" t="s">
        <v>6645</v>
      </c>
      <c r="Y35" t="s">
        <v>5752</v>
      </c>
    </row>
    <row r="36" spans="1:25" ht="15" customHeight="1">
      <c r="A36" t="s">
        <v>6479</v>
      </c>
      <c r="B36" t="s">
        <v>10</v>
      </c>
      <c r="C36" t="s">
        <v>454</v>
      </c>
      <c r="D36" t="s">
        <v>6647</v>
      </c>
      <c r="E36">
        <v>1</v>
      </c>
      <c r="F36">
        <v>1</v>
      </c>
      <c r="G36" t="s">
        <v>6641</v>
      </c>
      <c r="H36">
        <v>1</v>
      </c>
      <c r="I36">
        <v>1</v>
      </c>
      <c r="J36" t="s">
        <v>6641</v>
      </c>
      <c r="K36">
        <v>1</v>
      </c>
      <c r="L36">
        <v>1</v>
      </c>
      <c r="M36">
        <v>0</v>
      </c>
      <c r="N36">
        <v>0</v>
      </c>
      <c r="O36">
        <v>1</v>
      </c>
      <c r="P36">
        <v>0</v>
      </c>
      <c r="Q36" t="s">
        <v>6641</v>
      </c>
      <c r="R36" t="s">
        <v>6641</v>
      </c>
      <c r="S36" t="s">
        <v>6641</v>
      </c>
      <c r="T36">
        <v>1</v>
      </c>
      <c r="U36" t="s">
        <v>6641</v>
      </c>
      <c r="V36">
        <v>1</v>
      </c>
      <c r="W36">
        <v>12</v>
      </c>
      <c r="X36" t="s">
        <v>6645</v>
      </c>
      <c r="Y36" t="s">
        <v>5752</v>
      </c>
    </row>
    <row r="37" spans="1:25" ht="15" customHeight="1">
      <c r="A37" t="s">
        <v>6482</v>
      </c>
      <c r="B37" t="s">
        <v>10</v>
      </c>
      <c r="C37" t="s">
        <v>464</v>
      </c>
      <c r="D37" t="s">
        <v>6648</v>
      </c>
      <c r="E37">
        <v>1</v>
      </c>
      <c r="F37">
        <v>1</v>
      </c>
      <c r="G37">
        <v>1</v>
      </c>
      <c r="H37">
        <v>1</v>
      </c>
      <c r="I37">
        <v>1</v>
      </c>
      <c r="J37" t="s">
        <v>6641</v>
      </c>
      <c r="K37">
        <v>1</v>
      </c>
      <c r="L37">
        <v>1</v>
      </c>
      <c r="M37">
        <v>0</v>
      </c>
      <c r="N37">
        <v>0</v>
      </c>
      <c r="O37">
        <v>1</v>
      </c>
      <c r="P37">
        <v>0</v>
      </c>
      <c r="Q37" t="s">
        <v>6641</v>
      </c>
      <c r="R37" t="s">
        <v>6641</v>
      </c>
      <c r="S37" t="s">
        <v>6641</v>
      </c>
      <c r="T37">
        <v>1</v>
      </c>
      <c r="U37" t="s">
        <v>6641</v>
      </c>
      <c r="V37">
        <v>1</v>
      </c>
      <c r="W37" t="s">
        <v>6642</v>
      </c>
      <c r="X37" t="s">
        <v>6643</v>
      </c>
      <c r="Y37" t="s">
        <v>5752</v>
      </c>
    </row>
    <row r="38" spans="1:25" ht="15" customHeight="1">
      <c r="A38" t="s">
        <v>6483</v>
      </c>
      <c r="B38" t="s">
        <v>10</v>
      </c>
      <c r="C38" t="s">
        <v>468</v>
      </c>
      <c r="D38" t="s">
        <v>6649</v>
      </c>
      <c r="E38">
        <v>1</v>
      </c>
      <c r="F38">
        <v>1</v>
      </c>
      <c r="G38">
        <v>1</v>
      </c>
      <c r="H38">
        <v>1</v>
      </c>
      <c r="I38">
        <v>1</v>
      </c>
      <c r="J38" t="s">
        <v>6641</v>
      </c>
      <c r="K38">
        <v>1</v>
      </c>
      <c r="L38" t="s">
        <v>6641</v>
      </c>
      <c r="M38" t="s">
        <v>6641</v>
      </c>
      <c r="N38">
        <v>0</v>
      </c>
      <c r="O38">
        <v>1</v>
      </c>
      <c r="P38">
        <v>0</v>
      </c>
      <c r="Q38" t="s">
        <v>6641</v>
      </c>
      <c r="R38" t="s">
        <v>6641</v>
      </c>
      <c r="S38" t="s">
        <v>6641</v>
      </c>
      <c r="T38">
        <v>1</v>
      </c>
      <c r="U38" t="s">
        <v>6641</v>
      </c>
      <c r="V38">
        <v>1</v>
      </c>
      <c r="W38" t="s">
        <v>6642</v>
      </c>
      <c r="X38" t="s">
        <v>6643</v>
      </c>
      <c r="Y38" t="s">
        <v>5752</v>
      </c>
    </row>
    <row r="39" spans="1:25" ht="15" customHeight="1">
      <c r="A39" t="s">
        <v>6484</v>
      </c>
      <c r="B39" t="s">
        <v>10</v>
      </c>
      <c r="C39" t="s">
        <v>476</v>
      </c>
      <c r="D39" t="s">
        <v>6650</v>
      </c>
      <c r="E39">
        <v>1</v>
      </c>
      <c r="F39">
        <v>1</v>
      </c>
      <c r="G39" t="s">
        <v>6641</v>
      </c>
      <c r="H39">
        <v>1</v>
      </c>
      <c r="I39">
        <v>1</v>
      </c>
      <c r="J39" t="s">
        <v>6641</v>
      </c>
      <c r="K39">
        <v>1</v>
      </c>
      <c r="L39">
        <v>1</v>
      </c>
      <c r="M39">
        <v>0</v>
      </c>
      <c r="N39">
        <v>0</v>
      </c>
      <c r="O39">
        <v>1</v>
      </c>
      <c r="P39" t="s">
        <v>6641</v>
      </c>
      <c r="Q39" t="s">
        <v>6641</v>
      </c>
      <c r="R39" t="s">
        <v>6641</v>
      </c>
      <c r="S39" t="s">
        <v>6641</v>
      </c>
      <c r="T39">
        <v>1</v>
      </c>
      <c r="U39" t="s">
        <v>6641</v>
      </c>
      <c r="V39">
        <v>1</v>
      </c>
      <c r="W39" t="s">
        <v>6642</v>
      </c>
      <c r="X39" t="s">
        <v>6643</v>
      </c>
      <c r="Y39" t="s">
        <v>5752</v>
      </c>
    </row>
  </sheetData>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33"/>
  <sheetViews>
    <sheetView zoomScaleNormal="100" workbookViewId="0"/>
  </sheetViews>
  <sheetFormatPr defaultColWidth="8.5703125" defaultRowHeight="14.45"/>
  <cols>
    <col min="1" max="1" width="55" customWidth="1"/>
    <col min="4" max="4" width="80" customWidth="1"/>
  </cols>
  <sheetData>
    <row r="1" spans="1:4" ht="15" customHeight="1">
      <c r="A1" s="43" t="s">
        <v>6651</v>
      </c>
      <c r="B1" s="43" t="s">
        <v>6123</v>
      </c>
      <c r="C1" s="43" t="s">
        <v>6652</v>
      </c>
      <c r="D1" s="43" t="s">
        <v>6653</v>
      </c>
    </row>
    <row r="2" spans="1:4" ht="15" customHeight="1">
      <c r="A2" t="s">
        <v>6654</v>
      </c>
      <c r="B2">
        <f>COUNTA(Final_Included_Studies!A2:A35)</f>
        <v>27</v>
      </c>
      <c r="D2" t="s">
        <v>6655</v>
      </c>
    </row>
    <row r="3" spans="1:4" ht="15" customHeight="1">
      <c r="A3" t="s">
        <v>6656</v>
      </c>
      <c r="B3">
        <f>COUNTIF('Data Extraction'!E2:E28,2015)</f>
        <v>1</v>
      </c>
      <c r="C3" s="32">
        <f t="shared" ref="C3:C31" si="0">B3/$B$2</f>
        <v>3.7037037037037035E-2</v>
      </c>
      <c r="D3" t="s">
        <v>6657</v>
      </c>
    </row>
    <row r="4" spans="1:4" ht="15" customHeight="1">
      <c r="A4" t="s">
        <v>6658</v>
      </c>
      <c r="B4">
        <f>COUNTIF('Data Extraction'!E2:E28,2021)</f>
        <v>2</v>
      </c>
      <c r="C4" s="32">
        <f t="shared" si="0"/>
        <v>7.407407407407407E-2</v>
      </c>
      <c r="D4" t="s">
        <v>6657</v>
      </c>
    </row>
    <row r="5" spans="1:4" ht="15" customHeight="1">
      <c r="A5" t="s">
        <v>6659</v>
      </c>
      <c r="B5">
        <f>COUNTIF('Data Extraction'!E2:E28,2023)</f>
        <v>1</v>
      </c>
      <c r="C5" s="32">
        <f t="shared" si="0"/>
        <v>3.7037037037037035E-2</v>
      </c>
      <c r="D5" t="s">
        <v>6657</v>
      </c>
    </row>
    <row r="6" spans="1:4" ht="15" customHeight="1">
      <c r="A6" t="s">
        <v>6660</v>
      </c>
      <c r="B6">
        <f>COUNTIF('Data Extraction'!E2:E28,2024)</f>
        <v>4</v>
      </c>
      <c r="C6" s="32">
        <f t="shared" si="0"/>
        <v>0.14814814814814814</v>
      </c>
      <c r="D6" t="s">
        <v>6657</v>
      </c>
    </row>
    <row r="7" spans="1:4" ht="15" customHeight="1">
      <c r="A7" t="s">
        <v>6661</v>
      </c>
      <c r="B7">
        <f>COUNTIF('Data Extraction'!E2:E28,2025)</f>
        <v>5</v>
      </c>
      <c r="C7" s="32">
        <f t="shared" si="0"/>
        <v>0.18518518518518517</v>
      </c>
      <c r="D7" t="s">
        <v>6657</v>
      </c>
    </row>
    <row r="8" spans="1:4" ht="15" customHeight="1">
      <c r="A8" t="s">
        <v>6662</v>
      </c>
      <c r="B8">
        <f>COUNTIF('Data Extraction'!E2:E28,2026)</f>
        <v>14</v>
      </c>
      <c r="C8" s="32">
        <f t="shared" si="0"/>
        <v>0.51851851851851849</v>
      </c>
      <c r="D8" t="s">
        <v>6657</v>
      </c>
    </row>
    <row r="9" spans="1:4" ht="15" customHeight="1">
      <c r="A9" t="s">
        <v>6663</v>
      </c>
      <c r="B9">
        <f>COUNTIF(Final_Included_Studies!B2:B35,"IEEE Xplore")</f>
        <v>2</v>
      </c>
      <c r="C9" s="32">
        <f t="shared" si="0"/>
        <v>7.407407407407407E-2</v>
      </c>
      <c r="D9" t="s">
        <v>6664</v>
      </c>
    </row>
    <row r="10" spans="1:4" ht="15" customHeight="1">
      <c r="A10" t="s">
        <v>6665</v>
      </c>
      <c r="B10">
        <f>COUNTIF(Final_Included_Studies!B2:B35,"SpringerLink")</f>
        <v>2</v>
      </c>
      <c r="C10" s="32">
        <f t="shared" si="0"/>
        <v>7.407407407407407E-2</v>
      </c>
      <c r="D10" t="s">
        <v>6664</v>
      </c>
    </row>
    <row r="11" spans="1:4" ht="15" customHeight="1">
      <c r="A11" t="s">
        <v>6666</v>
      </c>
      <c r="B11">
        <f>COUNTIF(Final_Included_Studies!B2:B35,"ScienceDirect")</f>
        <v>9</v>
      </c>
      <c r="C11" s="32">
        <f t="shared" si="0"/>
        <v>0.33333333333333331</v>
      </c>
      <c r="D11" t="s">
        <v>6664</v>
      </c>
    </row>
    <row r="12" spans="1:4" ht="15" customHeight="1">
      <c r="A12" t="s">
        <v>6667</v>
      </c>
      <c r="B12">
        <f>COUNTIF(Final_Included_Studies!B2:B35,"ACM Digital Library")</f>
        <v>6</v>
      </c>
      <c r="C12" s="32">
        <f t="shared" si="0"/>
        <v>0.22222222222222221</v>
      </c>
      <c r="D12" t="s">
        <v>6664</v>
      </c>
    </row>
    <row r="13" spans="1:4" ht="15" customHeight="1">
      <c r="A13" t="s">
        <v>6668</v>
      </c>
      <c r="B13">
        <f>COUNTIF(Final_Included_Studies!B2:B35,"Scopus")</f>
        <v>4</v>
      </c>
      <c r="C13" s="32">
        <f t="shared" si="0"/>
        <v>0.14814814814814814</v>
      </c>
      <c r="D13" t="s">
        <v>6664</v>
      </c>
    </row>
    <row r="14" spans="1:4" ht="15" customHeight="1">
      <c r="A14" t="s">
        <v>6669</v>
      </c>
      <c r="B14">
        <f>COUNTIF(Final_Included_Studies!B2:B35,"Web of Science")</f>
        <v>4</v>
      </c>
      <c r="C14" s="32">
        <f t="shared" si="0"/>
        <v>0.14814814814814814</v>
      </c>
      <c r="D14" t="s">
        <v>6664</v>
      </c>
    </row>
    <row r="15" spans="1:4" ht="15" customHeight="1">
      <c r="A15" t="s">
        <v>6670</v>
      </c>
      <c r="B15">
        <f>Study_Coding!C30</f>
        <v>23</v>
      </c>
      <c r="C15" s="32">
        <f t="shared" si="0"/>
        <v>0.85185185185185186</v>
      </c>
      <c r="D15" t="s">
        <v>6671</v>
      </c>
    </row>
    <row r="16" spans="1:4" ht="15" customHeight="1">
      <c r="A16" t="s">
        <v>6672</v>
      </c>
      <c r="B16">
        <f>Study_Coding!D30</f>
        <v>3</v>
      </c>
      <c r="C16" s="32">
        <f t="shared" si="0"/>
        <v>0.1111111111111111</v>
      </c>
      <c r="D16" t="s">
        <v>6671</v>
      </c>
    </row>
    <row r="17" spans="1:4" ht="15" customHeight="1">
      <c r="A17" t="s">
        <v>6673</v>
      </c>
      <c r="B17">
        <f>Study_Coding!E30</f>
        <v>2</v>
      </c>
      <c r="C17" s="32">
        <f t="shared" si="0"/>
        <v>7.407407407407407E-2</v>
      </c>
      <c r="D17" t="s">
        <v>6671</v>
      </c>
    </row>
    <row r="18" spans="1:4" ht="15" customHeight="1">
      <c r="A18" t="s">
        <v>6674</v>
      </c>
      <c r="B18">
        <f>Study_Coding!F30</f>
        <v>2</v>
      </c>
      <c r="C18" s="32">
        <f t="shared" si="0"/>
        <v>7.407407407407407E-2</v>
      </c>
      <c r="D18" t="s">
        <v>6671</v>
      </c>
    </row>
    <row r="19" spans="1:4" ht="15" customHeight="1">
      <c r="A19" t="s">
        <v>6675</v>
      </c>
      <c r="B19">
        <f>Study_Coding!G30</f>
        <v>0</v>
      </c>
      <c r="C19" s="32">
        <f t="shared" si="0"/>
        <v>0</v>
      </c>
      <c r="D19" t="s">
        <v>6671</v>
      </c>
    </row>
    <row r="20" spans="1:4" ht="15" customHeight="1">
      <c r="A20" t="s">
        <v>6676</v>
      </c>
      <c r="B20">
        <f>Study_Coding!H30</f>
        <v>4</v>
      </c>
      <c r="C20" s="32">
        <f t="shared" si="0"/>
        <v>0.14814814814814814</v>
      </c>
      <c r="D20" t="s">
        <v>6671</v>
      </c>
    </row>
    <row r="21" spans="1:4" ht="15" customHeight="1">
      <c r="A21" t="s">
        <v>6677</v>
      </c>
      <c r="B21">
        <f>Study_Coding!I30</f>
        <v>2</v>
      </c>
      <c r="C21" s="32">
        <f t="shared" si="0"/>
        <v>7.407407407407407E-2</v>
      </c>
      <c r="D21" t="s">
        <v>6671</v>
      </c>
    </row>
    <row r="22" spans="1:4" ht="15" customHeight="1">
      <c r="A22" t="s">
        <v>6678</v>
      </c>
      <c r="B22">
        <v>3</v>
      </c>
      <c r="C22" s="32">
        <f t="shared" si="0"/>
        <v>0.1111111111111111</v>
      </c>
      <c r="D22" t="s">
        <v>6679</v>
      </c>
    </row>
    <row r="23" spans="1:4" ht="15" customHeight="1">
      <c r="A23" t="s">
        <v>6680</v>
      </c>
      <c r="B23">
        <v>2</v>
      </c>
      <c r="C23" s="32">
        <f t="shared" si="0"/>
        <v>7.407407407407407E-2</v>
      </c>
      <c r="D23" t="s">
        <v>6681</v>
      </c>
    </row>
    <row r="24" spans="1:4" ht="15" customHeight="1">
      <c r="A24" t="s">
        <v>6682</v>
      </c>
      <c r="B24">
        <v>1</v>
      </c>
      <c r="C24" s="32">
        <f t="shared" si="0"/>
        <v>3.7037037037037035E-2</v>
      </c>
      <c r="D24" t="s">
        <v>5263</v>
      </c>
    </row>
    <row r="25" spans="1:4" ht="15" customHeight="1">
      <c r="A25" t="s">
        <v>6683</v>
      </c>
      <c r="B25">
        <v>1</v>
      </c>
      <c r="C25" s="32">
        <f t="shared" si="0"/>
        <v>3.7037037037037035E-2</v>
      </c>
      <c r="D25" t="s">
        <v>5357</v>
      </c>
    </row>
    <row r="26" spans="1:4" ht="15" customHeight="1">
      <c r="A26" t="s">
        <v>6684</v>
      </c>
      <c r="B26">
        <v>0</v>
      </c>
      <c r="C26" s="32">
        <f t="shared" si="0"/>
        <v>0</v>
      </c>
      <c r="D26" t="s">
        <v>6224</v>
      </c>
    </row>
    <row r="27" spans="1:4" ht="15" customHeight="1">
      <c r="A27" t="s">
        <v>6685</v>
      </c>
      <c r="B27">
        <v>0</v>
      </c>
      <c r="C27" s="32">
        <f t="shared" si="0"/>
        <v>0</v>
      </c>
      <c r="D27" t="s">
        <v>6224</v>
      </c>
    </row>
    <row r="28" spans="1:4" ht="15" customHeight="1">
      <c r="A28" t="s">
        <v>6686</v>
      </c>
      <c r="B28">
        <v>20</v>
      </c>
      <c r="C28" s="32">
        <f t="shared" si="0"/>
        <v>0.7407407407407407</v>
      </c>
      <c r="D28" t="s">
        <v>6687</v>
      </c>
    </row>
    <row r="29" spans="1:4" ht="15" customHeight="1">
      <c r="A29" t="s">
        <v>6688</v>
      </c>
      <c r="B29">
        <v>18</v>
      </c>
      <c r="C29" s="32">
        <f t="shared" si="0"/>
        <v>0.66666666666666663</v>
      </c>
      <c r="D29" t="s">
        <v>6689</v>
      </c>
    </row>
    <row r="30" spans="1:4" ht="15" customHeight="1">
      <c r="A30" t="s">
        <v>6690</v>
      </c>
      <c r="B30">
        <v>8</v>
      </c>
      <c r="C30" s="32">
        <f t="shared" si="0"/>
        <v>0.29629629629629628</v>
      </c>
      <c r="D30" t="s">
        <v>6691</v>
      </c>
    </row>
    <row r="31" spans="1:4" ht="15" customHeight="1">
      <c r="A31" t="s">
        <v>6692</v>
      </c>
      <c r="B31">
        <v>1</v>
      </c>
      <c r="C31" s="32">
        <f t="shared" si="0"/>
        <v>3.7037037037037035E-2</v>
      </c>
      <c r="D31" t="s">
        <v>5096</v>
      </c>
    </row>
    <row r="33" spans="1:1" ht="15" customHeight="1">
      <c r="A33" t="s">
        <v>6693</v>
      </c>
    </row>
  </sheetData>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174"/>
  <sheetViews>
    <sheetView zoomScaleNormal="100" workbookViewId="0"/>
  </sheetViews>
  <sheetFormatPr defaultColWidth="8.5703125" defaultRowHeight="14.45"/>
  <cols>
    <col min="2" max="2" width="38" customWidth="1"/>
    <col min="3" max="3" width="45" customWidth="1"/>
    <col min="4" max="4" width="80" customWidth="1"/>
  </cols>
  <sheetData>
    <row r="1" spans="1:4" ht="15" customHeight="1">
      <c r="A1" s="8" t="s">
        <v>6694</v>
      </c>
    </row>
    <row r="2" spans="1:4" ht="15" customHeight="1">
      <c r="A2" s="9" t="s">
        <v>446</v>
      </c>
      <c r="B2" s="9" t="s">
        <v>18</v>
      </c>
      <c r="C2" s="9" t="s">
        <v>6695</v>
      </c>
      <c r="D2" s="9" t="s">
        <v>6696</v>
      </c>
    </row>
    <row r="3" spans="1:4" ht="54.75" customHeight="1">
      <c r="A3">
        <v>1</v>
      </c>
      <c r="B3" s="7" t="s">
        <v>6697</v>
      </c>
      <c r="C3" s="7" t="s">
        <v>6698</v>
      </c>
      <c r="D3" s="7"/>
    </row>
    <row r="4" spans="1:4" ht="15" customHeight="1">
      <c r="A4">
        <v>2</v>
      </c>
      <c r="B4" s="7" t="s">
        <v>6699</v>
      </c>
      <c r="C4" s="7" t="s">
        <v>6700</v>
      </c>
      <c r="D4" s="7" t="s">
        <v>6701</v>
      </c>
    </row>
    <row r="5" spans="1:4" ht="15" customHeight="1">
      <c r="A5">
        <v>3</v>
      </c>
      <c r="B5" s="7" t="s">
        <v>6702</v>
      </c>
      <c r="C5" s="7" t="s">
        <v>6700</v>
      </c>
      <c r="D5" s="7" t="s">
        <v>6703</v>
      </c>
    </row>
    <row r="6" spans="1:4" ht="15" customHeight="1">
      <c r="A6">
        <v>4</v>
      </c>
      <c r="B6" s="7" t="s">
        <v>6704</v>
      </c>
      <c r="C6" s="7" t="s">
        <v>6700</v>
      </c>
      <c r="D6" s="7" t="s">
        <v>6705</v>
      </c>
    </row>
    <row r="7" spans="1:4" ht="15" customHeight="1">
      <c r="A7">
        <v>5</v>
      </c>
      <c r="B7" s="7" t="s">
        <v>6706</v>
      </c>
      <c r="C7" s="7" t="s">
        <v>6700</v>
      </c>
      <c r="D7" s="7" t="s">
        <v>6707</v>
      </c>
    </row>
    <row r="8" spans="1:4" ht="15" customHeight="1">
      <c r="A8">
        <v>6</v>
      </c>
      <c r="B8" s="7" t="s">
        <v>6708</v>
      </c>
      <c r="C8" s="7" t="s">
        <v>6709</v>
      </c>
      <c r="D8" s="7"/>
    </row>
    <row r="9" spans="1:4" ht="27.75" customHeight="1">
      <c r="A9">
        <v>7</v>
      </c>
      <c r="B9" s="7" t="s">
        <v>6710</v>
      </c>
      <c r="C9" s="7" t="s">
        <v>6711</v>
      </c>
      <c r="D9" s="7"/>
    </row>
    <row r="10" spans="1:4" ht="27.75" customHeight="1">
      <c r="A10">
        <v>8</v>
      </c>
      <c r="B10" s="7" t="s">
        <v>6712</v>
      </c>
      <c r="C10" s="7" t="s">
        <v>6713</v>
      </c>
      <c r="D10" s="7" t="s">
        <v>6714</v>
      </c>
    </row>
    <row r="11" spans="1:4" ht="27.75" customHeight="1">
      <c r="A11">
        <v>9</v>
      </c>
      <c r="B11" s="7" t="s">
        <v>6715</v>
      </c>
      <c r="C11" s="7" t="s">
        <v>6713</v>
      </c>
      <c r="D11" s="7" t="s">
        <v>6714</v>
      </c>
    </row>
    <row r="12" spans="1:4" ht="27.75" customHeight="1">
      <c r="A12">
        <v>10</v>
      </c>
      <c r="B12" s="7" t="s">
        <v>6716</v>
      </c>
      <c r="C12" s="7" t="s">
        <v>6713</v>
      </c>
      <c r="D12" s="7" t="s">
        <v>6714</v>
      </c>
    </row>
    <row r="13" spans="1:4" ht="27.75" customHeight="1">
      <c r="A13">
        <v>11</v>
      </c>
      <c r="B13" s="7" t="s">
        <v>6717</v>
      </c>
      <c r="C13" s="7" t="s">
        <v>6713</v>
      </c>
      <c r="D13" s="7" t="s">
        <v>6714</v>
      </c>
    </row>
    <row r="14" spans="1:4" ht="15" customHeight="1">
      <c r="A14">
        <v>12</v>
      </c>
      <c r="B14" s="7" t="s">
        <v>6718</v>
      </c>
      <c r="C14" s="7" t="s">
        <v>6719</v>
      </c>
      <c r="D14" s="7" t="s">
        <v>6720</v>
      </c>
    </row>
    <row r="15" spans="1:4" ht="41.25" customHeight="1">
      <c r="A15">
        <v>13</v>
      </c>
      <c r="B15" s="7" t="s">
        <v>6721</v>
      </c>
      <c r="C15" s="7" t="s">
        <v>6722</v>
      </c>
      <c r="D15" s="7"/>
    </row>
    <row r="16" spans="1:4" ht="15" customHeight="1">
      <c r="A16">
        <v>14</v>
      </c>
      <c r="B16" s="7" t="s">
        <v>6723</v>
      </c>
      <c r="C16" s="7" t="s">
        <v>6719</v>
      </c>
      <c r="D16" s="7" t="s">
        <v>6724</v>
      </c>
    </row>
    <row r="17" spans="1:4" ht="15" customHeight="1">
      <c r="A17">
        <v>15</v>
      </c>
      <c r="B17" s="7" t="s">
        <v>6725</v>
      </c>
      <c r="C17" s="7" t="s">
        <v>6700</v>
      </c>
      <c r="D17" s="7" t="s">
        <v>6726</v>
      </c>
    </row>
    <row r="18" spans="1:4" ht="15" customHeight="1">
      <c r="A18">
        <v>16</v>
      </c>
      <c r="B18" s="7" t="s">
        <v>6727</v>
      </c>
      <c r="C18" s="7" t="s">
        <v>6700</v>
      </c>
      <c r="D18" s="7" t="s">
        <v>6728</v>
      </c>
    </row>
    <row r="19" spans="1:4" ht="15" customHeight="1">
      <c r="A19">
        <v>17</v>
      </c>
      <c r="B19" s="7" t="s">
        <v>6729</v>
      </c>
      <c r="C19" s="7" t="s">
        <v>6730</v>
      </c>
      <c r="D19" s="7"/>
    </row>
    <row r="20" spans="1:4" ht="15" customHeight="1">
      <c r="A20">
        <v>18</v>
      </c>
      <c r="B20" s="7" t="s">
        <v>6731</v>
      </c>
      <c r="C20" s="7" t="s">
        <v>6732</v>
      </c>
      <c r="D20" s="7"/>
    </row>
    <row r="21" spans="1:4" ht="15" customHeight="1">
      <c r="A21">
        <v>19</v>
      </c>
      <c r="B21" s="7" t="s">
        <v>6733</v>
      </c>
      <c r="C21" s="7" t="s">
        <v>6734</v>
      </c>
      <c r="D21" s="7"/>
    </row>
    <row r="22" spans="1:4" ht="15" customHeight="1">
      <c r="A22">
        <v>20</v>
      </c>
      <c r="B22" s="7" t="s">
        <v>6735</v>
      </c>
      <c r="C22" s="7" t="s">
        <v>6713</v>
      </c>
      <c r="D22" s="7" t="s">
        <v>6736</v>
      </c>
    </row>
    <row r="23" spans="1:4" ht="41.25" customHeight="1">
      <c r="A23">
        <v>21</v>
      </c>
      <c r="B23" s="7" t="s">
        <v>6737</v>
      </c>
      <c r="C23" s="7" t="s">
        <v>6738</v>
      </c>
      <c r="D23" s="7"/>
    </row>
    <row r="24" spans="1:4" ht="15" customHeight="1">
      <c r="A24">
        <v>22</v>
      </c>
      <c r="B24" s="7" t="s">
        <v>6739</v>
      </c>
      <c r="C24" s="7" t="s">
        <v>6700</v>
      </c>
      <c r="D24" s="7" t="s">
        <v>6740</v>
      </c>
    </row>
    <row r="25" spans="1:4" ht="54.75" customHeight="1">
      <c r="A25">
        <v>23</v>
      </c>
      <c r="B25" s="7" t="s">
        <v>6741</v>
      </c>
      <c r="C25" s="7" t="s">
        <v>6742</v>
      </c>
      <c r="D25" s="7"/>
    </row>
    <row r="26" spans="1:4" ht="15" customHeight="1">
      <c r="A26">
        <v>24</v>
      </c>
      <c r="B26" s="7" t="s">
        <v>6743</v>
      </c>
      <c r="C26" s="7" t="s">
        <v>6744</v>
      </c>
      <c r="D26" s="7"/>
    </row>
    <row r="27" spans="1:4" ht="27.75" customHeight="1">
      <c r="A27">
        <v>25</v>
      </c>
      <c r="B27" s="7" t="s">
        <v>6745</v>
      </c>
      <c r="C27" s="7" t="s">
        <v>6746</v>
      </c>
      <c r="D27" s="7"/>
    </row>
    <row r="28" spans="1:4" ht="15" customHeight="1">
      <c r="A28">
        <v>26</v>
      </c>
      <c r="B28" s="7" t="s">
        <v>6747</v>
      </c>
      <c r="C28" s="7" t="s">
        <v>6748</v>
      </c>
      <c r="D28" s="7"/>
    </row>
    <row r="29" spans="1:4" ht="15" customHeight="1">
      <c r="A29">
        <v>27</v>
      </c>
      <c r="B29" s="7" t="s">
        <v>6749</v>
      </c>
      <c r="C29" s="7" t="s">
        <v>6700</v>
      </c>
      <c r="D29" s="7" t="s">
        <v>6750</v>
      </c>
    </row>
    <row r="30" spans="1:4" ht="27.75" customHeight="1">
      <c r="A30">
        <v>28</v>
      </c>
      <c r="B30" s="7" t="s">
        <v>6751</v>
      </c>
      <c r="C30" s="7" t="s">
        <v>6700</v>
      </c>
      <c r="D30" s="7" t="s">
        <v>6752</v>
      </c>
    </row>
    <row r="31" spans="1:4" ht="27.75" customHeight="1">
      <c r="A31">
        <v>29</v>
      </c>
      <c r="B31" s="7" t="s">
        <v>6753</v>
      </c>
      <c r="C31" s="7" t="s">
        <v>6754</v>
      </c>
      <c r="D31" s="7"/>
    </row>
    <row r="32" spans="1:4" ht="15" customHeight="1">
      <c r="A32">
        <v>30</v>
      </c>
      <c r="B32" s="7" t="s">
        <v>6755</v>
      </c>
      <c r="C32" s="7" t="s">
        <v>6700</v>
      </c>
      <c r="D32" s="7" t="s">
        <v>6756</v>
      </c>
    </row>
    <row r="33" spans="1:4" ht="27.75" customHeight="1">
      <c r="A33">
        <v>31</v>
      </c>
      <c r="B33" s="7" t="s">
        <v>6757</v>
      </c>
      <c r="C33" s="7" t="s">
        <v>6758</v>
      </c>
      <c r="D33" s="7" t="s">
        <v>6759</v>
      </c>
    </row>
    <row r="34" spans="1:4" ht="27.75" customHeight="1">
      <c r="A34">
        <v>32</v>
      </c>
      <c r="B34" s="7" t="s">
        <v>6760</v>
      </c>
      <c r="C34" s="7" t="s">
        <v>6761</v>
      </c>
      <c r="D34" s="7"/>
    </row>
    <row r="35" spans="1:4" ht="15" customHeight="1">
      <c r="A35">
        <v>33</v>
      </c>
      <c r="B35" s="7" t="s">
        <v>6762</v>
      </c>
      <c r="C35" s="7" t="s">
        <v>6713</v>
      </c>
      <c r="D35" s="7" t="s">
        <v>6763</v>
      </c>
    </row>
    <row r="36" spans="1:4" ht="15" customHeight="1">
      <c r="A36">
        <v>34</v>
      </c>
      <c r="B36" s="7" t="s">
        <v>6764</v>
      </c>
      <c r="C36" s="7" t="s">
        <v>6700</v>
      </c>
      <c r="D36" s="7" t="s">
        <v>6765</v>
      </c>
    </row>
    <row r="37" spans="1:4" ht="27.75" customHeight="1">
      <c r="A37">
        <v>35</v>
      </c>
      <c r="B37" s="7" t="s">
        <v>6766</v>
      </c>
      <c r="C37" s="7" t="s">
        <v>6700</v>
      </c>
      <c r="D37" s="7" t="s">
        <v>6767</v>
      </c>
    </row>
    <row r="38" spans="1:4" ht="27.75" customHeight="1">
      <c r="A38">
        <v>36</v>
      </c>
      <c r="B38" s="7" t="s">
        <v>6768</v>
      </c>
      <c r="C38" s="7" t="s">
        <v>6700</v>
      </c>
      <c r="D38" s="7" t="s">
        <v>6769</v>
      </c>
    </row>
    <row r="39" spans="1:4" ht="15" customHeight="1">
      <c r="A39">
        <v>37</v>
      </c>
      <c r="B39" s="7" t="s">
        <v>6770</v>
      </c>
      <c r="C39" s="7" t="s">
        <v>6700</v>
      </c>
      <c r="D39" s="7" t="s">
        <v>6771</v>
      </c>
    </row>
    <row r="40" spans="1:4" ht="15" customHeight="1">
      <c r="A40">
        <v>38</v>
      </c>
      <c r="B40" s="7" t="s">
        <v>6772</v>
      </c>
      <c r="C40" s="7" t="s">
        <v>6700</v>
      </c>
      <c r="D40" s="7" t="s">
        <v>6773</v>
      </c>
    </row>
    <row r="41" spans="1:4" ht="15" customHeight="1">
      <c r="A41">
        <v>39</v>
      </c>
      <c r="B41" s="7" t="s">
        <v>6774</v>
      </c>
      <c r="C41" s="7" t="s">
        <v>6700</v>
      </c>
      <c r="D41" s="7" t="s">
        <v>6775</v>
      </c>
    </row>
    <row r="42" spans="1:4" ht="27.75" customHeight="1">
      <c r="A42">
        <v>40</v>
      </c>
      <c r="B42" s="7" t="s">
        <v>6776</v>
      </c>
      <c r="C42" s="7" t="s">
        <v>6700</v>
      </c>
      <c r="D42" s="7" t="s">
        <v>6777</v>
      </c>
    </row>
    <row r="43" spans="1:4" ht="15" customHeight="1">
      <c r="A43">
        <v>41</v>
      </c>
      <c r="B43" s="7" t="s">
        <v>6778</v>
      </c>
      <c r="C43" s="7" t="s">
        <v>6713</v>
      </c>
      <c r="D43" s="7" t="s">
        <v>6779</v>
      </c>
    </row>
    <row r="44" spans="1:4" ht="15" customHeight="1">
      <c r="A44">
        <v>42</v>
      </c>
      <c r="B44" s="7" t="s">
        <v>6780</v>
      </c>
      <c r="C44" s="7" t="s">
        <v>6713</v>
      </c>
      <c r="D44" s="7" t="s">
        <v>6779</v>
      </c>
    </row>
    <row r="45" spans="1:4" ht="15" customHeight="1">
      <c r="A45">
        <v>43</v>
      </c>
      <c r="B45" s="7" t="s">
        <v>6781</v>
      </c>
      <c r="C45" s="7" t="s">
        <v>6713</v>
      </c>
      <c r="D45" s="7" t="s">
        <v>6779</v>
      </c>
    </row>
    <row r="46" spans="1:4" ht="15" customHeight="1">
      <c r="A46">
        <v>44</v>
      </c>
      <c r="B46" s="7" t="s">
        <v>6782</v>
      </c>
      <c r="C46" s="7" t="s">
        <v>6713</v>
      </c>
      <c r="D46" s="7" t="s">
        <v>6779</v>
      </c>
    </row>
    <row r="47" spans="1:4" ht="15" customHeight="1">
      <c r="A47">
        <v>45</v>
      </c>
      <c r="B47" s="7" t="s">
        <v>6783</v>
      </c>
      <c r="C47" s="7" t="s">
        <v>6713</v>
      </c>
      <c r="D47" s="7" t="s">
        <v>6779</v>
      </c>
    </row>
    <row r="48" spans="1:4" ht="15" customHeight="1">
      <c r="A48">
        <v>46</v>
      </c>
      <c r="B48" s="7" t="s">
        <v>6784</v>
      </c>
      <c r="C48" s="7" t="s">
        <v>6713</v>
      </c>
      <c r="D48" s="7" t="s">
        <v>6779</v>
      </c>
    </row>
    <row r="49" spans="1:4" ht="15" customHeight="1">
      <c r="A49">
        <v>47</v>
      </c>
      <c r="B49" s="7" t="s">
        <v>6785</v>
      </c>
      <c r="C49" s="7" t="s">
        <v>6713</v>
      </c>
      <c r="D49" s="7" t="s">
        <v>6779</v>
      </c>
    </row>
    <row r="50" spans="1:4" ht="15" customHeight="1">
      <c r="A50">
        <v>48</v>
      </c>
      <c r="B50" s="7" t="s">
        <v>6786</v>
      </c>
      <c r="C50" s="7" t="s">
        <v>6713</v>
      </c>
      <c r="D50" s="7" t="s">
        <v>6779</v>
      </c>
    </row>
    <row r="51" spans="1:4" ht="27.75" customHeight="1">
      <c r="A51">
        <v>49</v>
      </c>
      <c r="B51" s="7" t="s">
        <v>6787</v>
      </c>
      <c r="C51" s="7" t="s">
        <v>6700</v>
      </c>
      <c r="D51" s="7" t="s">
        <v>6788</v>
      </c>
    </row>
    <row r="52" spans="1:4" ht="15" customHeight="1">
      <c r="A52">
        <v>50</v>
      </c>
      <c r="B52" s="7" t="s">
        <v>6789</v>
      </c>
      <c r="C52" s="7" t="s">
        <v>6713</v>
      </c>
      <c r="D52" s="7" t="s">
        <v>6779</v>
      </c>
    </row>
    <row r="53" spans="1:4" ht="15" customHeight="1">
      <c r="A53">
        <v>51</v>
      </c>
      <c r="B53" s="7" t="s">
        <v>6790</v>
      </c>
      <c r="C53" s="7" t="s">
        <v>6713</v>
      </c>
      <c r="D53" s="7" t="s">
        <v>6779</v>
      </c>
    </row>
    <row r="54" spans="1:4" ht="15" customHeight="1">
      <c r="A54">
        <v>52</v>
      </c>
      <c r="B54" s="7" t="s">
        <v>6791</v>
      </c>
      <c r="C54" s="7" t="s">
        <v>6713</v>
      </c>
      <c r="D54" s="7" t="s">
        <v>6779</v>
      </c>
    </row>
    <row r="55" spans="1:4" ht="15" customHeight="1">
      <c r="A55">
        <v>53</v>
      </c>
      <c r="B55" s="7" t="s">
        <v>6792</v>
      </c>
      <c r="C55" s="7" t="s">
        <v>6713</v>
      </c>
      <c r="D55" s="7" t="s">
        <v>6779</v>
      </c>
    </row>
    <row r="56" spans="1:4" ht="15" customHeight="1">
      <c r="A56">
        <v>54</v>
      </c>
      <c r="B56" s="7" t="s">
        <v>6793</v>
      </c>
      <c r="C56" s="7" t="s">
        <v>6713</v>
      </c>
      <c r="D56" s="7" t="s">
        <v>6779</v>
      </c>
    </row>
    <row r="57" spans="1:4" ht="41.25" customHeight="1">
      <c r="A57">
        <v>55</v>
      </c>
      <c r="B57" s="7" t="s">
        <v>6794</v>
      </c>
      <c r="C57" s="7" t="s">
        <v>6795</v>
      </c>
      <c r="D57" s="7"/>
    </row>
    <row r="58" spans="1:4" ht="15" customHeight="1">
      <c r="A58">
        <v>56</v>
      </c>
      <c r="B58" s="7" t="s">
        <v>6796</v>
      </c>
      <c r="C58" s="7" t="s">
        <v>6797</v>
      </c>
      <c r="D58" s="7"/>
    </row>
    <row r="59" spans="1:4" ht="27.75" customHeight="1">
      <c r="A59">
        <v>57</v>
      </c>
      <c r="B59" s="7" t="s">
        <v>6796</v>
      </c>
      <c r="C59" s="7" t="s">
        <v>6798</v>
      </c>
      <c r="D59" s="7"/>
    </row>
    <row r="60" spans="1:4" ht="15" customHeight="1">
      <c r="A60">
        <v>58</v>
      </c>
      <c r="B60" s="7" t="s">
        <v>6799</v>
      </c>
      <c r="C60" s="7" t="s">
        <v>6800</v>
      </c>
      <c r="D60" s="7"/>
    </row>
    <row r="61" spans="1:4" ht="27.75" customHeight="1">
      <c r="A61">
        <v>59</v>
      </c>
      <c r="B61" s="7" t="s">
        <v>6801</v>
      </c>
      <c r="C61" s="7" t="s">
        <v>6802</v>
      </c>
      <c r="D61" s="7"/>
    </row>
    <row r="62" spans="1:4" ht="27.75" customHeight="1">
      <c r="A62">
        <v>60</v>
      </c>
      <c r="B62" s="7" t="s">
        <v>6803</v>
      </c>
      <c r="C62" s="7" t="s">
        <v>6804</v>
      </c>
      <c r="D62" s="7"/>
    </row>
    <row r="63" spans="1:4" ht="27.75" customHeight="1">
      <c r="A63">
        <v>61</v>
      </c>
      <c r="B63" s="7" t="s">
        <v>6805</v>
      </c>
      <c r="C63" s="7" t="s">
        <v>6806</v>
      </c>
      <c r="D63" s="7"/>
    </row>
    <row r="64" spans="1:4" ht="15" customHeight="1">
      <c r="A64">
        <v>62</v>
      </c>
      <c r="B64" s="7" t="s">
        <v>6807</v>
      </c>
      <c r="C64" s="7" t="s">
        <v>6700</v>
      </c>
      <c r="D64" s="7" t="s">
        <v>6808</v>
      </c>
    </row>
    <row r="65" spans="1:4" ht="15" customHeight="1">
      <c r="A65">
        <v>63</v>
      </c>
      <c r="B65" s="7" t="s">
        <v>6809</v>
      </c>
      <c r="C65" s="7" t="s">
        <v>6810</v>
      </c>
      <c r="D65" s="7"/>
    </row>
    <row r="66" spans="1:4" ht="27.75" customHeight="1">
      <c r="A66">
        <v>64</v>
      </c>
      <c r="B66" s="7" t="s">
        <v>6809</v>
      </c>
      <c r="C66" s="7" t="s">
        <v>6811</v>
      </c>
      <c r="D66" s="7" t="s">
        <v>6812</v>
      </c>
    </row>
    <row r="67" spans="1:4" ht="15" customHeight="1">
      <c r="A67">
        <v>65</v>
      </c>
      <c r="B67" s="7" t="s">
        <v>6813</v>
      </c>
      <c r="C67" s="7" t="s">
        <v>6713</v>
      </c>
      <c r="D67" s="7" t="s">
        <v>6814</v>
      </c>
    </row>
    <row r="68" spans="1:4" ht="15" customHeight="1">
      <c r="A68">
        <v>66</v>
      </c>
      <c r="B68" s="7" t="s">
        <v>6815</v>
      </c>
      <c r="C68" s="7" t="s">
        <v>6713</v>
      </c>
      <c r="D68" s="7" t="s">
        <v>6814</v>
      </c>
    </row>
    <row r="69" spans="1:4" ht="15" customHeight="1">
      <c r="A69">
        <v>67</v>
      </c>
      <c r="B69" s="7" t="s">
        <v>6816</v>
      </c>
      <c r="C69" s="7" t="s">
        <v>6713</v>
      </c>
      <c r="D69" s="7" t="s">
        <v>6814</v>
      </c>
    </row>
    <row r="70" spans="1:4" ht="15" customHeight="1">
      <c r="A70">
        <v>68</v>
      </c>
      <c r="B70" s="7" t="s">
        <v>6817</v>
      </c>
      <c r="C70" s="7" t="s">
        <v>6713</v>
      </c>
      <c r="D70" s="7" t="s">
        <v>6814</v>
      </c>
    </row>
    <row r="71" spans="1:4" ht="15" customHeight="1">
      <c r="A71">
        <v>69</v>
      </c>
      <c r="B71" s="7" t="s">
        <v>6818</v>
      </c>
      <c r="C71" s="7" t="s">
        <v>6713</v>
      </c>
      <c r="D71" s="7" t="s">
        <v>6814</v>
      </c>
    </row>
    <row r="72" spans="1:4" ht="15" customHeight="1">
      <c r="A72">
        <v>70</v>
      </c>
      <c r="B72" s="7" t="s">
        <v>6819</v>
      </c>
      <c r="C72" s="7" t="s">
        <v>6713</v>
      </c>
      <c r="D72" s="7" t="s">
        <v>6814</v>
      </c>
    </row>
    <row r="73" spans="1:4" ht="15" customHeight="1">
      <c r="A73">
        <v>71</v>
      </c>
      <c r="B73" s="7" t="s">
        <v>6820</v>
      </c>
      <c r="C73" s="7" t="s">
        <v>6713</v>
      </c>
      <c r="D73" s="7" t="s">
        <v>6814</v>
      </c>
    </row>
    <row r="74" spans="1:4" ht="15" customHeight="1">
      <c r="A74">
        <v>72</v>
      </c>
      <c r="B74" s="7" t="s">
        <v>6821</v>
      </c>
      <c r="C74" s="7" t="s">
        <v>6713</v>
      </c>
      <c r="D74" s="7" t="s">
        <v>6814</v>
      </c>
    </row>
    <row r="75" spans="1:4" ht="15" customHeight="1">
      <c r="A75">
        <v>73</v>
      </c>
      <c r="B75" s="7" t="s">
        <v>6822</v>
      </c>
      <c r="C75" s="7" t="s">
        <v>6713</v>
      </c>
      <c r="D75" s="7" t="s">
        <v>6814</v>
      </c>
    </row>
    <row r="76" spans="1:4" ht="15" customHeight="1">
      <c r="A76">
        <v>74</v>
      </c>
      <c r="B76" s="7" t="s">
        <v>6823</v>
      </c>
      <c r="C76" s="7" t="s">
        <v>6713</v>
      </c>
      <c r="D76" s="7" t="s">
        <v>6814</v>
      </c>
    </row>
    <row r="77" spans="1:4" ht="15" customHeight="1">
      <c r="A77">
        <v>75</v>
      </c>
      <c r="B77" s="7" t="s">
        <v>6824</v>
      </c>
      <c r="C77" s="7" t="s">
        <v>6713</v>
      </c>
      <c r="D77" s="7" t="s">
        <v>6814</v>
      </c>
    </row>
    <row r="78" spans="1:4" ht="15" customHeight="1">
      <c r="A78">
        <v>76</v>
      </c>
      <c r="B78" s="7" t="s">
        <v>6825</v>
      </c>
      <c r="C78" s="7" t="s">
        <v>6713</v>
      </c>
      <c r="D78" s="7" t="s">
        <v>6814</v>
      </c>
    </row>
    <row r="79" spans="1:4" ht="15" customHeight="1">
      <c r="A79">
        <v>77</v>
      </c>
      <c r="B79" s="7" t="s">
        <v>6826</v>
      </c>
      <c r="C79" s="7" t="s">
        <v>6713</v>
      </c>
      <c r="D79" s="7" t="s">
        <v>6814</v>
      </c>
    </row>
    <row r="80" spans="1:4" ht="15" customHeight="1">
      <c r="A80">
        <v>78</v>
      </c>
      <c r="B80" s="7" t="s">
        <v>6827</v>
      </c>
      <c r="C80" s="7" t="s">
        <v>6713</v>
      </c>
      <c r="D80" s="7" t="s">
        <v>6814</v>
      </c>
    </row>
    <row r="81" spans="1:4" ht="15" customHeight="1">
      <c r="A81">
        <v>79</v>
      </c>
      <c r="B81" s="7" t="s">
        <v>6828</v>
      </c>
      <c r="C81" s="7" t="s">
        <v>6713</v>
      </c>
      <c r="D81" s="7" t="s">
        <v>6814</v>
      </c>
    </row>
    <row r="82" spans="1:4" ht="15" customHeight="1">
      <c r="A82">
        <v>80</v>
      </c>
      <c r="B82" s="7" t="s">
        <v>6829</v>
      </c>
      <c r="C82" s="7" t="s">
        <v>6713</v>
      </c>
      <c r="D82" s="7" t="s">
        <v>6814</v>
      </c>
    </row>
    <row r="83" spans="1:4" ht="15" customHeight="1">
      <c r="A83">
        <v>81</v>
      </c>
      <c r="B83" s="7" t="s">
        <v>6830</v>
      </c>
      <c r="C83" s="7" t="s">
        <v>6713</v>
      </c>
      <c r="D83" s="7" t="s">
        <v>6814</v>
      </c>
    </row>
    <row r="84" spans="1:4" ht="15" customHeight="1">
      <c r="A84">
        <v>82</v>
      </c>
      <c r="B84" s="7" t="s">
        <v>6831</v>
      </c>
      <c r="C84" s="7" t="s">
        <v>6713</v>
      </c>
      <c r="D84" s="7" t="s">
        <v>6814</v>
      </c>
    </row>
    <row r="85" spans="1:4" ht="15" customHeight="1">
      <c r="A85">
        <v>83</v>
      </c>
      <c r="B85" s="7" t="s">
        <v>6832</v>
      </c>
      <c r="C85" s="7" t="s">
        <v>6713</v>
      </c>
      <c r="D85" s="7" t="s">
        <v>6814</v>
      </c>
    </row>
    <row r="86" spans="1:4" ht="15" customHeight="1">
      <c r="A86">
        <v>84</v>
      </c>
      <c r="B86" s="7" t="s">
        <v>6833</v>
      </c>
      <c r="C86" s="7" t="s">
        <v>6713</v>
      </c>
      <c r="D86" s="7" t="s">
        <v>6814</v>
      </c>
    </row>
    <row r="87" spans="1:4" ht="15" customHeight="1">
      <c r="A87">
        <v>85</v>
      </c>
      <c r="B87" s="7" t="s">
        <v>6834</v>
      </c>
      <c r="C87" s="7" t="s">
        <v>6713</v>
      </c>
      <c r="D87" s="7" t="s">
        <v>6814</v>
      </c>
    </row>
    <row r="88" spans="1:4" ht="15" customHeight="1">
      <c r="A88">
        <v>86</v>
      </c>
      <c r="B88" s="7" t="s">
        <v>6835</v>
      </c>
      <c r="C88" s="7" t="s">
        <v>6713</v>
      </c>
      <c r="D88" s="7" t="s">
        <v>6814</v>
      </c>
    </row>
    <row r="89" spans="1:4" ht="15" customHeight="1">
      <c r="A89">
        <v>87</v>
      </c>
      <c r="B89" s="7" t="s">
        <v>6836</v>
      </c>
      <c r="C89" s="7" t="s">
        <v>6837</v>
      </c>
      <c r="D89" s="7" t="s">
        <v>6838</v>
      </c>
    </row>
    <row r="90" spans="1:4" ht="27.75" customHeight="1">
      <c r="A90">
        <v>88</v>
      </c>
      <c r="B90" s="7" t="s">
        <v>6839</v>
      </c>
      <c r="C90" s="7" t="s">
        <v>6719</v>
      </c>
      <c r="D90" s="7" t="s">
        <v>6840</v>
      </c>
    </row>
    <row r="91" spans="1:4" ht="15" customHeight="1">
      <c r="A91">
        <v>89</v>
      </c>
      <c r="B91" s="7" t="s">
        <v>6841</v>
      </c>
      <c r="C91" s="7" t="s">
        <v>6837</v>
      </c>
      <c r="D91" s="7" t="s">
        <v>6842</v>
      </c>
    </row>
    <row r="92" spans="1:4" ht="15" customHeight="1">
      <c r="A92">
        <v>90</v>
      </c>
      <c r="B92" s="7" t="s">
        <v>6843</v>
      </c>
      <c r="C92" s="7" t="s">
        <v>6700</v>
      </c>
      <c r="D92" s="7" t="s">
        <v>6844</v>
      </c>
    </row>
    <row r="93" spans="1:4" ht="15" customHeight="1">
      <c r="A93">
        <v>91</v>
      </c>
      <c r="B93" s="7" t="s">
        <v>6845</v>
      </c>
      <c r="C93" s="7" t="s">
        <v>6713</v>
      </c>
      <c r="D93" s="7" t="s">
        <v>6846</v>
      </c>
    </row>
    <row r="94" spans="1:4" ht="15" customHeight="1">
      <c r="A94">
        <v>92</v>
      </c>
      <c r="B94" s="7" t="s">
        <v>6847</v>
      </c>
      <c r="C94" s="7" t="s">
        <v>6713</v>
      </c>
      <c r="D94" s="7" t="s">
        <v>6846</v>
      </c>
    </row>
    <row r="95" spans="1:4" ht="27.75" customHeight="1">
      <c r="A95">
        <v>93</v>
      </c>
      <c r="B95" s="7" t="s">
        <v>6848</v>
      </c>
      <c r="C95" s="7" t="s">
        <v>6719</v>
      </c>
      <c r="D95" s="7" t="s">
        <v>6849</v>
      </c>
    </row>
    <row r="96" spans="1:4" ht="41.25" customHeight="1">
      <c r="A96">
        <v>94</v>
      </c>
      <c r="B96" s="7" t="s">
        <v>6850</v>
      </c>
      <c r="C96" s="7" t="s">
        <v>6851</v>
      </c>
      <c r="D96" s="7"/>
    </row>
    <row r="97" spans="1:4" ht="15" customHeight="1">
      <c r="A97">
        <v>95</v>
      </c>
      <c r="B97" s="7" t="s">
        <v>6852</v>
      </c>
      <c r="C97" s="7" t="s">
        <v>6700</v>
      </c>
      <c r="D97" s="7" t="s">
        <v>6853</v>
      </c>
    </row>
    <row r="98" spans="1:4" ht="15" customHeight="1">
      <c r="A98">
        <v>96</v>
      </c>
      <c r="B98" s="7" t="s">
        <v>6854</v>
      </c>
      <c r="C98" s="7" t="s">
        <v>6700</v>
      </c>
      <c r="D98" s="7" t="s">
        <v>6855</v>
      </c>
    </row>
    <row r="99" spans="1:4" ht="15" customHeight="1">
      <c r="A99">
        <v>97</v>
      </c>
      <c r="B99" s="7" t="s">
        <v>6856</v>
      </c>
      <c r="C99" s="7" t="s">
        <v>6700</v>
      </c>
      <c r="D99" s="7" t="s">
        <v>6857</v>
      </c>
    </row>
    <row r="100" spans="1:4" ht="41.25" customHeight="1">
      <c r="A100">
        <v>98</v>
      </c>
      <c r="B100" s="7" t="s">
        <v>6858</v>
      </c>
      <c r="C100" s="7" t="s">
        <v>6859</v>
      </c>
      <c r="D100" s="7"/>
    </row>
    <row r="101" spans="1:4" ht="27.75" customHeight="1">
      <c r="A101">
        <v>99</v>
      </c>
      <c r="B101" s="7" t="s">
        <v>6860</v>
      </c>
      <c r="C101" s="7" t="s">
        <v>6719</v>
      </c>
      <c r="D101" s="7" t="s">
        <v>6861</v>
      </c>
    </row>
    <row r="102" spans="1:4" ht="15" customHeight="1">
      <c r="A102">
        <v>100</v>
      </c>
      <c r="B102" s="7" t="s">
        <v>6862</v>
      </c>
      <c r="C102" s="7" t="s">
        <v>6700</v>
      </c>
      <c r="D102" s="7" t="s">
        <v>6808</v>
      </c>
    </row>
    <row r="103" spans="1:4" ht="15" customHeight="1">
      <c r="A103">
        <v>101</v>
      </c>
      <c r="B103" s="7" t="s">
        <v>6863</v>
      </c>
      <c r="C103" s="7" t="s">
        <v>6700</v>
      </c>
      <c r="D103" s="7" t="s">
        <v>6864</v>
      </c>
    </row>
    <row r="104" spans="1:4" ht="15" customHeight="1">
      <c r="A104">
        <v>102</v>
      </c>
      <c r="B104" s="7" t="s">
        <v>6865</v>
      </c>
      <c r="C104" s="7" t="s">
        <v>6700</v>
      </c>
      <c r="D104" s="7" t="s">
        <v>6866</v>
      </c>
    </row>
    <row r="105" spans="1:4" ht="15" customHeight="1">
      <c r="A105">
        <v>103</v>
      </c>
      <c r="B105" s="7" t="s">
        <v>6867</v>
      </c>
      <c r="C105" s="7" t="s">
        <v>6713</v>
      </c>
      <c r="D105" s="7" t="s">
        <v>6868</v>
      </c>
    </row>
    <row r="106" spans="1:4" ht="15" customHeight="1">
      <c r="A106">
        <v>104</v>
      </c>
      <c r="B106" s="7" t="s">
        <v>6869</v>
      </c>
      <c r="C106" s="7" t="s">
        <v>6713</v>
      </c>
      <c r="D106" s="7" t="s">
        <v>6870</v>
      </c>
    </row>
    <row r="107" spans="1:4" ht="15" customHeight="1">
      <c r="A107">
        <v>105</v>
      </c>
      <c r="B107" s="7" t="s">
        <v>6871</v>
      </c>
      <c r="C107" s="7" t="s">
        <v>6713</v>
      </c>
      <c r="D107" s="7" t="s">
        <v>6870</v>
      </c>
    </row>
    <row r="108" spans="1:4" ht="15" customHeight="1">
      <c r="A108">
        <v>106</v>
      </c>
      <c r="B108" s="7" t="s">
        <v>6872</v>
      </c>
      <c r="C108" s="7" t="s">
        <v>6713</v>
      </c>
      <c r="D108" s="7" t="s">
        <v>6870</v>
      </c>
    </row>
    <row r="109" spans="1:4" ht="15" customHeight="1">
      <c r="A109">
        <v>107</v>
      </c>
      <c r="B109" s="7" t="s">
        <v>6873</v>
      </c>
      <c r="C109" s="7" t="s">
        <v>6713</v>
      </c>
      <c r="D109" s="7" t="s">
        <v>6870</v>
      </c>
    </row>
    <row r="110" spans="1:4" ht="15" customHeight="1">
      <c r="A110">
        <v>108</v>
      </c>
      <c r="B110" s="7" t="s">
        <v>6874</v>
      </c>
      <c r="C110" s="7" t="s">
        <v>6713</v>
      </c>
      <c r="D110" s="7" t="s">
        <v>6870</v>
      </c>
    </row>
    <row r="111" spans="1:4" ht="15" customHeight="1">
      <c r="A111">
        <v>109</v>
      </c>
      <c r="B111" s="7" t="s">
        <v>6875</v>
      </c>
      <c r="C111" s="7" t="s">
        <v>6713</v>
      </c>
      <c r="D111" s="7" t="s">
        <v>6870</v>
      </c>
    </row>
    <row r="112" spans="1:4" ht="15" customHeight="1">
      <c r="A112">
        <v>110</v>
      </c>
      <c r="B112" s="7" t="s">
        <v>6876</v>
      </c>
      <c r="C112" s="7" t="s">
        <v>6713</v>
      </c>
      <c r="D112" s="7" t="s">
        <v>6870</v>
      </c>
    </row>
    <row r="113" spans="1:4" ht="15" customHeight="1">
      <c r="A113">
        <v>111</v>
      </c>
      <c r="B113" s="7" t="s">
        <v>6877</v>
      </c>
      <c r="C113" s="7" t="s">
        <v>6700</v>
      </c>
      <c r="D113" s="7" t="s">
        <v>6878</v>
      </c>
    </row>
    <row r="114" spans="1:4" ht="15" customHeight="1">
      <c r="A114">
        <v>112</v>
      </c>
      <c r="B114" s="7" t="s">
        <v>6879</v>
      </c>
      <c r="C114" s="7" t="s">
        <v>6880</v>
      </c>
      <c r="D114" s="7"/>
    </row>
    <row r="115" spans="1:4" ht="15" customHeight="1">
      <c r="A115">
        <v>113</v>
      </c>
      <c r="B115" s="7" t="s">
        <v>6881</v>
      </c>
      <c r="C115" s="7" t="s">
        <v>6882</v>
      </c>
      <c r="D115" s="7"/>
    </row>
    <row r="116" spans="1:4" ht="15" customHeight="1">
      <c r="A116">
        <v>114</v>
      </c>
      <c r="B116" s="7" t="s">
        <v>6881</v>
      </c>
      <c r="C116" s="7" t="s">
        <v>6883</v>
      </c>
      <c r="D116" s="7"/>
    </row>
    <row r="117" spans="1:4" ht="15" customHeight="1">
      <c r="A117">
        <v>115</v>
      </c>
      <c r="B117" s="7" t="s">
        <v>6884</v>
      </c>
      <c r="C117" s="7" t="s">
        <v>6885</v>
      </c>
      <c r="D117" s="7"/>
    </row>
    <row r="118" spans="1:4" ht="15" customHeight="1">
      <c r="A118">
        <v>116</v>
      </c>
      <c r="B118" s="7" t="s">
        <v>6886</v>
      </c>
      <c r="C118" s="7" t="s">
        <v>6713</v>
      </c>
      <c r="D118" s="7" t="s">
        <v>6887</v>
      </c>
    </row>
    <row r="119" spans="1:4" ht="15" customHeight="1">
      <c r="A119">
        <v>117</v>
      </c>
      <c r="B119" s="7" t="s">
        <v>6888</v>
      </c>
      <c r="C119" s="7" t="s">
        <v>6713</v>
      </c>
      <c r="D119" s="7" t="s">
        <v>6887</v>
      </c>
    </row>
    <row r="120" spans="1:4" ht="15" customHeight="1">
      <c r="A120">
        <v>118</v>
      </c>
      <c r="B120" s="7" t="s">
        <v>6889</v>
      </c>
      <c r="C120" s="7" t="s">
        <v>6713</v>
      </c>
      <c r="D120" s="7" t="s">
        <v>6887</v>
      </c>
    </row>
    <row r="121" spans="1:4" ht="15" customHeight="1">
      <c r="A121">
        <v>119</v>
      </c>
      <c r="B121" s="7" t="s">
        <v>6890</v>
      </c>
      <c r="C121" s="7" t="s">
        <v>6713</v>
      </c>
      <c r="D121" s="7" t="s">
        <v>6887</v>
      </c>
    </row>
    <row r="122" spans="1:4" ht="15" customHeight="1">
      <c r="A122">
        <v>120</v>
      </c>
      <c r="B122" s="7" t="s">
        <v>6891</v>
      </c>
      <c r="C122" s="7" t="s">
        <v>6713</v>
      </c>
      <c r="D122" s="7" t="s">
        <v>6887</v>
      </c>
    </row>
    <row r="123" spans="1:4" ht="15" customHeight="1">
      <c r="A123">
        <v>121</v>
      </c>
      <c r="B123" s="7" t="s">
        <v>6892</v>
      </c>
      <c r="C123" s="7" t="s">
        <v>6893</v>
      </c>
      <c r="D123" s="7"/>
    </row>
    <row r="124" spans="1:4" ht="15" customHeight="1">
      <c r="A124">
        <v>122</v>
      </c>
      <c r="B124" s="7" t="s">
        <v>6894</v>
      </c>
      <c r="C124" s="7" t="s">
        <v>6713</v>
      </c>
      <c r="D124" s="7" t="s">
        <v>6895</v>
      </c>
    </row>
    <row r="125" spans="1:4" ht="27.75" customHeight="1">
      <c r="A125">
        <v>123</v>
      </c>
      <c r="B125" s="7" t="s">
        <v>6896</v>
      </c>
      <c r="C125" s="7" t="s">
        <v>6897</v>
      </c>
      <c r="D125" s="7"/>
    </row>
    <row r="126" spans="1:4" ht="27.75" customHeight="1">
      <c r="A126">
        <v>124</v>
      </c>
      <c r="B126" s="7" t="s">
        <v>6898</v>
      </c>
      <c r="C126" s="7" t="s">
        <v>6899</v>
      </c>
      <c r="D126" s="7"/>
    </row>
    <row r="127" spans="1:4" ht="15" customHeight="1">
      <c r="A127">
        <v>125</v>
      </c>
      <c r="B127" s="7" t="s">
        <v>6900</v>
      </c>
      <c r="C127" s="7" t="s">
        <v>6700</v>
      </c>
      <c r="D127" s="7" t="s">
        <v>6901</v>
      </c>
    </row>
    <row r="128" spans="1:4" ht="15" customHeight="1">
      <c r="A128">
        <v>126</v>
      </c>
      <c r="B128" s="7" t="s">
        <v>6902</v>
      </c>
      <c r="C128" s="7" t="s">
        <v>6713</v>
      </c>
      <c r="D128" s="7" t="s">
        <v>6903</v>
      </c>
    </row>
    <row r="129" spans="1:4" ht="27.75" customHeight="1">
      <c r="A129">
        <v>127</v>
      </c>
      <c r="B129" s="7" t="s">
        <v>6904</v>
      </c>
      <c r="C129" s="7" t="s">
        <v>6700</v>
      </c>
      <c r="D129" s="7" t="s">
        <v>6905</v>
      </c>
    </row>
    <row r="130" spans="1:4" ht="41.25" customHeight="1">
      <c r="A130">
        <v>128</v>
      </c>
      <c r="B130" s="7" t="s">
        <v>6906</v>
      </c>
      <c r="C130" s="7" t="s">
        <v>6907</v>
      </c>
      <c r="D130" s="7"/>
    </row>
    <row r="131" spans="1:4" ht="15" customHeight="1">
      <c r="A131">
        <v>129</v>
      </c>
      <c r="B131" s="7" t="s">
        <v>6908</v>
      </c>
      <c r="C131" s="7" t="s">
        <v>6700</v>
      </c>
      <c r="D131" s="7" t="s">
        <v>6909</v>
      </c>
    </row>
    <row r="132" spans="1:4" ht="15" customHeight="1">
      <c r="A132">
        <v>130</v>
      </c>
      <c r="B132" s="7" t="s">
        <v>6910</v>
      </c>
      <c r="C132" s="7" t="s">
        <v>6700</v>
      </c>
      <c r="D132" s="7" t="s">
        <v>6911</v>
      </c>
    </row>
    <row r="133" spans="1:4" ht="15" customHeight="1">
      <c r="A133">
        <v>131</v>
      </c>
      <c r="B133" s="7" t="s">
        <v>6912</v>
      </c>
      <c r="C133" s="7" t="s">
        <v>6719</v>
      </c>
      <c r="D133" s="7" t="s">
        <v>6913</v>
      </c>
    </row>
    <row r="134" spans="1:4" ht="15" customHeight="1">
      <c r="A134">
        <v>132</v>
      </c>
      <c r="B134" s="7" t="s">
        <v>6914</v>
      </c>
      <c r="C134" s="7" t="s">
        <v>6700</v>
      </c>
      <c r="D134" s="7" t="s">
        <v>6915</v>
      </c>
    </row>
    <row r="135" spans="1:4" ht="15" customHeight="1">
      <c r="A135">
        <v>133</v>
      </c>
      <c r="B135" s="7" t="s">
        <v>6916</v>
      </c>
      <c r="C135" s="7" t="s">
        <v>6713</v>
      </c>
      <c r="D135" s="7" t="s">
        <v>6917</v>
      </c>
    </row>
    <row r="136" spans="1:4" ht="15" customHeight="1">
      <c r="A136">
        <v>134</v>
      </c>
      <c r="B136" s="7" t="s">
        <v>6918</v>
      </c>
      <c r="C136" s="7" t="s">
        <v>6713</v>
      </c>
      <c r="D136" s="7" t="s">
        <v>6917</v>
      </c>
    </row>
    <row r="137" spans="1:4" ht="15" customHeight="1">
      <c r="A137">
        <v>135</v>
      </c>
      <c r="B137" s="7" t="s">
        <v>6919</v>
      </c>
      <c r="C137" s="7" t="s">
        <v>6713</v>
      </c>
      <c r="D137" s="7" t="s">
        <v>6917</v>
      </c>
    </row>
    <row r="138" spans="1:4" ht="15" customHeight="1">
      <c r="A138">
        <v>136</v>
      </c>
      <c r="B138" s="7" t="s">
        <v>6920</v>
      </c>
      <c r="C138" s="7" t="s">
        <v>6700</v>
      </c>
      <c r="D138" s="7" t="s">
        <v>6921</v>
      </c>
    </row>
    <row r="139" spans="1:4" ht="41.25" customHeight="1">
      <c r="A139">
        <v>137</v>
      </c>
      <c r="B139" s="7" t="s">
        <v>6922</v>
      </c>
      <c r="C139" s="7" t="s">
        <v>6923</v>
      </c>
      <c r="D139" s="7"/>
    </row>
    <row r="140" spans="1:4" ht="15" customHeight="1">
      <c r="A140">
        <v>138</v>
      </c>
      <c r="B140" s="7" t="s">
        <v>6924</v>
      </c>
      <c r="C140" s="7" t="s">
        <v>6700</v>
      </c>
      <c r="D140" s="7" t="s">
        <v>6925</v>
      </c>
    </row>
    <row r="141" spans="1:4" ht="15" customHeight="1">
      <c r="A141">
        <v>139</v>
      </c>
      <c r="B141" s="7" t="s">
        <v>6926</v>
      </c>
      <c r="C141" s="7" t="s">
        <v>6927</v>
      </c>
      <c r="D141" s="7"/>
    </row>
    <row r="142" spans="1:4" ht="41.25" customHeight="1">
      <c r="A142">
        <v>140</v>
      </c>
      <c r="B142" s="7" t="s">
        <v>6928</v>
      </c>
      <c r="C142" s="7" t="s">
        <v>6929</v>
      </c>
      <c r="D142" s="7"/>
    </row>
    <row r="143" spans="1:4" ht="27.75" customHeight="1">
      <c r="A143">
        <v>141</v>
      </c>
      <c r="B143" s="7" t="s">
        <v>6930</v>
      </c>
      <c r="C143" s="7" t="s">
        <v>6931</v>
      </c>
      <c r="D143" s="7"/>
    </row>
    <row r="144" spans="1:4" ht="15" customHeight="1">
      <c r="A144">
        <v>142</v>
      </c>
      <c r="B144" s="7" t="s">
        <v>6932</v>
      </c>
      <c r="C144" s="7" t="s">
        <v>6933</v>
      </c>
      <c r="D144" s="7"/>
    </row>
    <row r="145" spans="1:4" ht="41.25" customHeight="1">
      <c r="A145">
        <v>143</v>
      </c>
      <c r="B145" s="7" t="s">
        <v>6934</v>
      </c>
      <c r="C145" s="7" t="s">
        <v>6935</v>
      </c>
      <c r="D145" s="7"/>
    </row>
    <row r="146" spans="1:4" ht="41.25" customHeight="1">
      <c r="A146">
        <v>144</v>
      </c>
      <c r="B146" s="7" t="s">
        <v>6936</v>
      </c>
      <c r="C146" s="7" t="s">
        <v>6937</v>
      </c>
      <c r="D146" s="7"/>
    </row>
    <row r="147" spans="1:4" ht="27.75" customHeight="1">
      <c r="A147">
        <v>145</v>
      </c>
      <c r="B147" s="7" t="s">
        <v>6938</v>
      </c>
      <c r="C147" s="7" t="s">
        <v>6939</v>
      </c>
      <c r="D147" s="7"/>
    </row>
    <row r="148" spans="1:4" ht="27.75" customHeight="1">
      <c r="A148">
        <v>146</v>
      </c>
      <c r="B148" s="7" t="s">
        <v>6940</v>
      </c>
      <c r="C148" s="7" t="s">
        <v>6941</v>
      </c>
      <c r="D148" s="7"/>
    </row>
    <row r="149" spans="1:4" ht="27.75" customHeight="1">
      <c r="A149">
        <v>147</v>
      </c>
      <c r="B149" s="7" t="s">
        <v>6942</v>
      </c>
      <c r="C149" s="7" t="s">
        <v>6943</v>
      </c>
      <c r="D149" s="7"/>
    </row>
    <row r="150" spans="1:4" ht="15" customHeight="1">
      <c r="A150">
        <v>148</v>
      </c>
      <c r="B150" s="7" t="s">
        <v>6944</v>
      </c>
      <c r="C150" s="7" t="s">
        <v>6945</v>
      </c>
      <c r="D150" s="7"/>
    </row>
    <row r="151" spans="1:4" ht="15" customHeight="1">
      <c r="A151">
        <v>149</v>
      </c>
      <c r="B151" s="7" t="s">
        <v>6946</v>
      </c>
      <c r="C151" s="7" t="s">
        <v>6947</v>
      </c>
      <c r="D151" s="7"/>
    </row>
    <row r="152" spans="1:4" ht="41.25" customHeight="1">
      <c r="A152">
        <v>150</v>
      </c>
      <c r="B152" s="7" t="s">
        <v>6948</v>
      </c>
      <c r="C152" s="7" t="s">
        <v>6949</v>
      </c>
      <c r="D152" s="7"/>
    </row>
    <row r="153" spans="1:4" ht="27.75" customHeight="1">
      <c r="A153">
        <v>151</v>
      </c>
      <c r="B153" s="7" t="s">
        <v>6950</v>
      </c>
      <c r="C153" s="7" t="s">
        <v>6719</v>
      </c>
      <c r="D153" s="7" t="s">
        <v>6951</v>
      </c>
    </row>
    <row r="154" spans="1:4" ht="15" customHeight="1">
      <c r="A154">
        <v>152</v>
      </c>
      <c r="B154" s="7" t="s">
        <v>6952</v>
      </c>
      <c r="C154" s="7" t="s">
        <v>6700</v>
      </c>
      <c r="D154" s="7" t="s">
        <v>6953</v>
      </c>
    </row>
    <row r="155" spans="1:4" ht="27.75" customHeight="1">
      <c r="A155">
        <v>153</v>
      </c>
      <c r="B155" s="7" t="s">
        <v>6954</v>
      </c>
      <c r="C155" s="7" t="s">
        <v>6955</v>
      </c>
      <c r="D155" s="7"/>
    </row>
    <row r="156" spans="1:4" ht="15" customHeight="1">
      <c r="A156">
        <v>154</v>
      </c>
      <c r="B156" s="7" t="s">
        <v>6956</v>
      </c>
      <c r="C156" s="7" t="s">
        <v>6837</v>
      </c>
      <c r="D156" s="7" t="s">
        <v>6957</v>
      </c>
    </row>
    <row r="157" spans="1:4" ht="15" customHeight="1">
      <c r="A157">
        <v>155</v>
      </c>
      <c r="B157" s="7" t="s">
        <v>6958</v>
      </c>
      <c r="C157" s="7" t="s">
        <v>6837</v>
      </c>
      <c r="D157" s="7" t="s">
        <v>6959</v>
      </c>
    </row>
    <row r="158" spans="1:4" ht="15" customHeight="1">
      <c r="A158">
        <v>156</v>
      </c>
      <c r="B158" s="7" t="s">
        <v>6960</v>
      </c>
      <c r="C158" s="7" t="s">
        <v>6837</v>
      </c>
      <c r="D158" s="7" t="s">
        <v>6961</v>
      </c>
    </row>
    <row r="159" spans="1:4" ht="15" customHeight="1">
      <c r="A159">
        <v>157</v>
      </c>
      <c r="B159" s="7" t="s">
        <v>6962</v>
      </c>
      <c r="C159" s="7" t="s">
        <v>6719</v>
      </c>
      <c r="D159" s="7" t="s">
        <v>6963</v>
      </c>
    </row>
    <row r="160" spans="1:4" ht="15" customHeight="1">
      <c r="A160">
        <v>158</v>
      </c>
      <c r="B160" s="7" t="s">
        <v>6964</v>
      </c>
      <c r="C160" s="7" t="s">
        <v>6837</v>
      </c>
      <c r="D160" s="7" t="s">
        <v>6965</v>
      </c>
    </row>
    <row r="161" spans="1:4" ht="15" customHeight="1">
      <c r="A161">
        <v>159</v>
      </c>
      <c r="B161" s="7" t="s">
        <v>6966</v>
      </c>
      <c r="C161" s="7" t="s">
        <v>6713</v>
      </c>
      <c r="D161" s="7" t="s">
        <v>6967</v>
      </c>
    </row>
    <row r="162" spans="1:4" ht="15" customHeight="1">
      <c r="A162">
        <v>160</v>
      </c>
      <c r="B162" s="7" t="s">
        <v>6968</v>
      </c>
      <c r="C162" s="7" t="s">
        <v>6713</v>
      </c>
      <c r="D162" s="7" t="s">
        <v>6969</v>
      </c>
    </row>
    <row r="163" spans="1:4" ht="15" customHeight="1">
      <c r="A163">
        <v>161</v>
      </c>
      <c r="B163" s="7" t="s">
        <v>6970</v>
      </c>
      <c r="C163" s="7" t="s">
        <v>6713</v>
      </c>
      <c r="D163" s="7" t="s">
        <v>6967</v>
      </c>
    </row>
    <row r="164" spans="1:4" ht="27.75" customHeight="1">
      <c r="A164">
        <v>162</v>
      </c>
      <c r="B164" s="7" t="s">
        <v>6971</v>
      </c>
      <c r="C164" s="7" t="s">
        <v>6700</v>
      </c>
      <c r="D164" s="7" t="s">
        <v>6972</v>
      </c>
    </row>
    <row r="165" spans="1:4" ht="15" customHeight="1">
      <c r="A165">
        <v>163</v>
      </c>
      <c r="B165" s="7" t="s">
        <v>6973</v>
      </c>
      <c r="C165" s="7" t="s">
        <v>6837</v>
      </c>
      <c r="D165" s="7" t="s">
        <v>6974</v>
      </c>
    </row>
    <row r="166" spans="1:4" ht="15" customHeight="1">
      <c r="A166">
        <v>164</v>
      </c>
      <c r="B166" s="7" t="s">
        <v>6973</v>
      </c>
      <c r="C166" s="7" t="s">
        <v>6837</v>
      </c>
      <c r="D166" s="7" t="s">
        <v>6974</v>
      </c>
    </row>
    <row r="167" spans="1:4" ht="15" customHeight="1">
      <c r="A167">
        <v>165</v>
      </c>
      <c r="B167" s="7" t="s">
        <v>6973</v>
      </c>
      <c r="C167" s="7" t="s">
        <v>6837</v>
      </c>
      <c r="D167" s="7" t="s">
        <v>6974</v>
      </c>
    </row>
    <row r="168" spans="1:4" ht="15" customHeight="1">
      <c r="A168">
        <v>166</v>
      </c>
      <c r="B168" s="7" t="s">
        <v>6973</v>
      </c>
      <c r="C168" s="7" t="s">
        <v>6837</v>
      </c>
      <c r="D168" s="7" t="s">
        <v>6974</v>
      </c>
    </row>
    <row r="169" spans="1:4" ht="15" customHeight="1">
      <c r="A169">
        <v>167</v>
      </c>
      <c r="B169" s="7" t="s">
        <v>6973</v>
      </c>
      <c r="C169" s="7" t="s">
        <v>6837</v>
      </c>
      <c r="D169" s="7" t="s">
        <v>6974</v>
      </c>
    </row>
    <row r="170" spans="1:4" ht="15" customHeight="1">
      <c r="A170">
        <v>168</v>
      </c>
      <c r="B170" s="7" t="s">
        <v>6973</v>
      </c>
      <c r="C170" s="7" t="s">
        <v>6837</v>
      </c>
      <c r="D170" s="7" t="s">
        <v>6974</v>
      </c>
    </row>
    <row r="171" spans="1:4" ht="15" customHeight="1">
      <c r="A171">
        <v>169</v>
      </c>
      <c r="B171" s="7" t="s">
        <v>6973</v>
      </c>
      <c r="C171" s="7" t="s">
        <v>6837</v>
      </c>
      <c r="D171" s="7" t="s">
        <v>6974</v>
      </c>
    </row>
    <row r="172" spans="1:4" ht="15" customHeight="1">
      <c r="A172">
        <v>170</v>
      </c>
      <c r="B172" s="7" t="s">
        <v>6973</v>
      </c>
      <c r="C172" s="7" t="s">
        <v>6837</v>
      </c>
      <c r="D172" s="7" t="s">
        <v>6974</v>
      </c>
    </row>
    <row r="173" spans="1:4" ht="15" customHeight="1">
      <c r="A173">
        <v>171</v>
      </c>
      <c r="B173" s="7" t="s">
        <v>6973</v>
      </c>
      <c r="C173" s="7" t="s">
        <v>6837</v>
      </c>
      <c r="D173" s="7" t="s">
        <v>6974</v>
      </c>
    </row>
    <row r="174" spans="1:4" ht="27.75" customHeight="1">
      <c r="A174">
        <v>172</v>
      </c>
      <c r="B174" s="7" t="s">
        <v>6975</v>
      </c>
      <c r="C174" s="7" t="s">
        <v>6976</v>
      </c>
      <c r="D174" s="7" t="s">
        <v>6977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2026-09-08T21:30:38Z</dcterms:created>
  <dcterms:modified xsi:type="dcterms:W3CDTF">2026-09-27T13:03:21Z</dcterms:modified>
  <cp:category/>
  <cp:contentStatus/>
</cp:coreProperties>
</file>