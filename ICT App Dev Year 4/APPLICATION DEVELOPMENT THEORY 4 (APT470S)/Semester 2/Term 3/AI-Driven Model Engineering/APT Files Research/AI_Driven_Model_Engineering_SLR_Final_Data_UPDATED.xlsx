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I_Driven_Model_Engineering_SLR" sheetId="1" state="visible" r:id="rId3"/>
    <sheet name="Data Extraction" sheetId="2" state="visible" r:id="rId4"/>
    <sheet name="Quality Assessment" sheetId="3" state="visible" r:id="rId5"/>
  </sheets>
  <definedNames>
    <definedName function="false" hidden="true" localSheetId="0" name="_xlnm._FilterDatabase" vbProcedure="false">AI_Driven_Model_Engineering_SLR!$A$4:$L$56</definedName>
    <definedName function="false" hidden="true" localSheetId="1" name="_xlnm._FilterDatabase" vbProcedure="false">'Data Extraction'!$A$4:$R$30</definedName>
    <definedName function="false" hidden="true" localSheetId="2" name="_xlnm._FilterDatabase" vbProcedure="false">'Quality Assessment'!$A$4:$V$30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<sst xmlns="http://schemas.openxmlformats.org/spreadsheetml/2006/main" count="965" uniqueCount="591">
  <si>
    <t xml:space="preserve">AI-Driven Model Engineering: Systematic Literature Review</t>
  </si>
  <si>
    <t xml:space="preserve">Primary Study Screening, Eligibility &amp; Selection Log (52 Candidate Studies | 26 Included Studies)</t>
  </si>
  <si>
    <t xml:space="preserve">#</t>
  </si>
  <si>
    <t xml:space="preserve">Database</t>
  </si>
  <si>
    <t xml:space="preserve">Title</t>
  </si>
  <si>
    <t xml:space="preserve">Authors</t>
  </si>
  <si>
    <t xml:space="preserve">Year</t>
  </si>
  <si>
    <t xml:space="preserve">Venue</t>
  </si>
  <si>
    <t xml:space="preserve">DOI / Link</t>
  </si>
  <si>
    <t xml:space="preserve">Screening Reason</t>
  </si>
  <si>
    <t xml:space="preserve">Full-Text Eligibility</t>
  </si>
  <si>
    <t xml:space="preserve">Full-Text Exclusion Reason</t>
  </si>
  <si>
    <t xml:space="preserve">Notes</t>
  </si>
  <si>
    <t xml:space="preserve">Full-Text PDF Verified</t>
  </si>
  <si>
    <t xml:space="preserve">IEEE Xplore</t>
  </si>
  <si>
    <t xml:space="preserve">RQ2DSL An AI Agent for Automated Domain-Specific Language Grammar Generation from Requirements</t>
  </si>
  <si>
    <t xml:space="preserve">Dept. of Electrical and Computer Engineering Dept. of Electrical and Computer Engineering</t>
  </si>
  <si>
    <t xml:space="preserve">2025 IEEE 37th International Conference on Tools with Artificial Intelligence (ICTAI)</t>
  </si>
  <si>
    <t xml:space="preserve">https://doi.org/10.1109/ICTAI66417.2025.00189</t>
  </si>
  <si>
    <t xml:space="preserve">Domain-Specific Language (DSL) design is a foun- requires specialized expertise in both the target domain and dational yet labor-intensive task in software engineering (SE). language engineering princ</t>
  </si>
  <si>
    <t xml:space="preserve">Include</t>
  </si>
  <si>
    <t xml:space="preserve">Primary study included for Data Extraction &amp; Quality Assessment (Full text retrieved and evaluated).</t>
  </si>
  <si>
    <t xml:space="preserve">Yes - PDF on file, matched to Data Extraction &amp; QA</t>
  </si>
  <si>
    <t xml:space="preserve">ScienceDirect</t>
  </si>
  <si>
    <t xml:space="preserve">A framework for assessing the capabilities of code generation of constraint domain-specific languages with large language models</t>
  </si>
  <si>
    <t xml:space="preserve">Pre-coded AI-DME relevant study (RQ4, RQ8, RQ9, RQ10). Evaluates LLM generation of formal constraint DSLs (OCL, Alloy) from textual specifications with code repair mechanisms.</t>
  </si>
  <si>
    <t xml:space="preserve">ACM Digital Library</t>
  </si>
  <si>
    <t xml:space="preserve">Enhancing Model-Driven Reverse Engineering Using Machine Learning</t>
  </si>
  <si>
    <t xml:space="preserve">Hanan Abdulwahab Siala</t>
  </si>
  <si>
    <t xml:space="preserve">ICSE-Companion '24: 46th Int'l Conf. on Software Engineering: Companion Proceedings</t>
  </si>
  <si>
    <t xml:space="preserve">https://doi.org/10.1145/3639478.3639797</t>
  </si>
  <si>
    <t xml:space="preserve">AI (LLM) applied to code-to-model reverse engineering, producing UML/OCL artefacts; directly addresses RQ10 (code-to-model transformation).</t>
  </si>
  <si>
    <t xml:space="preserve">Improving BPMN Model Generation from Texts through a Prompt-Guided Fusion of NLP and LLM Approaches</t>
  </si>
  <si>
    <t xml:space="preserve">Intissar Boujmil, Wiem Chebil</t>
  </si>
  <si>
    <t xml:space="preserve">K-CAP '25: 13th Knowledge Capture Conference</t>
  </si>
  <si>
    <t xml:space="preserve">https://doi.org/10.1145/3731443.3771362</t>
  </si>
  <si>
    <t xml:space="preserve">AI (NLP + LLM) applied to generate a software/process model (BPMN) from natural-language text; addresses RQ5 (requirements-to-model) and RQ4 (BPMN).</t>
  </si>
  <si>
    <t xml:space="preserve">Automated Domain Modeling with Large Language Models: A Comparative Study</t>
  </si>
  <si>
    <t xml:space="preserve">Kua Chen; Yujing Yang; Boqi Chen; Jose Antonio Hernandez Lopez; Gunter Mussbacher; Daniel Varro</t>
  </si>
  <si>
    <t xml:space="preserve">MODELS '23: ACM/IEEE 26th Int'l Conf. on Model Driven Engineering Languages and Systems</t>
  </si>
  <si>
    <t xml:space="preserve">https://doi.org/10.1109/MODELS58315.2023.00037</t>
  </si>
  <si>
    <t xml:space="preserve">AI (LLM) applied directly to domain-model generation with rigorous empirical evaluation against expert baselines; strong fit for RQ5/RQ8/RQ11 (productivity and quality vs. traditional MDE).</t>
  </si>
  <si>
    <t xml:space="preserve">On the Utility of Domain Modeling Assistance with Large Language Models</t>
  </si>
  <si>
    <t xml:space="preserve">Meriem Ben Chaaben, Lola Burgueño, Istvan David, Houari Sahraoui</t>
  </si>
  <si>
    <t xml:space="preserve">ACM Transactions on Software Engineering and Methodology</t>
  </si>
  <si>
    <t xml:space="preserve">https://doi.org/10.1145/3744920</t>
  </si>
  <si>
    <t xml:space="preserve">AI (LLM) applied directly to domain modelling task within MDE; addresses model generation/completion and semantic-conformance validation (RQ5/RQ8).</t>
  </si>
  <si>
    <t xml:space="preserve">Toward a New Era of Rapid Development: Assessing GPT-4-Vision's Capabilities in UML-Based Code Generation</t>
  </si>
  <si>
    <t xml:space="preserve">Gabor Antal; Richard Vozar; Rudolf Ferenc</t>
  </si>
  <si>
    <t xml:space="preserve">LLM4Code '24: Int'l Workshop on Large Language Models for Code (co-located with ICSE)</t>
  </si>
  <si>
    <t xml:space="preserve">https://doi.org/10.1145/3643795.3648391</t>
  </si>
  <si>
    <t xml:space="preserve">AI (multimodal LLM) applied to UML model-to-code synthesis; directly addresses RQ10 (model-to-code transformation).</t>
  </si>
  <si>
    <t xml:space="preserve">Scopus</t>
  </si>
  <si>
    <t xml:space="preserve">Creating and Validating a Ground Truth Dataset of Unified Modeling Language Diagrams Using Deep Learning Techniques</t>
  </si>
  <si>
    <t xml:space="preserve">Applied Sciences (Switzerland), 14 (23), art. no. 10873</t>
  </si>
  <si>
    <t xml:space="preserve">10.3390/app142310873</t>
  </si>
  <si>
    <t xml:space="preserve">AI technique + model-engineering context both present</t>
  </si>
  <si>
    <t xml:space="preserve">Exclude</t>
  </si>
  <si>
    <t xml:space="preserve">Unable to access full text - subscription required</t>
  </si>
  <si>
    <t xml:space="preserve">Excluded after full-text eligibility review.</t>
  </si>
  <si>
    <t xml:space="preserve">N/A - excluded prior to full-text stage</t>
  </si>
  <si>
    <t xml:space="preserve">Generating Java code pairing with ChatGPT</t>
  </si>
  <si>
    <t xml:space="preserve">Theoretical Computer Science, 1021, art. no. 114879</t>
  </si>
  <si>
    <t xml:space="preserve">10.1016/j.tcs.2024.114879</t>
  </si>
  <si>
    <t xml:space="preserve">Aligning Crowd-Sourced Human Feedback for Reinforcement Learning on Code Generation by Large Language Models</t>
  </si>
  <si>
    <t xml:space="preserve">IEEE Transactions on Big Data</t>
  </si>
  <si>
    <t xml:space="preserve">10.1109/TBDATA.2024.3524104</t>
  </si>
  <si>
    <t xml:space="preserve">Using Large Language Models to Extract UML Class Diagrams from Java Programs</t>
  </si>
  <si>
    <t xml:space="preserve">https://doi.org/10.1109/ICoSSE65712.2025.00020</t>
  </si>
  <si>
    <t xml:space="preserve">Many organizations rely on software systems to The class diagram is the most commonly used type of UML perform their core business operations. These systems often diagram, and it defines a data-orient</t>
  </si>
  <si>
    <t xml:space="preserve">Web of Science</t>
  </si>
  <si>
    <t xml:space="preserve">VeriGen: An LLM-Augmented Framework for End-to-End Automation of Software Development Lifecycle-From Requirements Specifications to Code Generation</t>
  </si>
  <si>
    <t xml:space="preserve">IEEE ACCESS</t>
  </si>
  <si>
    <t xml:space="preserve">10.1109/ACCESS.2026.3686308</t>
  </si>
  <si>
    <t xml:space="preserve">In recent years, Large Language Models (LLMs) and Generative Artificial Intelligence (GenAI) have gained significant momentum in the automation of software development. Although, previous research stu</t>
  </si>
  <si>
    <t xml:space="preserve">SCEditor-Web: Bridging Model-Driven Engineering and Generative AI for Smart Contract Development</t>
  </si>
  <si>
    <t xml:space="preserve">INFORMATION</t>
  </si>
  <si>
    <t xml:space="preserve">10.3390/info16100870</t>
  </si>
  <si>
    <t xml:space="preserve">Smart contracts are central to blockchain ecosystems, yet their development remains technically demanding, error-prone, and tied to platform-specific programming languages. This paper introduces SCEdi</t>
  </si>
  <si>
    <t xml:space="preserve">AI-Augmented Real-Time Collaborative Blended Modeling Framework for Automotive Embedded Systems</t>
  </si>
  <si>
    <t xml:space="preserve">IET SOFTWARE</t>
  </si>
  <si>
    <t xml:space="preserve">10.1049/sfw2/6696040</t>
  </si>
  <si>
    <t xml:space="preserve">Model-driven engineering (MDE) has emerged as a foundational paradigm for the development of embedded systems in domains such as automotive, where stringent correctness and structural consistency must</t>
  </si>
  <si>
    <t xml:space="preserve">AST-guided transformers for sustainable and reliable UML modeling</t>
  </si>
  <si>
    <t xml:space="preserve">MACHINE LEARNING WITH APPLICATIONS</t>
  </si>
  <si>
    <t xml:space="preserve">10.1016/j.mlwa.2026.100940</t>
  </si>
  <si>
    <t xml:space="preserve">The manual conversion of natural language software requirements into Unified Modeling Language (UML) class diagrams is often labor-intensive, dependent on expert knowledge, and susceptible to human er</t>
  </si>
  <si>
    <t xml:space="preserve">Assessing UML diagrams by GPT: Implications for education</t>
  </si>
  <si>
    <t xml:space="preserve">Pre-coded AI-DME relevant study (RQ4, RQ6, RQ8, RQ9). Evaluates GPTs capabilities in assessing and grading UML use case, class, and sequence diagrams against expert baselines. Educational implication</t>
  </si>
  <si>
    <t xml:space="preserve">An evolutionary approach for generating software models: The case of Kromaia in Game Software Engineering</t>
  </si>
  <si>
    <t xml:space="preserve">Pre-coded AI-DME relevant study (RQ6, RQ7, RQ11). Evolutionary model generation (EMoGen) producing industrial software models of &gt;1000 elements in 5 hours versus 10 months of manual effort (Kromaia ga</t>
  </si>
  <si>
    <t xml:space="preserve">SpringerLink</t>
  </si>
  <si>
    <t xml:space="preserve">Generative AI for BPMN Process Analysis: Experiments with Multi-modal Process Representations</t>
  </si>
  <si>
    <t xml:space="preserve">Damaris Naomi Dolha; Robert Andrei Buchmann</t>
  </si>
  <si>
    <t xml:space="preserve">Perspectives in Business Informatics Research</t>
  </si>
  <si>
    <t xml:space="preserve">https://link.springer.com/chapter/10.1007/978-3-031-71333-0_2</t>
  </si>
  <si>
    <t xml:space="preserve">Applies AI/ML techniques (e.g., LLMs, Deep Learning, Knowledge Graphs, Reinforcement Learning, NLP) to software/systems modeling artefacts (UML, SysML, BPMN, DSLs, metamodels, or model transformations</t>
  </si>
  <si>
    <t xml:space="preserve">Natural Language to Unified Modeling Diagrams; A Deep Learning Approach</t>
  </si>
  <si>
    <t xml:space="preserve">Murali Mohanan</t>
  </si>
  <si>
    <t xml:space="preserve">Data Science and Applications</t>
  </si>
  <si>
    <t xml:space="preserve">https://link.springer.com/chapter/10.1007/978-981-99-7820-5_40</t>
  </si>
  <si>
    <t xml:space="preserve">TTool-AI: A Large Language Model-Based Assistant for Model Driven Engineering</t>
  </si>
  <si>
    <t xml:space="preserve">Bastien Sultan; Ludovic Apvrille</t>
  </si>
  <si>
    <t xml:space="preserve">SN Computer Science</t>
  </si>
  <si>
    <t xml:space="preserve">https://link.springer.com/article/10.1007/s42979-025-04444-w</t>
  </si>
  <si>
    <t xml:space="preserve">Software Requirements to UML Class Diagrams Using Machine Learning and Rule-Based Approach</t>
  </si>
  <si>
    <t xml:space="preserve">Feisal Alaswad; E. Poovammal; Batoul Aljaddouh; B. Supriya</t>
  </si>
  <si>
    <t xml:space="preserve">Intelligent Systems in Computing and Communication</t>
  </si>
  <si>
    <t xml:space="preserve">https://link.springer.com/chapter/10.1007/978-3-031-75605-4_6</t>
  </si>
  <si>
    <t xml:space="preserve">Impromptu: a framework for model-driven prompt engineering</t>
  </si>
  <si>
    <t xml:space="preserve">Sergio Morales; Robert ClarisóJordi Cabot</t>
  </si>
  <si>
    <t xml:space="preserve">Software and Systems Modeling</t>
  </si>
  <si>
    <t xml:space="preserve">https://link.springer.com/article/10.1007/s10270-024-01235-4</t>
  </si>
  <si>
    <t xml:space="preserve">Cross-platform edge deployment of machine learning models: a model-driven approach</t>
  </si>
  <si>
    <t xml:space="preserve">Albin Karlsson Landgren; Philip Perhult Johnsen; Daniel Strüber</t>
  </si>
  <si>
    <t xml:space="preserve">https://link.springer.com/article/10.1007/s10270-025-01273-6</t>
  </si>
  <si>
    <t xml:space="preserve">Application of the Tree-of-Thoughts Framework to LLM-Enabled Domain Modeling</t>
  </si>
  <si>
    <t xml:space="preserve">Jonathan Silva; Qin Ma; Jordi Cabot; Pierre Kelsen; Henderik A. Proper</t>
  </si>
  <si>
    <t xml:space="preserve">Conceptual Modeling</t>
  </si>
  <si>
    <t xml:space="preserve">https://link.springer.com/chapter/10.1007/978-3-031-75872-0_6</t>
  </si>
  <si>
    <t xml:space="preserve">Towards a Maude-Based Approach for Formal Modeling Deep Neural Networks</t>
  </si>
  <si>
    <t xml:space="preserve">Angham Boukhari; Aïcha Choutri; Faiza Belala; Ahmed Hadj Kacem</t>
  </si>
  <si>
    <t xml:space="preserve">Advancements in Machine Learning and Natural Language Processing: Innovations and Applications</t>
  </si>
  <si>
    <t xml:space="preserve">https://link.springer.com/chapter/10.1007/978-3-031-85067-7_5</t>
  </si>
  <si>
    <t xml:space="preserve">Towards an LLM-Based Conversational Framework for Business Process Modeling: Research Approach and Preliminary Results</t>
  </si>
  <si>
    <t xml:space="preserve">Luca Franziska Hörner</t>
  </si>
  <si>
    <t xml:space="preserve">Intelligent Information Systems</t>
  </si>
  <si>
    <t xml:space="preserve">https://link.springer.com/chapter/10.1007/978-3-031-94590-8_34</t>
  </si>
  <si>
    <t xml:space="preserve">LLM4BPMN: A Prompting Approach with LLMs for BPMN Model Generation</t>
  </si>
  <si>
    <t xml:space="preserve">Ana Costa; Alena Wimmer; Luise Pufahl</t>
  </si>
  <si>
    <t xml:space="preserve">Enterprise Design, Operations, and Computing. EDOC 2025 Workshops</t>
  </si>
  <si>
    <t xml:space="preserve">https://link.springer.com/chapter/10.1007/978-3-032-16234-2_22</t>
  </si>
  <si>
    <t xml:space="preserve">Experimental Assessments of Retrieval-Augmented Conversational Agents Interpreting RDF-Serialized BPMN Models</t>
  </si>
  <si>
    <t xml:space="preserve">https://link.springer.com/chapter/10.1007/978-3-032-04375-7_18</t>
  </si>
  <si>
    <t xml:space="preserve">Prompt-Guided Evaluation of GPT-4o, Gemini and DeepSeek on UML-to-Java Code Generation</t>
  </si>
  <si>
    <t xml:space="preserve">Miguel Escobar; Rene Noel; Oscar Pastor</t>
  </si>
  <si>
    <t xml:space="preserve">Advances in Conceptual Modeling</t>
  </si>
  <si>
    <t xml:space="preserve">https://link.springer.com/chapter/10.1007/978-3-032-08620-4_13</t>
  </si>
  <si>
    <t xml:space="preserve">H2A-BPMN: A Hierarchical and Hybrid Agent Framework for Industrial BPMN Automated Modeling</t>
  </si>
  <si>
    <t xml:space="preserve">Qingguo Xu; Yidan Zhang; Huilong Tang; Qionghuizi Ran; Honghao Gao; Yueshen Xu</t>
  </si>
  <si>
    <t xml:space="preserve">Collaborative Computing: Networking, Applications and Worksharing</t>
  </si>
  <si>
    <t xml:space="preserve">https://link.springer.com/chapter/10.1007/978-3-032-21171-2_10</t>
  </si>
  <si>
    <t xml:space="preserve">AGREE-Dog Copilot: A Neuro-Symbolic Approach to Enhanced Model-Based Systems Engineering</t>
  </si>
  <si>
    <t xml:space="preserve">Amer Tahat; Isaac Amundson; David Hardin; Darren Cofer</t>
  </si>
  <si>
    <t xml:space="preserve">Bridging the Gap Between AI and Reality</t>
  </si>
  <si>
    <t xml:space="preserve">https://link.springer.com/chapter/10.1007/978-3-032-07132-3_8</t>
  </si>
  <si>
    <t xml:space="preserve">A Modeling Framework for Hardware-Software Systems with Machine Learning Components</t>
  </si>
  <si>
    <t xml:space="preserve">Francesco Bedini; Tino Jungebloud; Ralph Maschotta; Armin Zimmermann</t>
  </si>
  <si>
    <t xml:space="preserve">Model-Based Software and Systems Engineering</t>
  </si>
  <si>
    <t xml:space="preserve">https://link.springer.com/chapter/10.1007/978-3-031-96841-9_11</t>
  </si>
  <si>
    <t xml:space="preserve">Model-Driven Framework for Embedded Systems Design Automation Using Natural Language Processing and Large Language Models</t>
  </si>
  <si>
    <t xml:space="preserve">Muhammad Waseem Anwar; Bilal Maqbool; Muhammad Shahroze Ali</t>
  </si>
  <si>
    <t xml:space="preserve">Information and Software Technologies</t>
  </si>
  <si>
    <t xml:space="preserve">https://link.springer.com/chapter/10.1007/978-3-032-16808-5_4</t>
  </si>
  <si>
    <t xml:space="preserve">Iterative vs. Plan-Driven Approaches in Human-LLM Collaborative Modeling: An Empirical Study</t>
  </si>
  <si>
    <t xml:space="preserve">Iris Reinhartz-Berger; Arava Tsoury</t>
  </si>
  <si>
    <t xml:space="preserve">Advanced Information Systems Engineering</t>
  </si>
  <si>
    <t xml:space="preserve">https://link.springer.com/chapter/10.1007/978-3-032-28117-3_1</t>
  </si>
  <si>
    <t xml:space="preserve">Evaluating Large Language Models in Exercises of UML Class Diagram Modeling</t>
  </si>
  <si>
    <t xml:space="preserve">Daniele De Bari; Giacomo Garaccione; Riccardo Coppola; Marco Torchiano; Luca Ardito</t>
  </si>
  <si>
    <t xml:space="preserve">ESEM '24: 18th ACM/IEEE Int'l Symp. on Empirical Software Engineering and Measurement</t>
  </si>
  <si>
    <t xml:space="preserve">https://doi.org/10.1145/3674805.3690741</t>
  </si>
  <si>
    <t xml:space="preserve">Applies LLMs (AI technique) to generate and evaluate UML class diagrams (software model); empirical comparison against human baseline; addresses RQ5/RQ8.</t>
  </si>
  <si>
    <t xml:space="preserve">Architecting Reliable Multi-Agent Systems with Large Language Models Through Model-Driven Engineering</t>
  </si>
  <si>
    <t xml:space="preserve">Baghdad Science Journal, 23 (6), pp. 2258 - 2285</t>
  </si>
  <si>
    <t xml:space="preserve">10.21123/2411-7986.5338</t>
  </si>
  <si>
    <t xml:space="preserve">MAS4SysML: A Multi-Agent Framework for SysML v2 Model Generation from Natural Language</t>
  </si>
  <si>
    <t xml:space="preserve">Journal of Visualized Experiments, 2026-May (231), art. no. e70395</t>
  </si>
  <si>
    <t xml:space="preserve">10.3791/70395</t>
  </si>
  <si>
    <t xml:space="preserve">No Resource, No Benchmarks, No Problem? Evaluating and Improving LLMs for Code Generation in No-Resource Languages</t>
  </si>
  <si>
    <t xml:space="preserve">IEEE Transactions on Software Engineering</t>
  </si>
  <si>
    <t xml:space="preserve">10.1109/TSE.2026.3703553</t>
  </si>
  <si>
    <t xml:space="preserve">MoRe: LLM-Based Domain Model Generation with Hybrid Self-Refinement</t>
  </si>
  <si>
    <t xml:space="preserve">Electronics (Switzerland), 15 (6), art. no. 1239</t>
  </si>
  <si>
    <t xml:space="preserve">10.3390/electronics15061239</t>
  </si>
  <si>
    <t xml:space="preserve">Structure-guided function-level code generation with LLMs via UML activity diagrams</t>
  </si>
  <si>
    <t xml:space="preserve">Neurocomputing, 669, art. no. 132502</t>
  </si>
  <si>
    <t xml:space="preserve">10.1016/j.neucom.2025.132502</t>
  </si>
  <si>
    <t xml:space="preserve">Leveraging LLMs for abstracting UML and OCL representations from Java and Python programs</t>
  </si>
  <si>
    <t xml:space="preserve">Journal of Systems and Software, 238, art. no. 112874</t>
  </si>
  <si>
    <t xml:space="preserve">10.1016/j.jss.2026.112874</t>
  </si>
  <si>
    <t xml:space="preserve">An Example of Developing a High-level Requirements Specification for AI-based Software using ChatGPT</t>
  </si>
  <si>
    <t xml:space="preserve">International Journal of Wireless and Microwave Technologies, 16 (3), pp. 111 - 127</t>
  </si>
  <si>
    <t xml:space="preserve">10.5815/ijwmt.2026.03.08</t>
  </si>
  <si>
    <t xml:space="preserve">Generative AI-Assisted Development of Domain-Specific Trading Automation: A Framework for Liquidity Gap Detection in MQL4</t>
  </si>
  <si>
    <t xml:space="preserve">IEEE Access, 14, pp. 83921 - 83933</t>
  </si>
  <si>
    <t xml:space="preserve">10.1109/ACCESS.2026.3699382</t>
  </si>
  <si>
    <t xml:space="preserve">LLM4MTLs: Automated Generation and Empirical Evaluation of Model Transformation Languages</t>
  </si>
  <si>
    <t xml:space="preserve">Journal of Object Technology, 25 (3), pp. 281 - 294</t>
  </si>
  <si>
    <t xml:space="preserve">10.5381/jot.2026.25.3.a22</t>
  </si>
  <si>
    <t xml:space="preserve">AutoArk: A model-based approach for ArkTS application code generation</t>
  </si>
  <si>
    <t xml:space="preserve">Science of Computer Programming, 253, art. no. 103503</t>
  </si>
  <si>
    <t xml:space="preserve">10.1016/j.scico.2026.103503</t>
  </si>
  <si>
    <t xml:space="preserve">iCoder: A multi agent software development platform</t>
  </si>
  <si>
    <t xml:space="preserve">Information and Software Technology, 198, art. no. 108224</t>
  </si>
  <si>
    <t xml:space="preserve">10.1016/j.infsof.2026.108224</t>
  </si>
  <si>
    <t xml:space="preserve">DSL-Xpert 2.0: Enhancing LLM-driven code generation for domain-specific languages</t>
  </si>
  <si>
    <t xml:space="preserve">Information and Software Technology, 190, art. no. 107954</t>
  </si>
  <si>
    <t xml:space="preserve">10.1016/j.infsof.2025.107954</t>
  </si>
  <si>
    <t xml:space="preserve">Leveraging LLMs for Grammar Adaptation: A Study on Metamodel-Grammar Co-Evolution</t>
  </si>
  <si>
    <t xml:space="preserve">Journal of Object Technology, 25 (3), pp. 169 - 182</t>
  </si>
  <si>
    <t xml:space="preserve">10.5381/jot.2026.25.3.a13</t>
  </si>
  <si>
    <t xml:space="preserve">From Fine-Tuning to Evaluation: How LLM Enables Automatic Domain Modeling</t>
  </si>
  <si>
    <t xml:space="preserve">IET Software, 2026 (1), art. no. 1690605</t>
  </si>
  <si>
    <t xml:space="preserve">10.1049/sfw2/1690605</t>
  </si>
  <si>
    <t xml:space="preserve">Leveraging Large Language Models for Model Generation and Verification in Autonomous Emergency Braking Systems</t>
  </si>
  <si>
    <t xml:space="preserve">Big Data and Computing Visions, 6 (1), pp. 116 - 139</t>
  </si>
  <si>
    <t xml:space="preserve">10.22105/bdcv.2026.557980.1331</t>
  </si>
  <si>
    <t xml:space="preserve">MemoRec: a recommender system for assisting modelers in specifying metamodels</t>
  </si>
  <si>
    <t xml:space="preserve">Juri Di Rocco; Davide Di Ruscio; Claudio Di Sipio; Phuong T. Nguyen; Alfonso Pierantonio</t>
  </si>
  <si>
    <t xml:space="preserve">10.1007/s10270-022-00994-2</t>
  </si>
  <si>
    <t xml:space="preserve">Full text read directly - added during full-text review stage</t>
  </si>
  <si>
    <t xml:space="preserve">Towards the Integration Support for Machine Learning of Inter-Model Relations in Model Views</t>
  </si>
  <si>
    <t xml:space="preserve">James Pontes Miranda; Hugo Bruneliere; Massimo Tisi; Gerson Sunye</t>
  </si>
  <si>
    <t xml:space="preserve">SAC '24 (39th ACM/SIGAPP Symposium on Applied Computing)</t>
  </si>
  <si>
    <t xml:space="preserve">10.1145/3605098.3636143</t>
  </si>
  <si>
    <t xml:space="preserve">Summary Statistics:</t>
  </si>
  <si>
    <t xml:space="preserve">Total Reviewed Candidates: 52 | Total Included Primary Studies: 26 | Excluded Studies: 26</t>
  </si>
  <si>
    <t xml:space="preserve">AI-Driven Model Engineering: SLR Data Extraction Table</t>
  </si>
  <si>
    <t xml:space="preserve">Structured Extraction Across 26 Included Primary Studies (Aligned with SLR Research Guide Section 7)</t>
  </si>
  <si>
    <t xml:space="preserve">Paper ID</t>
  </si>
  <si>
    <t xml:space="preserve">Study &amp; Contribution Type</t>
  </si>
  <si>
    <t xml:space="preserve">AI Technique &amp; Model Architecture</t>
  </si>
  <si>
    <t xml:space="preserve">Model-Engineering Lifecycle Stage</t>
  </si>
  <si>
    <t xml:space="preserve">Target Modelling Language &amp; Artefacts</t>
  </si>
  <si>
    <t xml:space="preserve">Input Artefact</t>
  </si>
  <si>
    <t xml:space="preserve">Output Artefact</t>
  </si>
  <si>
    <t xml:space="preserve">Validation Mechanism &amp; Deterministic Tools</t>
  </si>
  <si>
    <t xml:space="preserve">Automation Level &amp; Assigned Maturity</t>
  </si>
  <si>
    <t xml:space="preserve">Key Metrics &amp; Reported Performance</t>
  </si>
  <si>
    <t xml:space="preserve">Reported Strengths &amp; Contributions</t>
  </si>
  <si>
    <t xml:space="preserve">Limitations &amp; Research Gaps</t>
  </si>
  <si>
    <t xml:space="preserve">RQ2DSL: An AI Agent for Automated Domain-Specific Language Grammar Generation from Requirements</t>
  </si>
  <si>
    <t xml:space="preserve">Dept. of Electrical and Computer Engineering</t>
  </si>
  <si>
    <t xml:space="preserve">IEEE ICTAI 2025</t>
  </si>
  <si>
    <t xml:space="preserve">Tool &amp; Agent Framework / Empirical Study</t>
  </si>
  <si>
    <t xml:space="preserve">LLM Agents (Automated Prompting, PEG Parser Construction)</t>
  </si>
  <si>
    <t xml:space="preserve">DSL Engineering / Grammar Generation</t>
  </si>
  <si>
    <t xml:space="preserve">PEG / DSL Grammars</t>
  </si>
  <si>
    <t xml:space="preserve">Natural-Language Requirement Specifications</t>
  </si>
  <si>
    <t xml:space="preserve">Executable PEG Grammar &amp; Metadata Library</t>
  </si>
  <si>
    <t xml:space="preserve">ANTLR/PEG Syntax Parser, AST Conformance, Human Inspection</t>
  </si>
  <si>
    <t xml:space="preserve">Level 2 - Semi-Autonomous (AI Agent with GUI)</t>
  </si>
  <si>
    <t xml:space="preserve">Grammar Correctness (92.4%), Parsing Coverage, AST Accuracy</t>
  </si>
  <si>
    <t xml:space="preserve">Complete Library Interface with CRUD operations; accessible to non-experts without grammar engineering knowledge.</t>
  </si>
  <si>
    <t xml:space="preserve">Limited to Parsing Expression Grammars; lack of semantic validation for generated DSL ASTs.</t>
  </si>
  <si>
    <t xml:space="preserve">Anonymous / Elsevier</t>
  </si>
  <si>
    <t xml:space="preserve">Journal of Systems &amp; Software</t>
  </si>
  <si>
    <t xml:space="preserve">https://doi.org/10.1016/j.jss.2026.112900</t>
  </si>
  <si>
    <t xml:space="preserve">Evaluation Framework &amp; Benchmark</t>
  </si>
  <si>
    <t xml:space="preserve">LLMs (GPT-4o, Claude 3.5, LLM-as-a-judge) + Automatic Syntax Checker</t>
  </si>
  <si>
    <t xml:space="preserve">Model-to-Code / Constraint DSL Synthesis</t>
  </si>
  <si>
    <t xml:space="preserve">OCL / Alloy / Constraint DSLs</t>
  </si>
  <si>
    <t xml:space="preserve">Textual Problem Specifications &amp; Invariant Rules</t>
  </si>
  <si>
    <t xml:space="preserve">Formal Constraint Specifications (OCL/Alloy Code)</t>
  </si>
  <si>
    <t xml:space="preserve">Parser-based Well-formedness Check, Executable Solver, LLM-as-a-judge Confusion Matrix Alignment</t>
  </si>
  <si>
    <t xml:space="preserve">Level 3 - Verifier-Guided (Feedback-driven Repair Loop)</t>
  </si>
  <si>
    <t xml:space="preserve">Precision, Recall, Accuracy, Confusion Matrix (TP, FP, TN, FN)</t>
  </si>
  <si>
    <t xml:space="preserve">Rigorous comparison between manual expert assessment and LLM-as-a-judge automated checks using confusion matrices.</t>
  </si>
  <si>
    <t xml:space="preserve">LLMs exhibit overconfidence on syntactically valid but semantically unsound invariants.</t>
  </si>
  <si>
    <t xml:space="preserve">ICSE-Companion 2024</t>
  </si>
  <si>
    <t xml:space="preserve">Methodology &amp; Doctoral Research</t>
  </si>
  <si>
    <t xml:space="preserve">LLMs + Design Science Methodology (DSM)</t>
  </si>
  <si>
    <t xml:space="preserve">Code-to-Model Reverse Engineering</t>
  </si>
  <si>
    <t xml:space="preserve">UML Class Diagrams &amp; OCL Invariants</t>
  </si>
  <si>
    <t xml:space="preserve">Legacy Source Code (Java / Python)</t>
  </si>
  <si>
    <t xml:space="preserve">Abstracted UML Class Models &amp; OCL Specifications</t>
  </si>
  <si>
    <t xml:space="preserve">Semantic Correctness/Completeness vs Ground Truth, Case Study Evaluation</t>
  </si>
  <si>
    <t xml:space="preserve">Level 2 - Semi-Autonomous (Pre/Post-processing Pipeline)</t>
  </si>
  <si>
    <t xml:space="preserve">Model Completeness, Semantic Correctness, Diagram Comprehensibility</t>
  </si>
  <si>
    <t xml:space="preserve">Combines structural UML extraction with behavioral OCL invariant recovery for program comprehension.</t>
  </si>
  <si>
    <t xml:space="preserve">Initial prototype struggled with large legacy systems containing unstructured control flow.</t>
  </si>
  <si>
    <t xml:space="preserve">K-CAP 2025</t>
  </si>
  <si>
    <t xml:space="preserve">Empirical Framework</t>
  </si>
  <si>
    <t xml:space="preserve">Prompt-Guided Fusion of NLP (Spacy/Stanza) + LLMs</t>
  </si>
  <si>
    <t xml:space="preserve">Requirements-to-Model Generation</t>
  </si>
  <si>
    <t xml:space="preserve">BPMN 2.0 Business Process Models</t>
  </si>
  <si>
    <t xml:space="preserve">Unstructured Process Descriptions in Natural Language</t>
  </si>
  <si>
    <t xml:space="preserve">Structured BPMN 2.0 XML / Diagram Representations</t>
  </si>
  <si>
    <t xml:space="preserve">BPMN Metamodel Conformance Parser, Semantic Similarity with Expert Models</t>
  </si>
  <si>
    <t xml:space="preserve">Level 2 - Semi-Autonomous</t>
  </si>
  <si>
    <t xml:space="preserve">Precision (0.84), Recall (0.81), F1-score (0.82), Soundness</t>
  </si>
  <si>
    <t xml:space="preserve">Hybrid fusion overcomes LLM hallucination in gateway logic and sequence flow ordering.</t>
  </si>
  <si>
    <t xml:space="preserve">Difficulty handling complex boundary events and nested sub-processes.</t>
  </si>
  <si>
    <t xml:space="preserve">Kua Chen, Yujing Yang, Boqi Chen, Jose Antonio Hernandez Lopez, Gunter Mussbacher, Daniel Varro</t>
  </si>
  <si>
    <t xml:space="preserve">MODELS 2023</t>
  </si>
  <si>
    <t xml:space="preserve">Empirical Benchmark Study</t>
  </si>
  <si>
    <t xml:space="preserve">LLMs (GPT-3.5, GPT-4, Few-Shot, Chain-of-Thought Prompting)</t>
  </si>
  <si>
    <t xml:space="preserve">Domain Modeling / Requirements-to-Model</t>
  </si>
  <si>
    <t xml:space="preserve">UML Class Diagrams / Domain Models</t>
  </si>
  <si>
    <t xml:space="preserve">10 Diverse Textual Domain Descriptions</t>
  </si>
  <si>
    <t xml:space="preserve">Textual Class Diagrams (Classes, Attributes, Relationships)</t>
  </si>
  <si>
    <t xml:space="preserve">Expert Reference Models, Weighted Precision/Recall (0.5 for partial matches c3)</t>
  </si>
  <si>
    <t xml:space="preserve">Level 1 - Assisted</t>
  </si>
  <si>
    <t xml:space="preserve">Class F1 (0.76), Attribute F1 (0.61), Relationship F1 (0.34)</t>
  </si>
  <si>
    <t xml:space="preserve">Pioneering comparative benchmark dataset with 10 expert-crafted domain modeling reference solutions.</t>
  </si>
  <si>
    <t xml:space="preserve">Low recall on complex relationships (0.34 F1); failure to follow object-oriented best practices consistently.</t>
  </si>
  <si>
    <t xml:space="preserve">ACM TOSEM 2026</t>
  </si>
  <si>
    <t xml:space="preserve">User Study &amp; Tool Evaluation</t>
  </si>
  <si>
    <t xml:space="preserve">Few-Shot Prompt Learning + MAGDA Eclipse/Sirius Modeling Recommender Tool</t>
  </si>
  <si>
    <t xml:space="preserve">Interactive Domain Modeling Assistance &amp; Completion</t>
  </si>
  <si>
    <t xml:space="preserve">UML Class Diagrams</t>
  </si>
  <si>
    <t xml:space="preserve">Partial Models + Natural Language Domain Context</t>
  </si>
  <si>
    <t xml:space="preserve">Real-Time Concept/Attribute/Relationship Recommendations</t>
  </si>
  <si>
    <t xml:space="preserve">User Study with Human Modelers (Productivity, Contributivity, Creativity, UX)</t>
  </si>
  <si>
    <t xml:space="preserve">Level 1 - Assisted (Human-in-the-loop Interactive Modes: Automatic, At-End, On-Request)</t>
  </si>
  <si>
    <t xml:space="preserve">Time-on-task Reduction (28%), Acceptance Rate (64%), Contribution Rate, UX Likert Scores</t>
  </si>
  <si>
    <t xml:space="preserve">Evaluates human-AI collaborative dynamics and real-world utility across 3 recommendation modes.</t>
  </si>
  <si>
    <t xml:space="preserve">On-request mode preferred by expert modelers due to distraction caused by intrusive automatic popups.</t>
  </si>
  <si>
    <t xml:space="preserve">Gabor Antal, Richard Vozar, Rudolf Ferenc</t>
  </si>
  <si>
    <t xml:space="preserve">LLM4Code 2024 (ICSE Workshop)</t>
  </si>
  <si>
    <t xml:space="preserve">Empirical Feasibility Study</t>
  </si>
  <si>
    <t xml:space="preserve">Multimodal Vision LLMs (GPT-4 Vision)</t>
  </si>
  <si>
    <t xml:space="preserve">Model-to-Code Transformation</t>
  </si>
  <si>
    <t xml:space="preserve">Java / C# Source Code</t>
  </si>
  <si>
    <t xml:space="preserve">Visual Diagram Images (UML Class Diagrams) + NL Context</t>
  </si>
  <si>
    <t xml:space="preserve">Executable Source Code Files &amp; Methods</t>
  </si>
  <si>
    <t xml:space="preserve">Manual Element Scoring (Classes, Fields, Methods, Visibility, Relationships, Implementations)</t>
  </si>
  <si>
    <t xml:space="preserve">Element Score (Single Class: 100%, Multi-Class: 51.6% - 80.0%), LOC generated</t>
  </si>
  <si>
    <t xml:space="preserve">Direct visual understanding of graphical UML diagrams without intermediate textual serialization.</t>
  </si>
  <si>
    <t xml:space="preserve">Performance degrades sharply on complex multi-class diagrams with dense relationships.</t>
  </si>
  <si>
    <t xml:space="preserve">H.A. Siala, K. Lano</t>
  </si>
  <si>
    <t xml:space="preserve">ICoSSE 2025</t>
  </si>
  <si>
    <t xml:space="preserve">Empirical Tool Evaluation</t>
  </si>
  <si>
    <t xml:space="preserve">Fine-Tuned LLMs (LLM4Models) + Java2JSON Parser</t>
  </si>
  <si>
    <t xml:space="preserve">Reverse Engineering / Code-to-Model</t>
  </si>
  <si>
    <t xml:space="preserve">Java Source Code Repositories</t>
  </si>
  <si>
    <t xml:space="preserve">JSON / PlantUML Class Diagram Representations</t>
  </si>
  <si>
    <t xml:space="preserve">Automated Comparison against Ground-Truth Java2JSON Parsed Models</t>
  </si>
  <si>
    <t xml:space="preserve">Accuracy = TP/(TP+FN), Precision, Recall, F1 across 5 Categories (Classes, Attr, Const, Meth, Rel)</t>
  </si>
  <si>
    <t xml:space="preserve">High structural fidelity in extracting methods and attributes directly from object-oriented code.</t>
  </si>
  <si>
    <t xml:space="preserve">Multiplicity and complex association role abstraction remain challenging without runtime traces.</t>
  </si>
  <si>
    <t xml:space="preserve">VeriGen: An LLM-Augmented Framework for End-to-End Automation of Software Development Lifecycle</t>
  </si>
  <si>
    <t xml:space="preserve">Anonymous / IEEE</t>
  </si>
  <si>
    <t xml:space="preserve">IEEE Access 2026</t>
  </si>
  <si>
    <t xml:space="preserve">https://doi.org/10.1109/ACCESS.2026.3686308</t>
  </si>
  <si>
    <t xml:space="preserve">Framework &amp; Tool Implementation</t>
  </si>
  <si>
    <t xml:space="preserve">LLMs (ChatGPT) + RUPPs Templates + Deterministic Verifier-Optimizer Loop</t>
  </si>
  <si>
    <t xml:space="preserve">End-to-End SDLC (Reqs -&gt; Model -&gt; Code)</t>
  </si>
  <si>
    <t xml:space="preserve">Structured NL, UML Class/Sequence, Java Code</t>
  </si>
  <si>
    <t xml:space="preserve">Unstructured Natural Language Requirements Case Studies</t>
  </si>
  <si>
    <t xml:space="preserve">Verified SNL, PlantUML Class/Sequence Diagrams, Skeletal Java Code</t>
  </si>
  <si>
    <t xml:space="preserve">Rule-Based SNL Verifier, Actor/Diagram Alignment Coverage, Expert Answer Key</t>
  </si>
  <si>
    <t xml:space="preserve">Level 3 - Verifier-Guided (Iterative Refinement Loop)</t>
  </si>
  <si>
    <t xml:space="preserve">Precision (83.5% vs 33.7% raw LLM), Recall (94.3% vs 44.6%), Over-specification Reduction (6.1% vs 99.8%)</t>
  </si>
  <si>
    <t xml:space="preserve">Drastically reduces LLM hallucination and over-specification through verifier-guided optimization.</t>
  </si>
  <si>
    <t xml:space="preserve">Rule set maintenance overhead when extending to highly non-standard business domains.</t>
  </si>
  <si>
    <t xml:space="preserve">Y.A. H., N.L., S.M.</t>
  </si>
  <si>
    <t xml:space="preserve">Information 2025</t>
  </si>
  <si>
    <t xml:space="preserve">https://doi.org/10.3390/info16100870</t>
  </si>
  <si>
    <t xml:space="preserve">Web Framework &amp; Benchmarking</t>
  </si>
  <si>
    <t xml:space="preserve">Multi-LLM Benchmarking (GPT-4o, Claude 3.7, Gemini 2.5 Pro, DeepSeek-V3)</t>
  </si>
  <si>
    <t xml:space="preserve">Model-to-Code Transformation (Smart Contracts)</t>
  </si>
  <si>
    <t xml:space="preserve">Solidity Code / Web-based JSON Metamodels</t>
  </si>
  <si>
    <t xml:space="preserve">Abstract Smart Contract Domain Specifications (JSON)</t>
  </si>
  <si>
    <t xml:space="preserve">Executable Solidity Smart Contracts &amp; Deployment Scripts</t>
  </si>
  <si>
    <t xml:space="preserve">Solidity Compiler (Syntax Success Rate SSR), Semantic Fidelity Score (SFS 0-5), Code Quality Score (CQS)</t>
  </si>
  <si>
    <t xml:space="preserve">SSR (100%), SFS (Gemini: 4.87, Claude: 4.73), CQS (Claude: 4.40), Composite NCS (Gemini: 0.951, Claude: 0.942)</t>
  </si>
  <si>
    <t xml:space="preserve">Combines visual web-based modeling editor with multi-LLM automated code generation and composite scoring.</t>
  </si>
  <si>
    <t xml:space="preserve">Lack of formal gas optimization checks and automated vulnerability scanning (e.g. Slither integration).</t>
  </si>
  <si>
    <t xml:space="preserve">M.W. Awan et al.</t>
  </si>
  <si>
    <t xml:space="preserve">IET Software 2026</t>
  </si>
  <si>
    <t xml:space="preserve">https://doi.org/10.1049/sfw2/6696040</t>
  </si>
  <si>
    <t xml:space="preserve">Industrial Architecture &amp; Toolchain</t>
  </si>
  <si>
    <t xml:space="preserve">On-Device Local LLM Inference (LLaMA) + XAI Log Analysis Engine + Xtext/EMF/EATOP</t>
  </si>
  <si>
    <t xml:space="preserve">Collaborative Blended Modeling &amp; Model Evolution</t>
  </si>
  <si>
    <t xml:space="preserve">EAST-ADL Architecture (EATEXT / EAXML)</t>
  </si>
  <si>
    <t xml:space="preserve">Textual EATEXT &amp; Tree-based EAXML Automotive System Models</t>
  </si>
  <si>
    <t xml:space="preserve">Synchronized Multi-View Models, Provenance Logs &amp; XAI Summaries</t>
  </si>
  <si>
    <t xml:space="preserve">Real-Time Model Merging Protocol (MR1-MR5 rules), Grammar Constraint Checking, Checkpointing</t>
  </si>
  <si>
    <t xml:space="preserve">Level 3 - Verifier-Guided (Deterministic local LLM + Rule-based merge engine)</t>
  </si>
  <si>
    <t xml:space="preserve">Concurrent Users (up to 100), Sync Latency (&lt;50ms), Checkpoint Recovery Rate (100%), XAI Traceability</t>
  </si>
  <si>
    <t xml:space="preserve">First privacy-preserving on-device LLM integration for automotive real-time blended modeling (Volvo wiper case study).</t>
  </si>
  <si>
    <t xml:space="preserve">High memory footprint when running local LLMs alongside heavy EMF/EATOP Eclipse instances.</t>
  </si>
  <si>
    <t xml:space="preserve">Feisal Alaswad, E. Poovammal, Batoul Aljaddouh, K. Ramana, A.A. Khan, N. Kryvinska</t>
  </si>
  <si>
    <t xml:space="preserve">Machine Learning with Applications 2026</t>
  </si>
  <si>
    <t xml:space="preserve">https://doi.org/10.1016/j.mlwa.2026.100940</t>
  </si>
  <si>
    <t xml:space="preserve">Neural Translation Framework &amp; Dataset</t>
  </si>
  <si>
    <t xml:space="preserve">Neural Machine Translation (Seq2Seq vs Seq2AST Transformer Architectures)</t>
  </si>
  <si>
    <t xml:space="preserve">UML Class Diagrams / PlantUML AST</t>
  </si>
  <si>
    <t xml:space="preserve">Textual Software Requirements (618 PlantUCD dataset pairs)</t>
  </si>
  <si>
    <t xml:space="preserve">AST-Structured JSON / PlantUML Diagram Specifications</t>
  </si>
  <si>
    <t xml:space="preserve">BLEU-4, Formula-based Correctness Eq(4) &amp; Completeness Eq(5), Blind Human Evaluation (9 assessors)</t>
  </si>
  <si>
    <t xml:space="preserve">Completeness (Overall 77.4%, Classes 83.6%), Correctness (Overall 78.2%, Classes 84.8%), Fleiss Kappa (0.78)</t>
  </si>
  <si>
    <t xml:space="preserve">Seq2AST significantly outperforms Seq2Seq by enforcing structural syntax trees during translation.</t>
  </si>
  <si>
    <t xml:space="preserve">Relational components (aggregation 65.2%, composition 64.4%) score lower due to natural language structural sparsity.</t>
  </si>
  <si>
    <t xml:space="preserve">C. Wang et al.</t>
  </si>
  <si>
    <t xml:space="preserve">Journal of Systems &amp; Software 2026</t>
  </si>
  <si>
    <t xml:space="preserve">https://doi.org/10.1016/j.jss.2026.112709</t>
  </si>
  <si>
    <t xml:space="preserve">Empirical Quality Assessment &amp; Benchmark</t>
  </si>
  <si>
    <t xml:space="preserve">Multimodal Vision LLMs (GPT-4o Vision Prompting Pipeline)</t>
  </si>
  <si>
    <t xml:space="preserve">Model Quality Assessment &amp; Educational Grading</t>
  </si>
  <si>
    <t xml:space="preserve">UML Use Case, Class, and Sequence Diagrams</t>
  </si>
  <si>
    <t xml:space="preserve">Student UML Diagram PNG Images + Problem Statement + Scoring Rubric</t>
  </si>
  <si>
    <t xml:space="preserve">Automated Deduction JSON Logs &amp; Qualitative Explanations</t>
  </si>
  <si>
    <t xml:space="preserve">Human Expert Benchmark Grading (40 Student Project Reports / 120 Diagrams)</t>
  </si>
  <si>
    <t xml:space="preserve">Level 1 - Assisted (Grading Assistant)</t>
  </si>
  <si>
    <t xml:space="preserve">Average Score Difference (Human 8.38 vs GPT 7.20 / 11 pts), Discrepancy Taxonomy (5 Types)</t>
  </si>
  <si>
    <t xml:space="preserve">Establishes a 5-type discrepancy taxonomy (Misunderstanding, Overstrictness, Wrong ID, Reasonable ID, Perfect Match).</t>
  </si>
  <si>
    <t xml:space="preserve">GPT tends to be overstrict and exhibits misunderstanding on sequence diagram message ordering.</t>
  </si>
  <si>
    <t xml:space="preserve">D. Blasco, J. Font, M. Zamorano, et al.</t>
  </si>
  <si>
    <t xml:space="preserve">Journal of Systems &amp; Software 2021</t>
  </si>
  <si>
    <t xml:space="preserve">https://doi.org/10.1016/j.jss.2020.110804</t>
  </si>
  <si>
    <t xml:space="preserve">Search-Based SE / Evolutionary Framework</t>
  </si>
  <si>
    <t xml:space="preserve">Evolutionary Model Generation (EMoGen / Genetic Algorithms &amp; Seed Strategies)</t>
  </si>
  <si>
    <t xml:space="preserve">Automated Model Synthesis &amp; Game Design Optimization</t>
  </si>
  <si>
    <t xml:space="preserve">Domain-Specific Game Behavior Models</t>
  </si>
  <si>
    <t xml:space="preserve">Initial Seed Strategies &amp; Quality Objective Criteria</t>
  </si>
  <si>
    <t xml:space="preserve">Validated Industrial Game Software Models (&gt;1000 Elements)</t>
  </si>
  <si>
    <t xml:space="preserve">Model Interpreter Validation, Quade Non-Parametric Test, Holm Post-Hoc, A12 Effect Size</t>
  </si>
  <si>
    <t xml:space="preserve">Overall Quality QOverall (0.64 vs 0.0 Random), Execution Time (5 hours vs 10 months manual)</t>
  </si>
  <si>
    <t xml:space="preserve">Synthesizes massive industrial models (&gt;1000 elements) matching human expert quality in hours rather than months.</t>
  </si>
  <si>
    <t xml:space="preserve">Requires domain-specific simulation/evaluator to compute fitness functions.</t>
  </si>
  <si>
    <t xml:space="preserve">Sergio Morales, Robert Clarisó, Jordi Cabot</t>
  </si>
  <si>
    <t xml:space="preserve">Software and Systems Modeling 2025</t>
  </si>
  <si>
    <t xml:space="preserve">https://doi.org/10.1007/s10270-024-01235-4</t>
  </si>
  <si>
    <t xml:space="preserve">Model-Driven Framework</t>
  </si>
  <si>
    <t xml:space="preserve">Model-Driven Prompt Engineering (Metamodels, Prompt Templates, LLM Orchestrator)</t>
  </si>
  <si>
    <t xml:space="preserve">Prompt Engineering Automation for MDE Tasks</t>
  </si>
  <si>
    <t xml:space="preserve">Domain-Specific Metamodels / Prompt DSLs</t>
  </si>
  <si>
    <t xml:space="preserve">Metamodel Specifications &amp; Task Templates</t>
  </si>
  <si>
    <t xml:space="preserve">Optimized Structured Prompts &amp; Generated Artifacts</t>
  </si>
  <si>
    <t xml:space="preserve">Metamodel Conformance Engine, Execution Validation across Multiple LLM Vendors</t>
  </si>
  <si>
    <t xml:space="preserve">Prompt Template Reuse Rate, Metamodel Coverage, Execution Success Rate</t>
  </si>
  <si>
    <t xml:space="preserve">Systematizes prompt engineering into a model-driven discipline with metamodels and automated bindings.</t>
  </si>
  <si>
    <t xml:space="preserve">Initial setup complexity when creating custom prompt metamodels for niche domains.</t>
  </si>
  <si>
    <t xml:space="preserve">Albin Karlsson Landgren, Philip Perhult Johnsen, Daniel Strüber</t>
  </si>
  <si>
    <t xml:space="preserve">https://doi.org/10.1007/s10270-025-01273-6</t>
  </si>
  <si>
    <t xml:space="preserve">DSL Framework &amp; Empirical Experiment</t>
  </si>
  <si>
    <t xml:space="preserve">Domain-Specific Language (DSL) + Automated Model Transformations for ML Deployment</t>
  </si>
  <si>
    <t xml:space="preserve">ML Deployment Modeling &amp; Code Generation</t>
  </si>
  <si>
    <t xml:space="preserve">ML Pipeline DSL / Cross-Platform Mobile Code (Flutter/React Native)</t>
  </si>
  <si>
    <t xml:space="preserve">ML Model Pre/Post-processing Declarative DSL Specifications</t>
  </si>
  <si>
    <t xml:space="preserve">Optimized Native Cross-Platform Deployment Code</t>
  </si>
  <si>
    <t xml:space="preserve">JSONSchema Validation in IDE, Controlled Developer Experiment &amp; User Interviews</t>
  </si>
  <si>
    <t xml:space="preserve">Development Time Savings, Maintenance Effort Reduction, Developer Satisfaction Scores</t>
  </si>
  <si>
    <t xml:space="preserve">Eliminates platform-specific glue code for deploying ML models on edge devices via MDE.</t>
  </si>
  <si>
    <t xml:space="preserve">Limited pre-built library of complex tensor transformation operations.</t>
  </si>
  <si>
    <t xml:space="preserve">Amer Tahat, Isaac Amundson, David Hardin, Darren Cofer</t>
  </si>
  <si>
    <t xml:space="preserve">Springer LNCS 2026</t>
  </si>
  <si>
    <t xml:space="preserve">https://doi.org/10.1007/978-3-032-07132-3_8</t>
  </si>
  <si>
    <t xml:space="preserve">Neuro-Symbolic Framework</t>
  </si>
  <si>
    <t xml:space="preserve">Neuro-Symbolic AI + LLM Agents + Formal Verification SMT Solvers (AGREE/JKind)</t>
  </si>
  <si>
    <t xml:space="preserve">Model-Based Systems Engineering (MBSE) Verification</t>
  </si>
  <si>
    <t xml:space="preserve">SysML v2 / AADL / AGREE Formal Annex Contracts</t>
  </si>
  <si>
    <t xml:space="preserve">Natural Language System Requirements &amp; Architecture Models</t>
  </si>
  <si>
    <t xml:space="preserve">Formally Verified SysML/AADL Models with Invariant Contracts</t>
  </si>
  <si>
    <t xml:space="preserve">SMT Solver Formal Verification (JKind), Counterexample Analysis, Model Checker</t>
  </si>
  <si>
    <t xml:space="preserve">Level 3 - Verifier-Guided (Neuro-Symbolic Feedback Loop)</t>
  </si>
  <si>
    <t xml:space="preserve">Formal Proof Success Rate, Verification Time, Contract Coverage</t>
  </si>
  <si>
    <t xml:space="preserve">Combines generative LLM capabilities with rigorous mathematical formal verification for safety-critical MBSE.</t>
  </si>
  <si>
    <t xml:space="preserve">High computational latency during SMT formal contract proving on large system architectures.</t>
  </si>
  <si>
    <t xml:space="preserve">Daniele De Bari, Giacomo Garaccione, Riccardo Coppola, Marco Torchiano, Luca Ardito</t>
  </si>
  <si>
    <t xml:space="preserve">ESEM 2024</t>
  </si>
  <si>
    <t xml:space="preserve">Empirical Experiment &amp; Quality Evaluation</t>
  </si>
  <si>
    <t xml:space="preserve">LLM Agents + Prompting Pipeline</t>
  </si>
  <si>
    <t xml:space="preserve">UML Class Diagrams / Mermaid.js</t>
  </si>
  <si>
    <t xml:space="preserve">20 NL Exercise Descriptions (Size, Difficulty, Flesch-Kincaid Readability FK)</t>
  </si>
  <si>
    <t xml:space="preserve">Mermaid.js Class Diagram Specifications</t>
  </si>
  <si>
    <t xml:space="preserve">Bolloju Quality Framework (Syntactic, Semantic, Pragmatic Quality), Univariate ANOVA, Linear Regression</t>
  </si>
  <si>
    <t xml:space="preserve">Semantic Quality p=0.002 (Significant human vs LLM gap), Syntactic p=0.206, Distance Metric</t>
  </si>
  <si>
    <t xml:space="preserve">Rigorous empirical evaluation isolating exercise readability, difficulty, and diagram quality dimensions.</t>
  </si>
  <si>
    <t xml:space="preserve">Human solvers significantly outperform LLMs in semantic correctness and cardinality placement.</t>
  </si>
  <si>
    <t xml:space="preserve">A.J., N.I.A., N.Z.J., E.K., I.A.B.</t>
  </si>
  <si>
    <t xml:space="preserve">Baghdad Science Journal 2026</t>
  </si>
  <si>
    <t xml:space="preserve">https://doi.org/10.21123/2411-7986.5338</t>
  </si>
  <si>
    <t xml:space="preserve">Architecture Framework</t>
  </si>
  <si>
    <t xml:space="preserve">MDE-Agentware Framework + Agent Roles Metamodels + Monitoring Tools</t>
  </si>
  <si>
    <t xml:space="preserve">Multi-Agent System Architecture &amp; Validation</t>
  </si>
  <si>
    <t xml:space="preserve">Agent Role Metamodels &amp; Interaction Protocols</t>
  </si>
  <si>
    <t xml:space="preserve">Agent Role Definitions &amp; Interaction Semantics</t>
  </si>
  <si>
    <t xml:space="preserve">Reliable Executable Multi-Agent System (MAS) Architectures</t>
  </si>
  <si>
    <t xml:space="preserve">Empirical Pairwise Agreement Coefficient Cons Eq(10), Soft Agreement Cons(soft) Eq(11), Precision/Recall</t>
  </si>
  <si>
    <t xml:space="preserve">Level 3 - Verifier-Guided (Layered Monitoring &amp; Bias Mitigation)</t>
  </si>
  <si>
    <t xml:space="preserve">Cons Agreement Coefficient, Prediction Consistency, Architectural Conformity Score</t>
  </si>
  <si>
    <t xml:space="preserve">Addresses reliability, error propagation, and architectural conformance in LLM multi-agent systems via MDE.</t>
  </si>
  <si>
    <t xml:space="preserve">Simulated benchmark environments require validation on real-world industrial multi-agent deployments.</t>
  </si>
  <si>
    <t xml:space="preserve">Anonymous / IEEE TSE</t>
  </si>
  <si>
    <t xml:space="preserve">IEEE Transactions on Software Engineering 2026</t>
  </si>
  <si>
    <t xml:space="preserve">https://doi.org/10.1109/TSE.2026.3703553</t>
  </si>
  <si>
    <t xml:space="preserve">Empirical Fine-Tuning Study</t>
  </si>
  <si>
    <t xml:space="preserve">LLMs (Qwen2.5-Coder-32B, Qwen3-8B) + Automated Fine-Tuning + Test-Time Scaling (s1)</t>
  </si>
  <si>
    <t xml:space="preserve">Domain-Specific Code Synthesis</t>
  </si>
  <si>
    <t xml:space="preserve">No-Resource DSLs (Gleam, MoonBit)</t>
  </si>
  <si>
    <t xml:space="preserve">Doc-Function Specification Pairs &amp; Natural Language Prompts</t>
  </si>
  <si>
    <t xml:space="preserve">Executable Code in Domain-Specific No-Resource Languages</t>
  </si>
  <si>
    <t xml:space="preserve">Unit Test Execution (pass@1), Passed Percentage (passed%), Human Manual Data Quality Validation (Krippendorff alpha)</t>
  </si>
  <si>
    <t xml:space="preserve">pass@1 Improvement (+32.4% after fine-tuning), passed% (88.5%), Krippendorff alpha (0.69 adequacy)</t>
  </si>
  <si>
    <t xml:space="preserve">Demonstrates that fine-tuning and test-time scaling allow LLMs to master niche, no-resource DSLs with zero initial benchmarks.</t>
  </si>
  <si>
    <t xml:space="preserve">High data curation cost for validating doc-function training pairs.</t>
  </si>
  <si>
    <t xml:space="preserve">Anonymous / MDPI</t>
  </si>
  <si>
    <t xml:space="preserve">Electronics 2026</t>
  </si>
  <si>
    <t xml:space="preserve">https://doi.org/10.3390/electronics15061239</t>
  </si>
  <si>
    <t xml:space="preserve">Tool Framework &amp; Empirical Evaluation</t>
  </si>
  <si>
    <t xml:space="preserve">LLMs (DeepSeek-V3.2, Qwen3-Coder) + Hybrid Symbolic/LLM Self-Refinement Pipeline</t>
  </si>
  <si>
    <t xml:space="preserve">Domain Model Generation &amp; Automated Correction</t>
  </si>
  <si>
    <t xml:space="preserve">UML Domain Models / Ecore Metamodels</t>
  </si>
  <si>
    <t xml:space="preserve">Textual Domain Requirement Specifications (30 Problems)</t>
  </si>
  <si>
    <t xml:space="preserve">Refined Domain Models (Classes, Attributes, References, Inheritance, Enums)</t>
  </si>
  <si>
    <t xml:space="preserve">SemMatch Semantic Matcher (MiniLM-L6-V2 Embeddings), Rule-Based Anti-Pattern Scanner</t>
  </si>
  <si>
    <t xml:space="preserve">Level 3 - Verifier-Guided (4-Step Self-Refinement Pipeline)</t>
  </si>
  <si>
    <t xml:space="preserve">F1 Score across CLS, ATT, REF, INH, ENM, LIT (Significant p &lt; 0.05 vs Simple/Iterative Baselines)</t>
  </si>
  <si>
    <t xml:space="preserve">Combines rule-based anti-pattern scanning with LLM self-correction to eliminate structural hallucination.</t>
  </si>
  <si>
    <t xml:space="preserve">Requires threshold calibration for semantic embedding similarity.</t>
  </si>
  <si>
    <t xml:space="preserve">Journal of Systems and Software 2026</t>
  </si>
  <si>
    <t xml:space="preserve">https://doi.org/10.1016/j.jss.2026.112874</t>
  </si>
  <si>
    <t xml:space="preserve">Empirical Tool Evaluation &amp; Fine-tuning</t>
  </si>
  <si>
    <t xml:space="preserve">Fine-Tuned LLMs (LLM4Models) + Java2JSON / Python2JSON Parsers</t>
  </si>
  <si>
    <t xml:space="preserve">Reverse Engineering (Code-to-Model Transformation)</t>
  </si>
  <si>
    <t xml:space="preserve">UML Class Diagrams + OCL Behavioral Invariants</t>
  </si>
  <si>
    <t xml:space="preserve">Java &amp; Python Source Code Repositories (AgileUML, Car Rental)</t>
  </si>
  <si>
    <t xml:space="preserve">Complete Structural UML &amp; Textual OCL Specifications</t>
  </si>
  <si>
    <t xml:space="preserve">Automated Comparison against Ground Truth Parsers, Recall, Precision, F1-Score</t>
  </si>
  <si>
    <t xml:space="preserve">Classes F1 (1.00), Attributes F1 (0.98), Methods F1 (0.92), Relationships F1 (0.89), Large Codebase F1 (0.86)</t>
  </si>
  <si>
    <t xml:space="preserve">First fine-tuned LLM approach extracting both static UML structure and formal OCL behavioral constraints from multi-language code.</t>
  </si>
  <si>
    <t xml:space="preserve">Context window limits require splitting very large source packages.</t>
  </si>
  <si>
    <t xml:space="preserve">https://doi.org/10.1109/ACCESS.2026.3699382</t>
  </si>
  <si>
    <t xml:space="preserve">Domain Application &amp; Framework</t>
  </si>
  <si>
    <t xml:space="preserve">GenAI Prompt Pipeline + Domain Strategy Metamodel</t>
  </si>
  <si>
    <t xml:space="preserve">Domain-Specific Model-to-Code Synthesis</t>
  </si>
  <si>
    <t xml:space="preserve">MQL4 Trading Automation DSL</t>
  </si>
  <si>
    <t xml:space="preserve">Financial Trading Rules &amp; Liquidity Gap Detection Strategies</t>
  </si>
  <si>
    <t xml:space="preserve">Executable MQL4 Trading Scripts &amp; Expert Advisors</t>
  </si>
  <si>
    <t xml:space="preserve">MetaTrader 4 Backtesting Engine, Syntax Compilation, Strategy Execution Fidelity</t>
  </si>
  <si>
    <t xml:space="preserve">Compilation Success Rate (100%), Backtest Strategy Accuracy, Profit Factor Verification</t>
  </si>
  <si>
    <t xml:space="preserve">Bridges financial domain strategy modeling with executable MQL4 domain-specific trading code.</t>
  </si>
  <si>
    <t xml:space="preserve">Tailored to MetaTrader environment; limited generalizability to non-financial DSLs.</t>
  </si>
  <si>
    <t xml:space="preserve">V. Lamas et al.</t>
  </si>
  <si>
    <t xml:space="preserve">Information and Software Technology 2026</t>
  </si>
  <si>
    <t xml:space="preserve">https://doi.org/10.1016/j.infsof.2025.107954</t>
  </si>
  <si>
    <t xml:space="preserve">Tool Framework &amp; TAM Empirical Evaluation</t>
  </si>
  <si>
    <t xml:space="preserve">DSL-Xpert 2.0 Agent + Structured Prompt Construction + TAM Survey Framework</t>
  </si>
  <si>
    <t xml:space="preserve">DSL Code Generation &amp; Usability Engineering</t>
  </si>
  <si>
    <t xml:space="preserve">Multiple Domain-Specific Languages (SQL/Query DSLs)</t>
  </si>
  <si>
    <t xml:space="preserve">Natural Language Intent Queries &amp; Grammar Schema</t>
  </si>
  <si>
    <t xml:space="preserve">Executable DSL Queries &amp; Code Blocks</t>
  </si>
  <si>
    <t xml:space="preserve">Execution Comparison against Gold Standard, BLEU Score, 18-item TAM Usability Survey (PU, PEOU)</t>
  </si>
  <si>
    <t xml:space="preserve">Execution Accuracy (94.2%), BLEU Score (0.81), TAM Perceived Usefulness Mean (4.42/5.0)</t>
  </si>
  <si>
    <t xml:space="preserve">Validates both technical execution accuracy and human user acceptance via Technology Acceptance Model (TAM).</t>
  </si>
  <si>
    <t xml:space="preserve">User survey sample size limited to academic practitioners.</t>
  </si>
  <si>
    <t xml:space="preserve">Juri Di Rocco, Davide Di Ruscio, Claudio Di Sipio, Phuong T. Nguyen, Alfonso Pierantonio</t>
  </si>
  <si>
    <t xml:space="preserve">Software and Systems Modeling 2023</t>
  </si>
  <si>
    <t xml:space="preserve">https://doi.org/10.1007/s10270-022-00994-2</t>
  </si>
  <si>
    <t xml:space="preserve">Recommender System &amp; Empirical Benchmark</t>
  </si>
  <si>
    <t xml:space="preserve">Graph Embeddings (IEs, SEs, IEc, SEc) + ML Recommendation Engine</t>
  </si>
  <si>
    <t xml:space="preserve">Metamodel Specification Assistance</t>
  </si>
  <si>
    <t xml:space="preserve">Ecore Metamodels</t>
  </si>
  <si>
    <t xml:space="preserve">Partial Ecore Metamodels &amp; Active Modeling Context</t>
  </si>
  <si>
    <t xml:space="preserve">Ranked Structural Feature &amp; Metaclass Recommendations</t>
  </si>
  <si>
    <t xml:space="preserve">Top-N Recommendation Evaluation against Ground Truth (D1 curated &amp; D2 uncurated datasets)</t>
  </si>
  <si>
    <t xml:space="preserve">Level 1 - Assisted (Interactive Recommender)</t>
  </si>
  <si>
    <t xml:space="preserve">Success Rate SR@10 (0.419), Precision@10, Recall@10, F1-Score</t>
  </si>
  <si>
    <t xml:space="preserve">Mines large repositories of existing metamodels to recommend relevant metaclasses and structural features.</t>
  </si>
  <si>
    <t xml:space="preserve">Quality of recommendations heavily dependent on initial dataset curation (D1 vs D2).</t>
  </si>
  <si>
    <t xml:space="preserve">James Pontes Miranda, Hugo Bruneliere, Massimo Tisi, Gerson Sunye</t>
  </si>
  <si>
    <t xml:space="preserve">ACM SAC 2024</t>
  </si>
  <si>
    <t xml:space="preserve">https://doi.org/10.1145/3605098.3636143</t>
  </si>
  <si>
    <t xml:space="preserve">Machine Learning Approach</t>
  </si>
  <si>
    <t xml:space="preserve">Graph Neural Networks (GNN) + Machine Learning Classifier</t>
  </si>
  <si>
    <t xml:space="preserve">Inter-Model Relation Learning &amp; Model View Management</t>
  </si>
  <si>
    <t xml:space="preserve">Ecore / EMF Model Views</t>
  </si>
  <si>
    <t xml:space="preserve">Heterogeneous Source Models &amp; View Metamodels</t>
  </si>
  <si>
    <t xml:space="preserve">Predicted Inter-Model Links &amp; Consistency Relations</t>
  </si>
  <si>
    <t xml:space="preserve">Cross-Validation on Synthetic and Real EMF Model Sets, Precision, Recall, F1</t>
  </si>
  <si>
    <t xml:space="preserve">Link Prediction Precision (88.2%), Recall (84.6%), F1-Score (0.863)</t>
  </si>
  <si>
    <t xml:space="preserve">Automates link prediction across heterogeneous model views using graph neural network representations.</t>
  </si>
  <si>
    <t xml:space="preserve">High graph encoding overhead for ultra-large models with millions of elements.</t>
  </si>
  <si>
    <t xml:space="preserve">AI-Driven Model Engineering: Primary Study Quality Assessment</t>
  </si>
  <si>
    <t xml:space="preserve">Methodological Quality Appraisal Across 17 Criteria (Scoring: 1.0 = Yes, 0.5 = Partial, 0.0 = No)</t>
  </si>
  <si>
    <t xml:space="preserve">QA1 Research Clarity</t>
  </si>
  <si>
    <t xml:space="preserve">QA2 Context</t>
  </si>
  <si>
    <t xml:space="preserve">QA3 AI Transparency</t>
  </si>
  <si>
    <t xml:space="preserve">QA4 Modelling Transparency</t>
  </si>
  <si>
    <t xml:space="preserve">QA5 Dataset Quality</t>
  </si>
  <si>
    <t xml:space="preserve">QA6 Baseline Comparison</t>
  </si>
  <si>
    <t xml:space="preserve">QA7 Syntactic Validity</t>
  </si>
  <si>
    <t xml:space="preserve">QA8 Semantic Fidelity</t>
  </si>
  <si>
    <t xml:space="preserve">QA9 Completeness</t>
  </si>
  <si>
    <t xml:space="preserve">QA10 Cross-View Consistency</t>
  </si>
  <si>
    <t xml:space="preserve">QA11 Independent Validation</t>
  </si>
  <si>
    <t xml:space="preserve">QA12 Human Expertise</t>
  </si>
  <si>
    <t xml:space="preserve">QA13 Experimental Rigour</t>
  </si>
  <si>
    <t xml:space="preserve">QA14 Statistical Analysis</t>
  </si>
  <si>
    <t xml:space="preserve">QA15 Reproducibility</t>
  </si>
  <si>
    <t xml:space="preserve">QA16 Practical Relevance</t>
  </si>
  <si>
    <t xml:space="preserve">QA17 Scalability &amp; Threats</t>
  </si>
  <si>
    <t xml:space="preserve">Total QA Score (Max 17.0)</t>
  </si>
  <si>
    <t xml:space="preserve">Normalized Quality Score (%)</t>
  </si>
  <si>
    <t xml:space="preserve">Quality Rating Category</t>
  </si>
  <si>
    <t xml:space="preserve">Average / Summary</t>
  </si>
  <si>
    <t xml:space="preserve">SLR Mean Quality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</si>
</sst>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\%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0"/>
      <color rgb="FF276A3C"/>
      <name val="Calibri"/>
      <family val="0"/>
      <charset val="1"/>
    </font>
    <font>
      <b val="true"/>
      <sz val="10"/>
      <color rgb="FFA61C1C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b val="true"/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9FAFB"/>
        <bgColor rgb="FFFFFFFF"/>
      </patternFill>
    </fill>
    <fill>
      <patternFill patternType="solid">
        <fgColor rgb="FFFCE4D6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276A3C"/>
          <bgColor rgb="FF000000"/>
        </patternFill>
      </fill>
    </dxf>
    <dxf>
      <fill>
        <patternFill patternType="solid">
          <fgColor rgb="FFA6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A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A61C1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109/ICTAI66417.2025.00189" TargetMode="External"/><Relationship Id="rId2" Type="http://schemas.openxmlformats.org/officeDocument/2006/relationships/hyperlink" Target="https://doi.org/10.1145/3639478.3639797" TargetMode="External"/><Relationship Id="rId3" Type="http://schemas.openxmlformats.org/officeDocument/2006/relationships/hyperlink" Target="https://doi.org/10.1145/3731443.3771362" TargetMode="External"/><Relationship Id="rId4" Type="http://schemas.openxmlformats.org/officeDocument/2006/relationships/hyperlink" Target="https://doi.org/10.1109/MODELS58315.2023.00037" TargetMode="External"/><Relationship Id="rId5" Type="http://schemas.openxmlformats.org/officeDocument/2006/relationships/hyperlink" Target="https://doi.org/10.1145/3744920" TargetMode="External"/><Relationship Id="rId6" Type="http://schemas.openxmlformats.org/officeDocument/2006/relationships/hyperlink" Target="https://doi.org/10.1145/3643795.3648391" TargetMode="External"/><Relationship Id="rId7" Type="http://schemas.openxmlformats.org/officeDocument/2006/relationships/hyperlink" Target="https://doi.org/10.3390/app142310873" TargetMode="External"/><Relationship Id="rId8" Type="http://schemas.openxmlformats.org/officeDocument/2006/relationships/hyperlink" Target="https://doi.org/10.1016/j.tcs.2024.114879" TargetMode="External"/><Relationship Id="rId9" Type="http://schemas.openxmlformats.org/officeDocument/2006/relationships/hyperlink" Target="https://doi.org/10.1109/TBDATA.2024.3524104" TargetMode="External"/><Relationship Id="rId10" Type="http://schemas.openxmlformats.org/officeDocument/2006/relationships/hyperlink" Target="https://doi.org/10.1109/ICoSSE65712.2025.00020" TargetMode="External"/><Relationship Id="rId11" Type="http://schemas.openxmlformats.org/officeDocument/2006/relationships/hyperlink" Target="https://doi.org/10.1109/ACCESS.2026.3686308" TargetMode="External"/><Relationship Id="rId12" Type="http://schemas.openxmlformats.org/officeDocument/2006/relationships/hyperlink" Target="https://doi.org/10.3390/info16100870" TargetMode="External"/><Relationship Id="rId13" Type="http://schemas.openxmlformats.org/officeDocument/2006/relationships/hyperlink" Target="https://doi.org/10.1049/sfw2/6696040" TargetMode="External"/><Relationship Id="rId14" Type="http://schemas.openxmlformats.org/officeDocument/2006/relationships/hyperlink" Target="https://doi.org/10.1016/j.mlwa.2026.100940" TargetMode="External"/><Relationship Id="rId15" Type="http://schemas.openxmlformats.org/officeDocument/2006/relationships/hyperlink" Target="https://link.springer.com/chapter/10.1007/978-3-031-71333-0_2" TargetMode="External"/><Relationship Id="rId16" Type="http://schemas.openxmlformats.org/officeDocument/2006/relationships/hyperlink" Target="https://link.springer.com/chapter/10.1007/978-981-99-7820-5_40" TargetMode="External"/><Relationship Id="rId17" Type="http://schemas.openxmlformats.org/officeDocument/2006/relationships/hyperlink" Target="https://link.springer.com/article/10.1007/s42979-025-04444-w" TargetMode="External"/><Relationship Id="rId18" Type="http://schemas.openxmlformats.org/officeDocument/2006/relationships/hyperlink" Target="https://link.springer.com/chapter/10.1007/978-3-031-75605-4_6" TargetMode="External"/><Relationship Id="rId19" Type="http://schemas.openxmlformats.org/officeDocument/2006/relationships/hyperlink" Target="https://link.springer.com/article/10.1007/s10270-024-01235-4" TargetMode="External"/><Relationship Id="rId20" Type="http://schemas.openxmlformats.org/officeDocument/2006/relationships/hyperlink" Target="https://link.springer.com/article/10.1007/s10270-025-01273-6" TargetMode="External"/><Relationship Id="rId21" Type="http://schemas.openxmlformats.org/officeDocument/2006/relationships/hyperlink" Target="https://link.springer.com/chapter/10.1007/978-3-031-75872-0_6" TargetMode="External"/><Relationship Id="rId22" Type="http://schemas.openxmlformats.org/officeDocument/2006/relationships/hyperlink" Target="https://link.springer.com/chapter/10.1007/978-3-031-85067-7_5" TargetMode="External"/><Relationship Id="rId23" Type="http://schemas.openxmlformats.org/officeDocument/2006/relationships/hyperlink" Target="https://link.springer.com/chapter/10.1007/978-3-031-94590-8_34" TargetMode="External"/><Relationship Id="rId24" Type="http://schemas.openxmlformats.org/officeDocument/2006/relationships/hyperlink" Target="https://link.springer.com/chapter/10.1007/978-3-032-16234-2_22" TargetMode="External"/><Relationship Id="rId25" Type="http://schemas.openxmlformats.org/officeDocument/2006/relationships/hyperlink" Target="https://link.springer.com/chapter/10.1007/978-3-032-04375-7_18" TargetMode="External"/><Relationship Id="rId26" Type="http://schemas.openxmlformats.org/officeDocument/2006/relationships/hyperlink" Target="https://link.springer.com/chapter/10.1007/978-3-032-08620-4_13" TargetMode="External"/><Relationship Id="rId27" Type="http://schemas.openxmlformats.org/officeDocument/2006/relationships/hyperlink" Target="https://link.springer.com/chapter/10.1007/978-3-032-21171-2_10" TargetMode="External"/><Relationship Id="rId28" Type="http://schemas.openxmlformats.org/officeDocument/2006/relationships/hyperlink" Target="https://link.springer.com/chapter/10.1007/978-3-032-07132-3_8" TargetMode="External"/><Relationship Id="rId29" Type="http://schemas.openxmlformats.org/officeDocument/2006/relationships/hyperlink" Target="https://link.springer.com/chapter/10.1007/978-3-031-96841-9_11" TargetMode="External"/><Relationship Id="rId30" Type="http://schemas.openxmlformats.org/officeDocument/2006/relationships/hyperlink" Target="https://link.springer.com/chapter/10.1007/978-3-032-16808-5_4" TargetMode="External"/><Relationship Id="rId31" Type="http://schemas.openxmlformats.org/officeDocument/2006/relationships/hyperlink" Target="https://link.springer.com/chapter/10.1007/978-3-032-28117-3_1" TargetMode="External"/><Relationship Id="rId32" Type="http://schemas.openxmlformats.org/officeDocument/2006/relationships/hyperlink" Target="https://doi.org/10.1145/3674805.3690741" TargetMode="External"/><Relationship Id="rId33" Type="http://schemas.openxmlformats.org/officeDocument/2006/relationships/hyperlink" Target="https://doi.org/10.21123/2411-7986.5338" TargetMode="External"/><Relationship Id="rId34" Type="http://schemas.openxmlformats.org/officeDocument/2006/relationships/hyperlink" Target="https://doi.org/10.3791/70395" TargetMode="External"/><Relationship Id="rId35" Type="http://schemas.openxmlformats.org/officeDocument/2006/relationships/hyperlink" Target="https://doi.org/10.1109/TSE.2026.3703553" TargetMode="External"/><Relationship Id="rId36" Type="http://schemas.openxmlformats.org/officeDocument/2006/relationships/hyperlink" Target="https://doi.org/10.3390/electronics15061239" TargetMode="External"/><Relationship Id="rId37" Type="http://schemas.openxmlformats.org/officeDocument/2006/relationships/hyperlink" Target="https://doi.org/10.1016/j.neucom.2025.132502" TargetMode="External"/><Relationship Id="rId38" Type="http://schemas.openxmlformats.org/officeDocument/2006/relationships/hyperlink" Target="https://doi.org/10.1016/j.jss.2026.112874" TargetMode="External"/><Relationship Id="rId39" Type="http://schemas.openxmlformats.org/officeDocument/2006/relationships/hyperlink" Target="https://doi.org/10.5815/ijwmt.2026.03.08" TargetMode="External"/><Relationship Id="rId40" Type="http://schemas.openxmlformats.org/officeDocument/2006/relationships/hyperlink" Target="https://doi.org/10.1109/ACCESS.2026.3699382" TargetMode="External"/><Relationship Id="rId41" Type="http://schemas.openxmlformats.org/officeDocument/2006/relationships/hyperlink" Target="https://doi.org/10.5381/jot.2026.25.3.a22" TargetMode="External"/><Relationship Id="rId42" Type="http://schemas.openxmlformats.org/officeDocument/2006/relationships/hyperlink" Target="https://doi.org/10.1016/j.scico.2026.103503" TargetMode="External"/><Relationship Id="rId43" Type="http://schemas.openxmlformats.org/officeDocument/2006/relationships/hyperlink" Target="https://doi.org/10.1016/j.infsof.2026.108224" TargetMode="External"/><Relationship Id="rId44" Type="http://schemas.openxmlformats.org/officeDocument/2006/relationships/hyperlink" Target="https://doi.org/10.1016/j.infsof.2025.107954" TargetMode="External"/><Relationship Id="rId45" Type="http://schemas.openxmlformats.org/officeDocument/2006/relationships/hyperlink" Target="https://doi.org/10.5381/jot.2026.25.3.a13" TargetMode="External"/><Relationship Id="rId46" Type="http://schemas.openxmlformats.org/officeDocument/2006/relationships/hyperlink" Target="https://doi.org/10.1049/sfw2/1690605" TargetMode="External"/><Relationship Id="rId47" Type="http://schemas.openxmlformats.org/officeDocument/2006/relationships/hyperlink" Target="https://doi.org/10.22105/bdcv.2026.557980.1331" TargetMode="External"/><Relationship Id="rId48" Type="http://schemas.openxmlformats.org/officeDocument/2006/relationships/hyperlink" Target="https://doi.org/10.1007/s10270-022-00994-2" TargetMode="External"/><Relationship Id="rId49" Type="http://schemas.openxmlformats.org/officeDocument/2006/relationships/hyperlink" Target="https://doi.org/10.1145/3605098.3636143" TargetMode="External"/><Relationship Id="rId5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i.org/10.1109/ICTAI66417.2025.00189" TargetMode="External"/><Relationship Id="rId2" Type="http://schemas.openxmlformats.org/officeDocument/2006/relationships/hyperlink" Target="https://doi.org/10.1016/j.jss.2026.112900" TargetMode="External"/><Relationship Id="rId3" Type="http://schemas.openxmlformats.org/officeDocument/2006/relationships/hyperlink" Target="https://doi.org/10.1145/3639478.3639797" TargetMode="External"/><Relationship Id="rId4" Type="http://schemas.openxmlformats.org/officeDocument/2006/relationships/hyperlink" Target="https://doi.org/10.1145/3731443.3771362" TargetMode="External"/><Relationship Id="rId5" Type="http://schemas.openxmlformats.org/officeDocument/2006/relationships/hyperlink" Target="https://doi.org/10.1109/MODELS58315.2023.00037" TargetMode="External"/><Relationship Id="rId6" Type="http://schemas.openxmlformats.org/officeDocument/2006/relationships/hyperlink" Target="https://doi.org/10.1145/3744920" TargetMode="External"/><Relationship Id="rId7" Type="http://schemas.openxmlformats.org/officeDocument/2006/relationships/hyperlink" Target="https://doi.org/10.1145/3643795.3648391" TargetMode="External"/><Relationship Id="rId8" Type="http://schemas.openxmlformats.org/officeDocument/2006/relationships/hyperlink" Target="https://doi.org/10.1109/ICoSSE65712.2025.00020" TargetMode="External"/><Relationship Id="rId9" Type="http://schemas.openxmlformats.org/officeDocument/2006/relationships/hyperlink" Target="https://doi.org/10.1109/ACCESS.2026.3686308" TargetMode="External"/><Relationship Id="rId10" Type="http://schemas.openxmlformats.org/officeDocument/2006/relationships/hyperlink" Target="https://doi.org/10.3390/info16100870" TargetMode="External"/><Relationship Id="rId11" Type="http://schemas.openxmlformats.org/officeDocument/2006/relationships/hyperlink" Target="https://doi.org/10.1049/sfw2/6696040" TargetMode="External"/><Relationship Id="rId12" Type="http://schemas.openxmlformats.org/officeDocument/2006/relationships/hyperlink" Target="https://doi.org/10.1016/j.mlwa.2026.100940" TargetMode="External"/><Relationship Id="rId13" Type="http://schemas.openxmlformats.org/officeDocument/2006/relationships/hyperlink" Target="https://doi.org/10.1016/j.jss.2026.112709" TargetMode="External"/><Relationship Id="rId14" Type="http://schemas.openxmlformats.org/officeDocument/2006/relationships/hyperlink" Target="https://doi.org/10.1016/j.jss.2020.110804" TargetMode="External"/><Relationship Id="rId15" Type="http://schemas.openxmlformats.org/officeDocument/2006/relationships/hyperlink" Target="https://doi.org/10.1007/s10270-024-01235-4" TargetMode="External"/><Relationship Id="rId16" Type="http://schemas.openxmlformats.org/officeDocument/2006/relationships/hyperlink" Target="https://doi.org/10.1007/s10270-025-01273-6" TargetMode="External"/><Relationship Id="rId17" Type="http://schemas.openxmlformats.org/officeDocument/2006/relationships/hyperlink" Target="https://doi.org/10.1007/978-3-032-07132-3_8" TargetMode="External"/><Relationship Id="rId18" Type="http://schemas.openxmlformats.org/officeDocument/2006/relationships/hyperlink" Target="https://doi.org/10.1145/3674805.3690741" TargetMode="External"/><Relationship Id="rId19" Type="http://schemas.openxmlformats.org/officeDocument/2006/relationships/hyperlink" Target="https://doi.org/10.21123/2411-7986.5338" TargetMode="External"/><Relationship Id="rId20" Type="http://schemas.openxmlformats.org/officeDocument/2006/relationships/hyperlink" Target="https://doi.org/10.1109/TSE.2026.3703553" TargetMode="External"/><Relationship Id="rId21" Type="http://schemas.openxmlformats.org/officeDocument/2006/relationships/hyperlink" Target="https://doi.org/10.3390/electronics15061239" TargetMode="External"/><Relationship Id="rId22" Type="http://schemas.openxmlformats.org/officeDocument/2006/relationships/hyperlink" Target="https://doi.org/10.1016/j.jss.2026.112874" TargetMode="External"/><Relationship Id="rId23" Type="http://schemas.openxmlformats.org/officeDocument/2006/relationships/hyperlink" Target="https://doi.org/10.1109/ACCESS.2026.3699382" TargetMode="External"/><Relationship Id="rId24" Type="http://schemas.openxmlformats.org/officeDocument/2006/relationships/hyperlink" Target="https://doi.org/10.1016/j.infsof.2025.107954" TargetMode="External"/><Relationship Id="rId25" Type="http://schemas.openxmlformats.org/officeDocument/2006/relationships/hyperlink" Target="https://doi.org/10.1007/s10270-022-00994-2" TargetMode="External"/><Relationship Id="rId26" Type="http://schemas.openxmlformats.org/officeDocument/2006/relationships/hyperlink" Target="https://doi.org/10.1145/3605098.3636143" TargetMode="External"/><Relationship Id="rId2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true" showOutlineSymbols="true" defaultGridColor="true" view="normal" topLeftCell="D38" colorId="64" zoomScale="85" zoomScaleNormal="85" zoomScalePageLayoutView="100" workbookViewId="0">
      <pane xSplit="0" ySplit="4" topLeftCell="A5" activePane="bottomLeft" state="frozen"/>
      <selection pane="topLeft" activeCell="D38" activeCellId="0" sqref="D38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25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35"/>
    <col collapsed="false" customWidth="true" hidden="false" outlineLevel="0" max="12" min="12" style="0" width="40"/>
  </cols>
  <sheetData>
    <row r="1" customFormat="false" ht="21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2" hidden="false" customHeight="true" outlineLevel="0" collapsed="false">
      <c r="A5" s="4" t="n">
        <v>1</v>
      </c>
      <c r="B5" s="5" t="s">
        <v>14</v>
      </c>
      <c r="C5" s="6" t="s">
        <v>15</v>
      </c>
      <c r="D5" s="6" t="s">
        <v>16</v>
      </c>
      <c r="E5" s="4" t="n">
        <v>2025</v>
      </c>
      <c r="F5" s="6" t="s">
        <v>17</v>
      </c>
      <c r="G5" s="7" t="s">
        <v>18</v>
      </c>
      <c r="H5" s="6" t="s">
        <v>19</v>
      </c>
      <c r="I5" s="8" t="s">
        <v>20</v>
      </c>
      <c r="J5" s="6"/>
      <c r="K5" s="6" t="s">
        <v>21</v>
      </c>
      <c r="L5" s="6" t="s">
        <v>22</v>
      </c>
    </row>
    <row r="6" customFormat="false" ht="42" hidden="false" customHeight="true" outlineLevel="0" collapsed="false">
      <c r="A6" s="9" t="n">
        <v>2</v>
      </c>
      <c r="B6" s="10" t="s">
        <v>23</v>
      </c>
      <c r="C6" s="11" t="s">
        <v>24</v>
      </c>
      <c r="D6" s="11"/>
      <c r="E6" s="9"/>
      <c r="F6" s="11"/>
      <c r="G6" s="11"/>
      <c r="H6" s="11" t="s">
        <v>25</v>
      </c>
      <c r="I6" s="8" t="s">
        <v>20</v>
      </c>
      <c r="J6" s="11"/>
      <c r="K6" s="11" t="s">
        <v>21</v>
      </c>
      <c r="L6" s="6" t="s">
        <v>22</v>
      </c>
    </row>
    <row r="7" customFormat="false" ht="42" hidden="false" customHeight="true" outlineLevel="0" collapsed="false">
      <c r="A7" s="4" t="n">
        <v>3</v>
      </c>
      <c r="B7" s="5" t="s">
        <v>26</v>
      </c>
      <c r="C7" s="6" t="s">
        <v>27</v>
      </c>
      <c r="D7" s="6" t="s">
        <v>28</v>
      </c>
      <c r="E7" s="4" t="n">
        <v>2024</v>
      </c>
      <c r="F7" s="6" t="s">
        <v>29</v>
      </c>
      <c r="G7" s="7" t="s">
        <v>30</v>
      </c>
      <c r="H7" s="6" t="s">
        <v>31</v>
      </c>
      <c r="I7" s="8" t="s">
        <v>20</v>
      </c>
      <c r="J7" s="6"/>
      <c r="K7" s="6" t="s">
        <v>21</v>
      </c>
      <c r="L7" s="6" t="s">
        <v>22</v>
      </c>
    </row>
    <row r="8" customFormat="false" ht="42" hidden="false" customHeight="true" outlineLevel="0" collapsed="false">
      <c r="A8" s="9" t="n">
        <v>4</v>
      </c>
      <c r="B8" s="10" t="s">
        <v>26</v>
      </c>
      <c r="C8" s="11" t="s">
        <v>32</v>
      </c>
      <c r="D8" s="11" t="s">
        <v>33</v>
      </c>
      <c r="E8" s="9" t="n">
        <v>2025</v>
      </c>
      <c r="F8" s="11" t="s">
        <v>34</v>
      </c>
      <c r="G8" s="12" t="s">
        <v>35</v>
      </c>
      <c r="H8" s="11" t="s">
        <v>36</v>
      </c>
      <c r="I8" s="8" t="s">
        <v>20</v>
      </c>
      <c r="J8" s="11"/>
      <c r="K8" s="11" t="s">
        <v>21</v>
      </c>
      <c r="L8" s="6" t="s">
        <v>22</v>
      </c>
    </row>
    <row r="9" customFormat="false" ht="42" hidden="false" customHeight="true" outlineLevel="0" collapsed="false">
      <c r="A9" s="4" t="n">
        <v>5</v>
      </c>
      <c r="B9" s="5" t="s">
        <v>26</v>
      </c>
      <c r="C9" s="6" t="s">
        <v>37</v>
      </c>
      <c r="D9" s="6" t="s">
        <v>38</v>
      </c>
      <c r="E9" s="4" t="n">
        <v>2023</v>
      </c>
      <c r="F9" s="6" t="s">
        <v>39</v>
      </c>
      <c r="G9" s="7" t="s">
        <v>40</v>
      </c>
      <c r="H9" s="6" t="s">
        <v>41</v>
      </c>
      <c r="I9" s="8" t="s">
        <v>20</v>
      </c>
      <c r="J9" s="6"/>
      <c r="K9" s="6" t="s">
        <v>21</v>
      </c>
      <c r="L9" s="6" t="s">
        <v>22</v>
      </c>
    </row>
    <row r="10" customFormat="false" ht="42" hidden="false" customHeight="true" outlineLevel="0" collapsed="false">
      <c r="A10" s="9" t="n">
        <v>6</v>
      </c>
      <c r="B10" s="10" t="s">
        <v>26</v>
      </c>
      <c r="C10" s="11" t="s">
        <v>42</v>
      </c>
      <c r="D10" s="11" t="s">
        <v>43</v>
      </c>
      <c r="E10" s="9" t="n">
        <v>2025</v>
      </c>
      <c r="F10" s="11" t="s">
        <v>44</v>
      </c>
      <c r="G10" s="12" t="s">
        <v>45</v>
      </c>
      <c r="H10" s="11" t="s">
        <v>46</v>
      </c>
      <c r="I10" s="8" t="s">
        <v>20</v>
      </c>
      <c r="J10" s="11"/>
      <c r="K10" s="11" t="s">
        <v>21</v>
      </c>
      <c r="L10" s="6" t="s">
        <v>22</v>
      </c>
    </row>
    <row r="11" customFormat="false" ht="42" hidden="false" customHeight="true" outlineLevel="0" collapsed="false">
      <c r="A11" s="4" t="n">
        <v>7</v>
      </c>
      <c r="B11" s="5" t="s">
        <v>26</v>
      </c>
      <c r="C11" s="6" t="s">
        <v>47</v>
      </c>
      <c r="D11" s="6" t="s">
        <v>48</v>
      </c>
      <c r="E11" s="4" t="n">
        <v>2024</v>
      </c>
      <c r="F11" s="6" t="s">
        <v>49</v>
      </c>
      <c r="G11" s="7" t="s">
        <v>50</v>
      </c>
      <c r="H11" s="6" t="s">
        <v>51</v>
      </c>
      <c r="I11" s="8" t="s">
        <v>20</v>
      </c>
      <c r="J11" s="6"/>
      <c r="K11" s="6" t="s">
        <v>21</v>
      </c>
      <c r="L11" s="6" t="s">
        <v>22</v>
      </c>
    </row>
    <row r="12" customFormat="false" ht="42" hidden="false" customHeight="true" outlineLevel="0" collapsed="false">
      <c r="A12" s="9" t="n">
        <v>8</v>
      </c>
      <c r="B12" s="10" t="s">
        <v>52</v>
      </c>
      <c r="C12" s="11" t="s">
        <v>53</v>
      </c>
      <c r="D12" s="11"/>
      <c r="E12" s="9" t="n">
        <v>2024</v>
      </c>
      <c r="F12" s="11" t="s">
        <v>54</v>
      </c>
      <c r="G12" s="12" t="s">
        <v>55</v>
      </c>
      <c r="H12" s="11" t="s">
        <v>56</v>
      </c>
      <c r="I12" s="13" t="s">
        <v>57</v>
      </c>
      <c r="J12" s="11" t="s">
        <v>58</v>
      </c>
      <c r="K12" s="11" t="s">
        <v>59</v>
      </c>
      <c r="L12" s="6" t="s">
        <v>60</v>
      </c>
    </row>
    <row r="13" customFormat="false" ht="42" hidden="false" customHeight="true" outlineLevel="0" collapsed="false">
      <c r="A13" s="4" t="n">
        <v>9</v>
      </c>
      <c r="B13" s="5" t="s">
        <v>52</v>
      </c>
      <c r="C13" s="6" t="s">
        <v>61</v>
      </c>
      <c r="D13" s="6"/>
      <c r="E13" s="4" t="n">
        <v>2024</v>
      </c>
      <c r="F13" s="6" t="s">
        <v>62</v>
      </c>
      <c r="G13" s="7" t="s">
        <v>63</v>
      </c>
      <c r="H13" s="6" t="s">
        <v>56</v>
      </c>
      <c r="I13" s="13" t="s">
        <v>57</v>
      </c>
      <c r="J13" s="6" t="s">
        <v>58</v>
      </c>
      <c r="K13" s="6" t="s">
        <v>59</v>
      </c>
      <c r="L13" s="6" t="s">
        <v>60</v>
      </c>
    </row>
    <row r="14" customFormat="false" ht="42" hidden="false" customHeight="true" outlineLevel="0" collapsed="false">
      <c r="A14" s="9" t="n">
        <v>10</v>
      </c>
      <c r="B14" s="10" t="s">
        <v>52</v>
      </c>
      <c r="C14" s="11" t="s">
        <v>64</v>
      </c>
      <c r="D14" s="11"/>
      <c r="E14" s="9" t="n">
        <v>2024</v>
      </c>
      <c r="F14" s="11" t="s">
        <v>65</v>
      </c>
      <c r="G14" s="12" t="s">
        <v>66</v>
      </c>
      <c r="H14" s="11" t="s">
        <v>56</v>
      </c>
      <c r="I14" s="13" t="s">
        <v>57</v>
      </c>
      <c r="J14" s="11" t="s">
        <v>58</v>
      </c>
      <c r="K14" s="11" t="s">
        <v>59</v>
      </c>
      <c r="L14" s="6" t="s">
        <v>60</v>
      </c>
    </row>
    <row r="15" customFormat="false" ht="42" hidden="false" customHeight="true" outlineLevel="0" collapsed="false">
      <c r="A15" s="4" t="n">
        <v>11</v>
      </c>
      <c r="B15" s="5" t="s">
        <v>14</v>
      </c>
      <c r="C15" s="6" t="s">
        <v>67</v>
      </c>
      <c r="D15" s="6"/>
      <c r="E15" s="4" t="n">
        <v>2025</v>
      </c>
      <c r="F15" s="6"/>
      <c r="G15" s="7" t="s">
        <v>68</v>
      </c>
      <c r="H15" s="6" t="s">
        <v>69</v>
      </c>
      <c r="I15" s="8" t="s">
        <v>20</v>
      </c>
      <c r="J15" s="6"/>
      <c r="K15" s="6" t="s">
        <v>21</v>
      </c>
      <c r="L15" s="6" t="s">
        <v>22</v>
      </c>
    </row>
    <row r="16" customFormat="false" ht="42" hidden="false" customHeight="true" outlineLevel="0" collapsed="false">
      <c r="A16" s="9" t="n">
        <v>12</v>
      </c>
      <c r="B16" s="10" t="s">
        <v>70</v>
      </c>
      <c r="C16" s="11" t="s">
        <v>71</v>
      </c>
      <c r="D16" s="11"/>
      <c r="E16" s="9" t="n">
        <v>2026</v>
      </c>
      <c r="F16" s="11" t="s">
        <v>72</v>
      </c>
      <c r="G16" s="12" t="s">
        <v>73</v>
      </c>
      <c r="H16" s="11" t="s">
        <v>74</v>
      </c>
      <c r="I16" s="8" t="s">
        <v>20</v>
      </c>
      <c r="J16" s="11"/>
      <c r="K16" s="11" t="s">
        <v>21</v>
      </c>
      <c r="L16" s="6" t="s">
        <v>22</v>
      </c>
    </row>
    <row r="17" customFormat="false" ht="42" hidden="false" customHeight="true" outlineLevel="0" collapsed="false">
      <c r="A17" s="4" t="n">
        <v>13</v>
      </c>
      <c r="B17" s="5" t="s">
        <v>70</v>
      </c>
      <c r="C17" s="6" t="s">
        <v>75</v>
      </c>
      <c r="D17" s="6"/>
      <c r="E17" s="4" t="n">
        <v>2025</v>
      </c>
      <c r="F17" s="6" t="s">
        <v>76</v>
      </c>
      <c r="G17" s="7" t="s">
        <v>77</v>
      </c>
      <c r="H17" s="6" t="s">
        <v>78</v>
      </c>
      <c r="I17" s="8" t="s">
        <v>20</v>
      </c>
      <c r="J17" s="6"/>
      <c r="K17" s="6" t="s">
        <v>21</v>
      </c>
      <c r="L17" s="6" t="s">
        <v>22</v>
      </c>
    </row>
    <row r="18" customFormat="false" ht="42" hidden="false" customHeight="true" outlineLevel="0" collapsed="false">
      <c r="A18" s="9" t="n">
        <v>14</v>
      </c>
      <c r="B18" s="10" t="s">
        <v>70</v>
      </c>
      <c r="C18" s="11" t="s">
        <v>79</v>
      </c>
      <c r="D18" s="11"/>
      <c r="E18" s="9" t="n">
        <v>2026</v>
      </c>
      <c r="F18" s="11" t="s">
        <v>80</v>
      </c>
      <c r="G18" s="12" t="s">
        <v>81</v>
      </c>
      <c r="H18" s="11" t="s">
        <v>82</v>
      </c>
      <c r="I18" s="8" t="s">
        <v>20</v>
      </c>
      <c r="J18" s="11"/>
      <c r="K18" s="11" t="s">
        <v>21</v>
      </c>
      <c r="L18" s="6" t="s">
        <v>22</v>
      </c>
    </row>
    <row r="19" customFormat="false" ht="42" hidden="false" customHeight="true" outlineLevel="0" collapsed="false">
      <c r="A19" s="4" t="n">
        <v>15</v>
      </c>
      <c r="B19" s="5" t="s">
        <v>70</v>
      </c>
      <c r="C19" s="6" t="s">
        <v>83</v>
      </c>
      <c r="D19" s="6"/>
      <c r="E19" s="4" t="n">
        <v>2026</v>
      </c>
      <c r="F19" s="6" t="s">
        <v>84</v>
      </c>
      <c r="G19" s="7" t="s">
        <v>85</v>
      </c>
      <c r="H19" s="6" t="s">
        <v>86</v>
      </c>
      <c r="I19" s="8" t="s">
        <v>20</v>
      </c>
      <c r="J19" s="6"/>
      <c r="K19" s="6" t="s">
        <v>21</v>
      </c>
      <c r="L19" s="6" t="s">
        <v>22</v>
      </c>
    </row>
    <row r="20" customFormat="false" ht="42" hidden="false" customHeight="true" outlineLevel="0" collapsed="false">
      <c r="A20" s="9" t="n">
        <v>16</v>
      </c>
      <c r="B20" s="10" t="s">
        <v>23</v>
      </c>
      <c r="C20" s="11" t="s">
        <v>87</v>
      </c>
      <c r="D20" s="11"/>
      <c r="E20" s="9"/>
      <c r="F20" s="11"/>
      <c r="G20" s="11"/>
      <c r="H20" s="11" t="s">
        <v>88</v>
      </c>
      <c r="I20" s="8" t="s">
        <v>20</v>
      </c>
      <c r="J20" s="11"/>
      <c r="K20" s="11" t="s">
        <v>21</v>
      </c>
      <c r="L20" s="6" t="s">
        <v>22</v>
      </c>
    </row>
    <row r="21" customFormat="false" ht="42" hidden="false" customHeight="true" outlineLevel="0" collapsed="false">
      <c r="A21" s="4" t="n">
        <v>17</v>
      </c>
      <c r="B21" s="5" t="s">
        <v>23</v>
      </c>
      <c r="C21" s="6" t="s">
        <v>89</v>
      </c>
      <c r="D21" s="6"/>
      <c r="E21" s="4"/>
      <c r="F21" s="6"/>
      <c r="G21" s="6"/>
      <c r="H21" s="6" t="s">
        <v>90</v>
      </c>
      <c r="I21" s="8" t="s">
        <v>20</v>
      </c>
      <c r="J21" s="6"/>
      <c r="K21" s="6" t="s">
        <v>21</v>
      </c>
      <c r="L21" s="6" t="s">
        <v>22</v>
      </c>
    </row>
    <row r="22" customFormat="false" ht="42" hidden="false" customHeight="true" outlineLevel="0" collapsed="false">
      <c r="A22" s="9" t="n">
        <v>18</v>
      </c>
      <c r="B22" s="10" t="s">
        <v>91</v>
      </c>
      <c r="C22" s="11" t="s">
        <v>92</v>
      </c>
      <c r="D22" s="11" t="s">
        <v>93</v>
      </c>
      <c r="E22" s="9" t="n">
        <v>2024</v>
      </c>
      <c r="F22" s="11" t="s">
        <v>94</v>
      </c>
      <c r="G22" s="12" t="s">
        <v>95</v>
      </c>
      <c r="H22" s="11" t="s">
        <v>96</v>
      </c>
      <c r="I22" s="13" t="s">
        <v>57</v>
      </c>
      <c r="J22" s="11" t="s">
        <v>58</v>
      </c>
      <c r="K22" s="11" t="s">
        <v>59</v>
      </c>
      <c r="L22" s="6" t="s">
        <v>60</v>
      </c>
    </row>
    <row r="23" customFormat="false" ht="42" hidden="false" customHeight="true" outlineLevel="0" collapsed="false">
      <c r="A23" s="4" t="n">
        <v>19</v>
      </c>
      <c r="B23" s="5" t="s">
        <v>91</v>
      </c>
      <c r="C23" s="6" t="s">
        <v>97</v>
      </c>
      <c r="D23" s="6" t="s">
        <v>98</v>
      </c>
      <c r="E23" s="4" t="n">
        <v>2024</v>
      </c>
      <c r="F23" s="6" t="s">
        <v>99</v>
      </c>
      <c r="G23" s="7" t="s">
        <v>100</v>
      </c>
      <c r="H23" s="6" t="s">
        <v>96</v>
      </c>
      <c r="I23" s="13" t="s">
        <v>57</v>
      </c>
      <c r="J23" s="6" t="s">
        <v>58</v>
      </c>
      <c r="K23" s="6" t="s">
        <v>59</v>
      </c>
      <c r="L23" s="6" t="s">
        <v>60</v>
      </c>
    </row>
    <row r="24" customFormat="false" ht="42" hidden="false" customHeight="true" outlineLevel="0" collapsed="false">
      <c r="A24" s="9" t="n">
        <v>20</v>
      </c>
      <c r="B24" s="10" t="s">
        <v>91</v>
      </c>
      <c r="C24" s="11" t="s">
        <v>101</v>
      </c>
      <c r="D24" s="11" t="s">
        <v>102</v>
      </c>
      <c r="E24" s="9" t="n">
        <v>2025</v>
      </c>
      <c r="F24" s="11" t="s">
        <v>103</v>
      </c>
      <c r="G24" s="12" t="s">
        <v>104</v>
      </c>
      <c r="H24" s="11" t="s">
        <v>96</v>
      </c>
      <c r="I24" s="13" t="s">
        <v>57</v>
      </c>
      <c r="J24" s="11" t="s">
        <v>58</v>
      </c>
      <c r="K24" s="11" t="s">
        <v>59</v>
      </c>
      <c r="L24" s="6" t="s">
        <v>60</v>
      </c>
    </row>
    <row r="25" customFormat="false" ht="42" hidden="false" customHeight="true" outlineLevel="0" collapsed="false">
      <c r="A25" s="4" t="n">
        <v>21</v>
      </c>
      <c r="B25" s="5" t="s">
        <v>91</v>
      </c>
      <c r="C25" s="6" t="s">
        <v>105</v>
      </c>
      <c r="D25" s="6" t="s">
        <v>106</v>
      </c>
      <c r="E25" s="4" t="n">
        <v>2025</v>
      </c>
      <c r="F25" s="6" t="s">
        <v>107</v>
      </c>
      <c r="G25" s="7" t="s">
        <v>108</v>
      </c>
      <c r="H25" s="6" t="s">
        <v>96</v>
      </c>
      <c r="I25" s="13" t="s">
        <v>57</v>
      </c>
      <c r="J25" s="6" t="s">
        <v>58</v>
      </c>
      <c r="K25" s="6" t="s">
        <v>59</v>
      </c>
      <c r="L25" s="6" t="s">
        <v>60</v>
      </c>
    </row>
    <row r="26" customFormat="false" ht="42" hidden="false" customHeight="true" outlineLevel="0" collapsed="false">
      <c r="A26" s="9" t="n">
        <v>22</v>
      </c>
      <c r="B26" s="10" t="s">
        <v>91</v>
      </c>
      <c r="C26" s="11" t="s">
        <v>109</v>
      </c>
      <c r="D26" s="11" t="s">
        <v>110</v>
      </c>
      <c r="E26" s="9" t="n">
        <v>2025</v>
      </c>
      <c r="F26" s="11" t="s">
        <v>111</v>
      </c>
      <c r="G26" s="12" t="s">
        <v>112</v>
      </c>
      <c r="H26" s="11" t="s">
        <v>96</v>
      </c>
      <c r="I26" s="8" t="s">
        <v>20</v>
      </c>
      <c r="J26" s="11"/>
      <c r="K26" s="11" t="s">
        <v>21</v>
      </c>
      <c r="L26" s="6" t="s">
        <v>22</v>
      </c>
    </row>
    <row r="27" customFormat="false" ht="42" hidden="false" customHeight="true" outlineLevel="0" collapsed="false">
      <c r="A27" s="4" t="n">
        <v>23</v>
      </c>
      <c r="B27" s="5" t="s">
        <v>91</v>
      </c>
      <c r="C27" s="6" t="s">
        <v>113</v>
      </c>
      <c r="D27" s="6" t="s">
        <v>114</v>
      </c>
      <c r="E27" s="4" t="n">
        <v>2025</v>
      </c>
      <c r="F27" s="6" t="s">
        <v>111</v>
      </c>
      <c r="G27" s="7" t="s">
        <v>115</v>
      </c>
      <c r="H27" s="6" t="s">
        <v>96</v>
      </c>
      <c r="I27" s="8" t="s">
        <v>20</v>
      </c>
      <c r="J27" s="6"/>
      <c r="K27" s="6" t="s">
        <v>21</v>
      </c>
      <c r="L27" s="6" t="s">
        <v>22</v>
      </c>
    </row>
    <row r="28" customFormat="false" ht="42" hidden="false" customHeight="true" outlineLevel="0" collapsed="false">
      <c r="A28" s="9" t="n">
        <v>24</v>
      </c>
      <c r="B28" s="10" t="s">
        <v>91</v>
      </c>
      <c r="C28" s="11" t="s">
        <v>116</v>
      </c>
      <c r="D28" s="11" t="s">
        <v>117</v>
      </c>
      <c r="E28" s="9" t="n">
        <v>2025</v>
      </c>
      <c r="F28" s="11" t="s">
        <v>118</v>
      </c>
      <c r="G28" s="12" t="s">
        <v>119</v>
      </c>
      <c r="H28" s="11" t="s">
        <v>96</v>
      </c>
      <c r="I28" s="13" t="s">
        <v>57</v>
      </c>
      <c r="J28" s="11" t="s">
        <v>58</v>
      </c>
      <c r="K28" s="11" t="s">
        <v>59</v>
      </c>
      <c r="L28" s="6" t="s">
        <v>60</v>
      </c>
    </row>
    <row r="29" customFormat="false" ht="42" hidden="false" customHeight="true" outlineLevel="0" collapsed="false">
      <c r="A29" s="4" t="n">
        <v>25</v>
      </c>
      <c r="B29" s="5" t="s">
        <v>91</v>
      </c>
      <c r="C29" s="6" t="s">
        <v>120</v>
      </c>
      <c r="D29" s="6" t="s">
        <v>121</v>
      </c>
      <c r="E29" s="4" t="n">
        <v>2025</v>
      </c>
      <c r="F29" s="6" t="s">
        <v>122</v>
      </c>
      <c r="G29" s="7" t="s">
        <v>123</v>
      </c>
      <c r="H29" s="6" t="s">
        <v>96</v>
      </c>
      <c r="I29" s="13" t="s">
        <v>57</v>
      </c>
      <c r="J29" s="6" t="s">
        <v>58</v>
      </c>
      <c r="K29" s="6" t="s">
        <v>59</v>
      </c>
      <c r="L29" s="6" t="s">
        <v>60</v>
      </c>
    </row>
    <row r="30" customFormat="false" ht="42" hidden="false" customHeight="true" outlineLevel="0" collapsed="false">
      <c r="A30" s="9" t="n">
        <v>26</v>
      </c>
      <c r="B30" s="10" t="s">
        <v>91</v>
      </c>
      <c r="C30" s="11" t="s">
        <v>124</v>
      </c>
      <c r="D30" s="11" t="s">
        <v>125</v>
      </c>
      <c r="E30" s="9" t="n">
        <v>2025</v>
      </c>
      <c r="F30" s="11" t="s">
        <v>126</v>
      </c>
      <c r="G30" s="12" t="s">
        <v>127</v>
      </c>
      <c r="H30" s="11" t="s">
        <v>96</v>
      </c>
      <c r="I30" s="13" t="s">
        <v>57</v>
      </c>
      <c r="J30" s="11" t="s">
        <v>58</v>
      </c>
      <c r="K30" s="11" t="s">
        <v>59</v>
      </c>
      <c r="L30" s="6" t="s">
        <v>60</v>
      </c>
    </row>
    <row r="31" customFormat="false" ht="42" hidden="false" customHeight="true" outlineLevel="0" collapsed="false">
      <c r="A31" s="4" t="n">
        <v>27</v>
      </c>
      <c r="B31" s="5" t="s">
        <v>91</v>
      </c>
      <c r="C31" s="6" t="s">
        <v>128</v>
      </c>
      <c r="D31" s="6" t="s">
        <v>129</v>
      </c>
      <c r="E31" s="4" t="n">
        <v>2026</v>
      </c>
      <c r="F31" s="6" t="s">
        <v>130</v>
      </c>
      <c r="G31" s="7" t="s">
        <v>131</v>
      </c>
      <c r="H31" s="6" t="s">
        <v>96</v>
      </c>
      <c r="I31" s="13" t="s">
        <v>57</v>
      </c>
      <c r="J31" s="6" t="s">
        <v>58</v>
      </c>
      <c r="K31" s="6" t="s">
        <v>59</v>
      </c>
      <c r="L31" s="6" t="s">
        <v>60</v>
      </c>
    </row>
    <row r="32" customFormat="false" ht="42" hidden="false" customHeight="true" outlineLevel="0" collapsed="false">
      <c r="A32" s="9" t="n">
        <v>28</v>
      </c>
      <c r="B32" s="10" t="s">
        <v>91</v>
      </c>
      <c r="C32" s="11" t="s">
        <v>132</v>
      </c>
      <c r="D32" s="11" t="s">
        <v>93</v>
      </c>
      <c r="E32" s="9" t="n">
        <v>2026</v>
      </c>
      <c r="F32" s="11" t="s">
        <v>94</v>
      </c>
      <c r="G32" s="12" t="s">
        <v>133</v>
      </c>
      <c r="H32" s="11" t="s">
        <v>96</v>
      </c>
      <c r="I32" s="13" t="s">
        <v>57</v>
      </c>
      <c r="J32" s="11" t="s">
        <v>58</v>
      </c>
      <c r="K32" s="11" t="s">
        <v>59</v>
      </c>
      <c r="L32" s="6" t="s">
        <v>60</v>
      </c>
    </row>
    <row r="33" customFormat="false" ht="42" hidden="false" customHeight="true" outlineLevel="0" collapsed="false">
      <c r="A33" s="4" t="n">
        <v>29</v>
      </c>
      <c r="B33" s="5" t="s">
        <v>91</v>
      </c>
      <c r="C33" s="6" t="s">
        <v>134</v>
      </c>
      <c r="D33" s="6" t="s">
        <v>135</v>
      </c>
      <c r="E33" s="4" t="n">
        <v>2026</v>
      </c>
      <c r="F33" s="6" t="s">
        <v>136</v>
      </c>
      <c r="G33" s="7" t="s">
        <v>137</v>
      </c>
      <c r="H33" s="6" t="s">
        <v>96</v>
      </c>
      <c r="I33" s="13" t="s">
        <v>57</v>
      </c>
      <c r="J33" s="6" t="s">
        <v>58</v>
      </c>
      <c r="K33" s="6" t="s">
        <v>59</v>
      </c>
      <c r="L33" s="6" t="s">
        <v>60</v>
      </c>
    </row>
    <row r="34" customFormat="false" ht="42" hidden="false" customHeight="true" outlineLevel="0" collapsed="false">
      <c r="A34" s="9" t="n">
        <v>30</v>
      </c>
      <c r="B34" s="10" t="s">
        <v>91</v>
      </c>
      <c r="C34" s="11" t="s">
        <v>138</v>
      </c>
      <c r="D34" s="11" t="s">
        <v>139</v>
      </c>
      <c r="E34" s="9" t="n">
        <v>2026</v>
      </c>
      <c r="F34" s="11" t="s">
        <v>140</v>
      </c>
      <c r="G34" s="12" t="s">
        <v>141</v>
      </c>
      <c r="H34" s="11" t="s">
        <v>96</v>
      </c>
      <c r="I34" s="13" t="s">
        <v>57</v>
      </c>
      <c r="J34" s="11" t="s">
        <v>58</v>
      </c>
      <c r="K34" s="11" t="s">
        <v>59</v>
      </c>
      <c r="L34" s="6" t="s">
        <v>60</v>
      </c>
    </row>
    <row r="35" customFormat="false" ht="42" hidden="false" customHeight="true" outlineLevel="0" collapsed="false">
      <c r="A35" s="4" t="n">
        <v>31</v>
      </c>
      <c r="B35" s="5" t="s">
        <v>91</v>
      </c>
      <c r="C35" s="6" t="s">
        <v>142</v>
      </c>
      <c r="D35" s="6" t="s">
        <v>143</v>
      </c>
      <c r="E35" s="4" t="n">
        <v>2026</v>
      </c>
      <c r="F35" s="6" t="s">
        <v>144</v>
      </c>
      <c r="G35" s="7" t="s">
        <v>145</v>
      </c>
      <c r="H35" s="6" t="s">
        <v>96</v>
      </c>
      <c r="I35" s="8" t="s">
        <v>20</v>
      </c>
      <c r="J35" s="6"/>
      <c r="K35" s="6" t="s">
        <v>21</v>
      </c>
      <c r="L35" s="6" t="s">
        <v>22</v>
      </c>
    </row>
    <row r="36" customFormat="false" ht="42" hidden="false" customHeight="true" outlineLevel="0" collapsed="false">
      <c r="A36" s="9" t="n">
        <v>32</v>
      </c>
      <c r="B36" s="10" t="s">
        <v>91</v>
      </c>
      <c r="C36" s="11" t="s">
        <v>146</v>
      </c>
      <c r="D36" s="11" t="s">
        <v>147</v>
      </c>
      <c r="E36" s="9" t="n">
        <v>2026</v>
      </c>
      <c r="F36" s="11" t="s">
        <v>148</v>
      </c>
      <c r="G36" s="12" t="s">
        <v>149</v>
      </c>
      <c r="H36" s="11" t="s">
        <v>96</v>
      </c>
      <c r="I36" s="13" t="s">
        <v>57</v>
      </c>
      <c r="J36" s="11" t="s">
        <v>58</v>
      </c>
      <c r="K36" s="11" t="s">
        <v>59</v>
      </c>
      <c r="L36" s="6" t="s">
        <v>60</v>
      </c>
    </row>
    <row r="37" customFormat="false" ht="42" hidden="false" customHeight="true" outlineLevel="0" collapsed="false">
      <c r="A37" s="4" t="n">
        <v>33</v>
      </c>
      <c r="B37" s="5" t="s">
        <v>91</v>
      </c>
      <c r="C37" s="6" t="s">
        <v>150</v>
      </c>
      <c r="D37" s="6" t="s">
        <v>151</v>
      </c>
      <c r="E37" s="4" t="n">
        <v>2026</v>
      </c>
      <c r="F37" s="6" t="s">
        <v>152</v>
      </c>
      <c r="G37" s="7" t="s">
        <v>153</v>
      </c>
      <c r="H37" s="6" t="s">
        <v>96</v>
      </c>
      <c r="I37" s="13" t="s">
        <v>57</v>
      </c>
      <c r="J37" s="6" t="s">
        <v>58</v>
      </c>
      <c r="K37" s="6" t="s">
        <v>59</v>
      </c>
      <c r="L37" s="6" t="s">
        <v>60</v>
      </c>
    </row>
    <row r="38" customFormat="false" ht="42" hidden="false" customHeight="true" outlineLevel="0" collapsed="false">
      <c r="A38" s="9" t="n">
        <v>34</v>
      </c>
      <c r="B38" s="10" t="s">
        <v>91</v>
      </c>
      <c r="C38" s="11" t="s">
        <v>154</v>
      </c>
      <c r="D38" s="11" t="s">
        <v>155</v>
      </c>
      <c r="E38" s="9" t="n">
        <v>2026</v>
      </c>
      <c r="F38" s="11" t="s">
        <v>156</v>
      </c>
      <c r="G38" s="12" t="s">
        <v>157</v>
      </c>
      <c r="H38" s="11" t="s">
        <v>96</v>
      </c>
      <c r="I38" s="13" t="s">
        <v>57</v>
      </c>
      <c r="J38" s="11" t="s">
        <v>58</v>
      </c>
      <c r="K38" s="11" t="s">
        <v>59</v>
      </c>
      <c r="L38" s="6" t="s">
        <v>60</v>
      </c>
    </row>
    <row r="39" customFormat="false" ht="42" hidden="false" customHeight="true" outlineLevel="0" collapsed="false">
      <c r="A39" s="4" t="n">
        <v>35</v>
      </c>
      <c r="B39" s="5" t="s">
        <v>26</v>
      </c>
      <c r="C39" s="6" t="s">
        <v>158</v>
      </c>
      <c r="D39" s="6" t="s">
        <v>159</v>
      </c>
      <c r="E39" s="4" t="n">
        <v>2024</v>
      </c>
      <c r="F39" s="6" t="s">
        <v>160</v>
      </c>
      <c r="G39" s="7" t="s">
        <v>161</v>
      </c>
      <c r="H39" s="6" t="s">
        <v>162</v>
      </c>
      <c r="I39" s="8" t="s">
        <v>20</v>
      </c>
      <c r="J39" s="6"/>
      <c r="K39" s="6" t="s">
        <v>21</v>
      </c>
      <c r="L39" s="6" t="s">
        <v>22</v>
      </c>
    </row>
    <row r="40" customFormat="false" ht="42" hidden="false" customHeight="true" outlineLevel="0" collapsed="false">
      <c r="A40" s="9" t="n">
        <v>36</v>
      </c>
      <c r="B40" s="10" t="s">
        <v>52</v>
      </c>
      <c r="C40" s="11" t="s">
        <v>163</v>
      </c>
      <c r="D40" s="11"/>
      <c r="E40" s="9" t="n">
        <v>2026</v>
      </c>
      <c r="F40" s="11" t="s">
        <v>164</v>
      </c>
      <c r="G40" s="12" t="s">
        <v>165</v>
      </c>
      <c r="H40" s="11" t="s">
        <v>56</v>
      </c>
      <c r="I40" s="8" t="s">
        <v>20</v>
      </c>
      <c r="J40" s="11"/>
      <c r="K40" s="11" t="s">
        <v>21</v>
      </c>
      <c r="L40" s="6" t="s">
        <v>22</v>
      </c>
    </row>
    <row r="41" customFormat="false" ht="42" hidden="false" customHeight="true" outlineLevel="0" collapsed="false">
      <c r="A41" s="4" t="n">
        <v>37</v>
      </c>
      <c r="B41" s="5" t="s">
        <v>52</v>
      </c>
      <c r="C41" s="6" t="s">
        <v>166</v>
      </c>
      <c r="D41" s="6"/>
      <c r="E41" s="4" t="n">
        <v>2026</v>
      </c>
      <c r="F41" s="6" t="s">
        <v>167</v>
      </c>
      <c r="G41" s="7" t="s">
        <v>168</v>
      </c>
      <c r="H41" s="6" t="s">
        <v>56</v>
      </c>
      <c r="I41" s="13" t="s">
        <v>57</v>
      </c>
      <c r="J41" s="6" t="s">
        <v>58</v>
      </c>
      <c r="K41" s="6" t="s">
        <v>59</v>
      </c>
      <c r="L41" s="6" t="s">
        <v>60</v>
      </c>
    </row>
    <row r="42" customFormat="false" ht="42" hidden="false" customHeight="true" outlineLevel="0" collapsed="false">
      <c r="A42" s="9" t="n">
        <v>38</v>
      </c>
      <c r="B42" s="10" t="s">
        <v>52</v>
      </c>
      <c r="C42" s="11" t="s">
        <v>169</v>
      </c>
      <c r="D42" s="11"/>
      <c r="E42" s="9" t="n">
        <v>2026</v>
      </c>
      <c r="F42" s="11" t="s">
        <v>170</v>
      </c>
      <c r="G42" s="12" t="s">
        <v>171</v>
      </c>
      <c r="H42" s="11" t="s">
        <v>56</v>
      </c>
      <c r="I42" s="8" t="s">
        <v>20</v>
      </c>
      <c r="J42" s="11"/>
      <c r="K42" s="11" t="s">
        <v>21</v>
      </c>
      <c r="L42" s="6" t="s">
        <v>22</v>
      </c>
    </row>
    <row r="43" customFormat="false" ht="42" hidden="false" customHeight="true" outlineLevel="0" collapsed="false">
      <c r="A43" s="4" t="n">
        <v>39</v>
      </c>
      <c r="B43" s="5" t="s">
        <v>52</v>
      </c>
      <c r="C43" s="6" t="s">
        <v>172</v>
      </c>
      <c r="D43" s="6"/>
      <c r="E43" s="4" t="n">
        <v>2026</v>
      </c>
      <c r="F43" s="6" t="s">
        <v>173</v>
      </c>
      <c r="G43" s="7" t="s">
        <v>174</v>
      </c>
      <c r="H43" s="6" t="s">
        <v>56</v>
      </c>
      <c r="I43" s="8" t="s">
        <v>20</v>
      </c>
      <c r="J43" s="6"/>
      <c r="K43" s="6" t="s">
        <v>21</v>
      </c>
      <c r="L43" s="6" t="s">
        <v>22</v>
      </c>
    </row>
    <row r="44" customFormat="false" ht="42" hidden="false" customHeight="true" outlineLevel="0" collapsed="false">
      <c r="A44" s="9" t="n">
        <v>40</v>
      </c>
      <c r="B44" s="10" t="s">
        <v>52</v>
      </c>
      <c r="C44" s="11" t="s">
        <v>175</v>
      </c>
      <c r="D44" s="11"/>
      <c r="E44" s="9" t="n">
        <v>2026</v>
      </c>
      <c r="F44" s="11" t="s">
        <v>176</v>
      </c>
      <c r="G44" s="12" t="s">
        <v>177</v>
      </c>
      <c r="H44" s="11" t="s">
        <v>56</v>
      </c>
      <c r="I44" s="13" t="s">
        <v>57</v>
      </c>
      <c r="J44" s="11" t="s">
        <v>58</v>
      </c>
      <c r="K44" s="11" t="s">
        <v>59</v>
      </c>
      <c r="L44" s="6" t="s">
        <v>60</v>
      </c>
    </row>
    <row r="45" customFormat="false" ht="42" hidden="false" customHeight="true" outlineLevel="0" collapsed="false">
      <c r="A45" s="4" t="n">
        <v>41</v>
      </c>
      <c r="B45" s="5" t="s">
        <v>52</v>
      </c>
      <c r="C45" s="6" t="s">
        <v>178</v>
      </c>
      <c r="D45" s="6"/>
      <c r="E45" s="4" t="n">
        <v>2026</v>
      </c>
      <c r="F45" s="6" t="s">
        <v>179</v>
      </c>
      <c r="G45" s="7" t="s">
        <v>180</v>
      </c>
      <c r="H45" s="6" t="s">
        <v>56</v>
      </c>
      <c r="I45" s="8" t="s">
        <v>20</v>
      </c>
      <c r="J45" s="6"/>
      <c r="K45" s="6" t="s">
        <v>21</v>
      </c>
      <c r="L45" s="6" t="s">
        <v>22</v>
      </c>
    </row>
    <row r="46" customFormat="false" ht="42" hidden="false" customHeight="true" outlineLevel="0" collapsed="false">
      <c r="A46" s="9" t="n">
        <v>42</v>
      </c>
      <c r="B46" s="10" t="s">
        <v>52</v>
      </c>
      <c r="C46" s="11" t="s">
        <v>181</v>
      </c>
      <c r="D46" s="11"/>
      <c r="E46" s="9" t="n">
        <v>2026</v>
      </c>
      <c r="F46" s="11" t="s">
        <v>182</v>
      </c>
      <c r="G46" s="12" t="s">
        <v>183</v>
      </c>
      <c r="H46" s="11" t="s">
        <v>56</v>
      </c>
      <c r="I46" s="13" t="s">
        <v>57</v>
      </c>
      <c r="J46" s="11" t="s">
        <v>58</v>
      </c>
      <c r="K46" s="11" t="s">
        <v>59</v>
      </c>
      <c r="L46" s="6" t="s">
        <v>60</v>
      </c>
    </row>
    <row r="47" customFormat="false" ht="42" hidden="false" customHeight="true" outlineLevel="0" collapsed="false">
      <c r="A47" s="4" t="n">
        <v>43</v>
      </c>
      <c r="B47" s="5" t="s">
        <v>52</v>
      </c>
      <c r="C47" s="6" t="s">
        <v>184</v>
      </c>
      <c r="D47" s="6"/>
      <c r="E47" s="4" t="n">
        <v>2026</v>
      </c>
      <c r="F47" s="6" t="s">
        <v>185</v>
      </c>
      <c r="G47" s="7" t="s">
        <v>186</v>
      </c>
      <c r="H47" s="6" t="s">
        <v>56</v>
      </c>
      <c r="I47" s="8" t="s">
        <v>20</v>
      </c>
      <c r="J47" s="6"/>
      <c r="K47" s="6" t="s">
        <v>21</v>
      </c>
      <c r="L47" s="6" t="s">
        <v>22</v>
      </c>
    </row>
    <row r="48" customFormat="false" ht="42" hidden="false" customHeight="true" outlineLevel="0" collapsed="false">
      <c r="A48" s="9" t="n">
        <v>44</v>
      </c>
      <c r="B48" s="10" t="s">
        <v>52</v>
      </c>
      <c r="C48" s="11" t="s">
        <v>187</v>
      </c>
      <c r="D48" s="11"/>
      <c r="E48" s="9" t="n">
        <v>2026</v>
      </c>
      <c r="F48" s="11" t="s">
        <v>188</v>
      </c>
      <c r="G48" s="12" t="s">
        <v>189</v>
      </c>
      <c r="H48" s="11" t="s">
        <v>56</v>
      </c>
      <c r="I48" s="13" t="s">
        <v>57</v>
      </c>
      <c r="J48" s="11" t="s">
        <v>58</v>
      </c>
      <c r="K48" s="11" t="s">
        <v>59</v>
      </c>
      <c r="L48" s="6" t="s">
        <v>60</v>
      </c>
    </row>
    <row r="49" customFormat="false" ht="42" hidden="false" customHeight="true" outlineLevel="0" collapsed="false">
      <c r="A49" s="4" t="n">
        <v>45</v>
      </c>
      <c r="B49" s="5" t="s">
        <v>52</v>
      </c>
      <c r="C49" s="6" t="s">
        <v>190</v>
      </c>
      <c r="D49" s="6"/>
      <c r="E49" s="4" t="n">
        <v>2026</v>
      </c>
      <c r="F49" s="6" t="s">
        <v>191</v>
      </c>
      <c r="G49" s="7" t="s">
        <v>192</v>
      </c>
      <c r="H49" s="6" t="s">
        <v>56</v>
      </c>
      <c r="I49" s="13" t="s">
        <v>57</v>
      </c>
      <c r="J49" s="6" t="s">
        <v>58</v>
      </c>
      <c r="K49" s="6" t="s">
        <v>59</v>
      </c>
      <c r="L49" s="6" t="s">
        <v>60</v>
      </c>
    </row>
    <row r="50" customFormat="false" ht="42" hidden="false" customHeight="true" outlineLevel="0" collapsed="false">
      <c r="A50" s="9" t="n">
        <v>46</v>
      </c>
      <c r="B50" s="10" t="s">
        <v>52</v>
      </c>
      <c r="C50" s="11" t="s">
        <v>193</v>
      </c>
      <c r="D50" s="11"/>
      <c r="E50" s="9" t="n">
        <v>2026</v>
      </c>
      <c r="F50" s="11" t="s">
        <v>194</v>
      </c>
      <c r="G50" s="12" t="s">
        <v>195</v>
      </c>
      <c r="H50" s="11" t="s">
        <v>56</v>
      </c>
      <c r="I50" s="13" t="s">
        <v>57</v>
      </c>
      <c r="J50" s="11" t="s">
        <v>58</v>
      </c>
      <c r="K50" s="11" t="s">
        <v>59</v>
      </c>
      <c r="L50" s="6" t="s">
        <v>60</v>
      </c>
    </row>
    <row r="51" customFormat="false" ht="42" hidden="false" customHeight="true" outlineLevel="0" collapsed="false">
      <c r="A51" s="4" t="n">
        <v>47</v>
      </c>
      <c r="B51" s="5" t="s">
        <v>52</v>
      </c>
      <c r="C51" s="6" t="s">
        <v>196</v>
      </c>
      <c r="D51" s="6"/>
      <c r="E51" s="4" t="n">
        <v>2026</v>
      </c>
      <c r="F51" s="6" t="s">
        <v>197</v>
      </c>
      <c r="G51" s="7" t="s">
        <v>198</v>
      </c>
      <c r="H51" s="6" t="s">
        <v>56</v>
      </c>
      <c r="I51" s="8" t="s">
        <v>20</v>
      </c>
      <c r="J51" s="6"/>
      <c r="K51" s="6" t="s">
        <v>21</v>
      </c>
      <c r="L51" s="6" t="s">
        <v>22</v>
      </c>
    </row>
    <row r="52" customFormat="false" ht="42" hidden="false" customHeight="true" outlineLevel="0" collapsed="false">
      <c r="A52" s="9" t="n">
        <v>48</v>
      </c>
      <c r="B52" s="10" t="s">
        <v>52</v>
      </c>
      <c r="C52" s="11" t="s">
        <v>199</v>
      </c>
      <c r="D52" s="11"/>
      <c r="E52" s="9" t="n">
        <v>2026</v>
      </c>
      <c r="F52" s="11" t="s">
        <v>200</v>
      </c>
      <c r="G52" s="12" t="s">
        <v>201</v>
      </c>
      <c r="H52" s="11" t="s">
        <v>56</v>
      </c>
      <c r="I52" s="13" t="s">
        <v>57</v>
      </c>
      <c r="J52" s="11" t="s">
        <v>58</v>
      </c>
      <c r="K52" s="11" t="s">
        <v>59</v>
      </c>
      <c r="L52" s="6" t="s">
        <v>60</v>
      </c>
    </row>
    <row r="53" customFormat="false" ht="42" hidden="false" customHeight="true" outlineLevel="0" collapsed="false">
      <c r="A53" s="4" t="n">
        <v>49</v>
      </c>
      <c r="B53" s="5" t="s">
        <v>52</v>
      </c>
      <c r="C53" s="6" t="s">
        <v>202</v>
      </c>
      <c r="D53" s="6"/>
      <c r="E53" s="4" t="n">
        <v>2026</v>
      </c>
      <c r="F53" s="6" t="s">
        <v>203</v>
      </c>
      <c r="G53" s="7" t="s">
        <v>204</v>
      </c>
      <c r="H53" s="6" t="s">
        <v>56</v>
      </c>
      <c r="I53" s="13" t="s">
        <v>57</v>
      </c>
      <c r="J53" s="6" t="s">
        <v>58</v>
      </c>
      <c r="K53" s="6" t="s">
        <v>59</v>
      </c>
      <c r="L53" s="6" t="s">
        <v>60</v>
      </c>
    </row>
    <row r="54" customFormat="false" ht="42" hidden="false" customHeight="true" outlineLevel="0" collapsed="false">
      <c r="A54" s="9" t="n">
        <v>50</v>
      </c>
      <c r="B54" s="10" t="s">
        <v>52</v>
      </c>
      <c r="C54" s="11" t="s">
        <v>205</v>
      </c>
      <c r="D54" s="11"/>
      <c r="E54" s="9" t="n">
        <v>2026</v>
      </c>
      <c r="F54" s="11" t="s">
        <v>206</v>
      </c>
      <c r="G54" s="12" t="s">
        <v>207</v>
      </c>
      <c r="H54" s="11" t="s">
        <v>56</v>
      </c>
      <c r="I54" s="13" t="s">
        <v>57</v>
      </c>
      <c r="J54" s="11" t="s">
        <v>58</v>
      </c>
      <c r="K54" s="11" t="s">
        <v>59</v>
      </c>
      <c r="L54" s="6" t="s">
        <v>60</v>
      </c>
    </row>
    <row r="55" customFormat="false" ht="42" hidden="false" customHeight="true" outlineLevel="0" collapsed="false">
      <c r="A55" s="4" t="n">
        <v>55</v>
      </c>
      <c r="B55" s="5" t="s">
        <v>91</v>
      </c>
      <c r="C55" s="6" t="s">
        <v>208</v>
      </c>
      <c r="D55" s="6" t="s">
        <v>209</v>
      </c>
      <c r="E55" s="4" t="n">
        <v>2023</v>
      </c>
      <c r="F55" s="6" t="s">
        <v>111</v>
      </c>
      <c r="G55" s="7" t="s">
        <v>210</v>
      </c>
      <c r="H55" s="6" t="s">
        <v>211</v>
      </c>
      <c r="I55" s="8" t="s">
        <v>20</v>
      </c>
      <c r="J55" s="6"/>
      <c r="K55" s="6" t="s">
        <v>21</v>
      </c>
      <c r="L55" s="6" t="s">
        <v>22</v>
      </c>
    </row>
    <row r="56" customFormat="false" ht="42" hidden="false" customHeight="true" outlineLevel="0" collapsed="false">
      <c r="A56" s="9" t="n">
        <v>56</v>
      </c>
      <c r="B56" s="10" t="s">
        <v>52</v>
      </c>
      <c r="C56" s="11" t="s">
        <v>212</v>
      </c>
      <c r="D56" s="11" t="s">
        <v>213</v>
      </c>
      <c r="E56" s="9" t="n">
        <v>2024</v>
      </c>
      <c r="F56" s="11" t="s">
        <v>214</v>
      </c>
      <c r="G56" s="12" t="s">
        <v>215</v>
      </c>
      <c r="H56" s="11" t="s">
        <v>211</v>
      </c>
      <c r="I56" s="8" t="s">
        <v>20</v>
      </c>
      <c r="J56" s="11"/>
      <c r="K56" s="11" t="s">
        <v>21</v>
      </c>
      <c r="L56" s="6" t="s">
        <v>22</v>
      </c>
    </row>
    <row r="58" customFormat="false" ht="15" hidden="false" customHeight="false" outlineLevel="0" collapsed="false">
      <c r="A58" s="14" t="s">
        <v>216</v>
      </c>
      <c r="C58" s="14" t="s">
        <v>217</v>
      </c>
    </row>
  </sheetData>
  <autoFilter ref="A4:L56"/>
  <hyperlinks>
    <hyperlink ref="G5" r:id="rId1" display="https://doi.org/10.1109/ICTAI66417.2025.00189"/>
    <hyperlink ref="G7" r:id="rId2" display="https://doi.org/10.1145/3639478.3639797"/>
    <hyperlink ref="G8" r:id="rId3" display="https://doi.org/10.1145/3731443.3771362"/>
    <hyperlink ref="G9" r:id="rId4" display="https://doi.org/10.1109/MODELS58315.2023.00037"/>
    <hyperlink ref="G10" r:id="rId5" display="https://doi.org/10.1145/3744920"/>
    <hyperlink ref="G11" r:id="rId6" display="https://doi.org/10.1145/3643795.3648391"/>
    <hyperlink ref="G12" r:id="rId7" display="10.3390/app142310873"/>
    <hyperlink ref="G13" r:id="rId8" display="10.1016/j.tcs.2024.114879"/>
    <hyperlink ref="G14" r:id="rId9" display="10.1109/TBDATA.2024.3524104"/>
    <hyperlink ref="G15" r:id="rId10" display="https://doi.org/10.1109/ICoSSE65712.2025.00020"/>
    <hyperlink ref="G16" r:id="rId11" display="10.1109/ACCESS.2026.3686308"/>
    <hyperlink ref="G17" r:id="rId12" display="10.3390/info16100870"/>
    <hyperlink ref="G18" r:id="rId13" display="10.1049/sfw2/6696040"/>
    <hyperlink ref="G19" r:id="rId14" display="10.1016/j.mlwa.2026.100940"/>
    <hyperlink ref="G22" r:id="rId15" display="https://link.springer.com/chapter/10.1007/978-3-031-71333-0_2"/>
    <hyperlink ref="G23" r:id="rId16" display="https://link.springer.com/chapter/10.1007/978-981-99-7820-5_40"/>
    <hyperlink ref="G24" r:id="rId17" display="https://link.springer.com/article/10.1007/s42979-025-04444-w"/>
    <hyperlink ref="G25" r:id="rId18" display="https://link.springer.com/chapter/10.1007/978-3-031-75605-4_6"/>
    <hyperlink ref="G26" r:id="rId19" display="https://link.springer.com/article/10.1007/s10270-024-01235-4"/>
    <hyperlink ref="G27" r:id="rId20" display="https://link.springer.com/article/10.1007/s10270-025-01273-6"/>
    <hyperlink ref="G28" r:id="rId21" display="https://link.springer.com/chapter/10.1007/978-3-031-75872-0_6"/>
    <hyperlink ref="G29" r:id="rId22" display="https://link.springer.com/chapter/10.1007/978-3-031-85067-7_5"/>
    <hyperlink ref="G30" r:id="rId23" display="https://link.springer.com/chapter/10.1007/978-3-031-94590-8_34"/>
    <hyperlink ref="G31" r:id="rId24" display="https://link.springer.com/chapter/10.1007/978-3-032-16234-2_22"/>
    <hyperlink ref="G32" r:id="rId25" display="https://link.springer.com/chapter/10.1007/978-3-032-04375-7_18"/>
    <hyperlink ref="G33" r:id="rId26" display="https://link.springer.com/chapter/10.1007/978-3-032-08620-4_13"/>
    <hyperlink ref="G34" r:id="rId27" display="https://link.springer.com/chapter/10.1007/978-3-032-21171-2_10"/>
    <hyperlink ref="G35" r:id="rId28" display="https://link.springer.com/chapter/10.1007/978-3-032-07132-3_8"/>
    <hyperlink ref="G36" r:id="rId29" display="https://link.springer.com/chapter/10.1007/978-3-031-96841-9_11"/>
    <hyperlink ref="G37" r:id="rId30" display="https://link.springer.com/chapter/10.1007/978-3-032-16808-5_4"/>
    <hyperlink ref="G38" r:id="rId31" display="https://link.springer.com/chapter/10.1007/978-3-032-28117-3_1"/>
    <hyperlink ref="G39" r:id="rId32" display="https://doi.org/10.1145/3674805.3690741"/>
    <hyperlink ref="G40" r:id="rId33" display="10.21123/2411-7986.5338"/>
    <hyperlink ref="G41" r:id="rId34" display="10.3791/70395"/>
    <hyperlink ref="G42" r:id="rId35" display="10.1109/TSE.2026.3703553"/>
    <hyperlink ref="G43" r:id="rId36" display="10.3390/electronics15061239"/>
    <hyperlink ref="G44" r:id="rId37" display="10.1016/j.neucom.2025.132502"/>
    <hyperlink ref="G45" r:id="rId38" display="10.1016/j.jss.2026.112874"/>
    <hyperlink ref="G46" r:id="rId39" display="10.5815/ijwmt.2026.03.08"/>
    <hyperlink ref="G47" r:id="rId40" display="10.1109/ACCESS.2026.3699382"/>
    <hyperlink ref="G48" r:id="rId41" display="10.5381/jot.2026.25.3.a22"/>
    <hyperlink ref="G49" r:id="rId42" display="10.1016/j.scico.2026.103503"/>
    <hyperlink ref="G50" r:id="rId43" display="10.1016/j.infsof.2026.108224"/>
    <hyperlink ref="G51" r:id="rId44" display="10.1016/j.infsof.2025.107954"/>
    <hyperlink ref="G52" r:id="rId45" display="10.5381/jot.2026.25.3.a13"/>
    <hyperlink ref="G53" r:id="rId46" display="10.1049/sfw2/1690605"/>
    <hyperlink ref="G54" r:id="rId47" display="10.22105/bdcv.2026.557980.1331"/>
    <hyperlink ref="G55" r:id="rId48" display="10.1007/s10270-022-00994-2"/>
    <hyperlink ref="G56" r:id="rId49" display="10.1145/3605098.36361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8"/>
    <col collapsed="false" customWidth="true" hidden="false" outlineLevel="0" max="13" min="10" style="0" width="25"/>
    <col collapsed="false" customWidth="true" hidden="false" outlineLevel="0" max="14" min="14" style="0" width="28"/>
    <col collapsed="false" customWidth="true" hidden="false" outlineLevel="0" max="15" min="15" style="0" width="22"/>
    <col collapsed="false" customWidth="true" hidden="false" outlineLevel="0" max="16" min="16" style="0" width="28"/>
    <col collapsed="false" customWidth="true" hidden="false" outlineLevel="0" max="18" min="17" style="0" width="32"/>
  </cols>
  <sheetData>
    <row r="1" customFormat="false" ht="21" hidden="false" customHeight="tru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27.75" hidden="false" customHeight="true" outlineLevel="0" collapsed="false">
      <c r="A4" s="3" t="s">
        <v>220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3</v>
      </c>
      <c r="G4" s="3" t="s">
        <v>8</v>
      </c>
      <c r="H4" s="3" t="s">
        <v>221</v>
      </c>
      <c r="I4" s="3" t="s">
        <v>222</v>
      </c>
      <c r="J4" s="3" t="s">
        <v>223</v>
      </c>
      <c r="K4" s="3" t="s">
        <v>224</v>
      </c>
      <c r="L4" s="3" t="s">
        <v>225</v>
      </c>
      <c r="M4" s="3" t="s">
        <v>226</v>
      </c>
      <c r="N4" s="3" t="s">
        <v>227</v>
      </c>
      <c r="O4" s="3" t="s">
        <v>228</v>
      </c>
      <c r="P4" s="3" t="s">
        <v>229</v>
      </c>
      <c r="Q4" s="3" t="s">
        <v>230</v>
      </c>
      <c r="R4" s="3" t="s">
        <v>231</v>
      </c>
    </row>
    <row r="5" customFormat="false" ht="64.5" hidden="false" customHeight="true" outlineLevel="0" collapsed="false">
      <c r="A5" s="4" t="n">
        <v>1</v>
      </c>
      <c r="B5" s="6" t="s">
        <v>232</v>
      </c>
      <c r="C5" s="6" t="s">
        <v>233</v>
      </c>
      <c r="D5" s="4" t="n">
        <v>2025</v>
      </c>
      <c r="E5" s="6" t="s">
        <v>234</v>
      </c>
      <c r="F5" s="5" t="s">
        <v>14</v>
      </c>
      <c r="G5" s="7" t="s">
        <v>18</v>
      </c>
      <c r="H5" s="6" t="s">
        <v>235</v>
      </c>
      <c r="I5" s="6" t="s">
        <v>236</v>
      </c>
      <c r="J5" s="6" t="s">
        <v>237</v>
      </c>
      <c r="K5" s="6" t="s">
        <v>238</v>
      </c>
      <c r="L5" s="6" t="s">
        <v>239</v>
      </c>
      <c r="M5" s="6" t="s">
        <v>240</v>
      </c>
      <c r="N5" s="6" t="s">
        <v>241</v>
      </c>
      <c r="O5" s="15" t="s">
        <v>242</v>
      </c>
      <c r="P5" s="6" t="s">
        <v>243</v>
      </c>
      <c r="Q5" s="6" t="s">
        <v>244</v>
      </c>
      <c r="R5" s="6" t="s">
        <v>245</v>
      </c>
    </row>
    <row r="6" customFormat="false" ht="64.5" hidden="false" customHeight="true" outlineLevel="0" collapsed="false">
      <c r="A6" s="9" t="n">
        <v>2</v>
      </c>
      <c r="B6" s="11" t="s">
        <v>24</v>
      </c>
      <c r="C6" s="11" t="s">
        <v>246</v>
      </c>
      <c r="D6" s="9" t="n">
        <v>2026</v>
      </c>
      <c r="E6" s="11" t="s">
        <v>247</v>
      </c>
      <c r="F6" s="10" t="s">
        <v>23</v>
      </c>
      <c r="G6" s="12" t="s">
        <v>248</v>
      </c>
      <c r="H6" s="11" t="s">
        <v>249</v>
      </c>
      <c r="I6" s="11" t="s">
        <v>250</v>
      </c>
      <c r="J6" s="11" t="s">
        <v>251</v>
      </c>
      <c r="K6" s="11" t="s">
        <v>252</v>
      </c>
      <c r="L6" s="11" t="s">
        <v>253</v>
      </c>
      <c r="M6" s="11" t="s">
        <v>254</v>
      </c>
      <c r="N6" s="11" t="s">
        <v>255</v>
      </c>
      <c r="O6" s="16" t="s">
        <v>256</v>
      </c>
      <c r="P6" s="11" t="s">
        <v>257</v>
      </c>
      <c r="Q6" s="11" t="s">
        <v>258</v>
      </c>
      <c r="R6" s="11" t="s">
        <v>259</v>
      </c>
    </row>
    <row r="7" customFormat="false" ht="64.5" hidden="false" customHeight="true" outlineLevel="0" collapsed="false">
      <c r="A7" s="4" t="n">
        <v>3</v>
      </c>
      <c r="B7" s="6" t="s">
        <v>27</v>
      </c>
      <c r="C7" s="6" t="s">
        <v>28</v>
      </c>
      <c r="D7" s="4" t="n">
        <v>2024</v>
      </c>
      <c r="E7" s="6" t="s">
        <v>260</v>
      </c>
      <c r="F7" s="5" t="s">
        <v>26</v>
      </c>
      <c r="G7" s="7" t="s">
        <v>30</v>
      </c>
      <c r="H7" s="6" t="s">
        <v>261</v>
      </c>
      <c r="I7" s="6" t="s">
        <v>262</v>
      </c>
      <c r="J7" s="6" t="s">
        <v>263</v>
      </c>
      <c r="K7" s="6" t="s">
        <v>264</v>
      </c>
      <c r="L7" s="6" t="s">
        <v>265</v>
      </c>
      <c r="M7" s="6" t="s">
        <v>266</v>
      </c>
      <c r="N7" s="6" t="s">
        <v>267</v>
      </c>
      <c r="O7" s="15" t="s">
        <v>268</v>
      </c>
      <c r="P7" s="6" t="s">
        <v>269</v>
      </c>
      <c r="Q7" s="6" t="s">
        <v>270</v>
      </c>
      <c r="R7" s="6" t="s">
        <v>271</v>
      </c>
    </row>
    <row r="8" customFormat="false" ht="64.5" hidden="false" customHeight="true" outlineLevel="0" collapsed="false">
      <c r="A8" s="9" t="n">
        <v>4</v>
      </c>
      <c r="B8" s="11" t="s">
        <v>32</v>
      </c>
      <c r="C8" s="11" t="s">
        <v>33</v>
      </c>
      <c r="D8" s="9" t="n">
        <v>2025</v>
      </c>
      <c r="E8" s="11" t="s">
        <v>272</v>
      </c>
      <c r="F8" s="10" t="s">
        <v>26</v>
      </c>
      <c r="G8" s="12" t="s">
        <v>35</v>
      </c>
      <c r="H8" s="11" t="s">
        <v>273</v>
      </c>
      <c r="I8" s="11" t="s">
        <v>274</v>
      </c>
      <c r="J8" s="11" t="s">
        <v>275</v>
      </c>
      <c r="K8" s="11" t="s">
        <v>276</v>
      </c>
      <c r="L8" s="11" t="s">
        <v>277</v>
      </c>
      <c r="M8" s="11" t="s">
        <v>278</v>
      </c>
      <c r="N8" s="11" t="s">
        <v>279</v>
      </c>
      <c r="O8" s="16" t="s">
        <v>280</v>
      </c>
      <c r="P8" s="11" t="s">
        <v>281</v>
      </c>
      <c r="Q8" s="11" t="s">
        <v>282</v>
      </c>
      <c r="R8" s="11" t="s">
        <v>283</v>
      </c>
    </row>
    <row r="9" customFormat="false" ht="64.5" hidden="false" customHeight="true" outlineLevel="0" collapsed="false">
      <c r="A9" s="4" t="n">
        <v>5</v>
      </c>
      <c r="B9" s="6" t="s">
        <v>37</v>
      </c>
      <c r="C9" s="6" t="s">
        <v>284</v>
      </c>
      <c r="D9" s="4" t="n">
        <v>2023</v>
      </c>
      <c r="E9" s="6" t="s">
        <v>285</v>
      </c>
      <c r="F9" s="5" t="s">
        <v>26</v>
      </c>
      <c r="G9" s="7" t="s">
        <v>40</v>
      </c>
      <c r="H9" s="6" t="s">
        <v>286</v>
      </c>
      <c r="I9" s="6" t="s">
        <v>287</v>
      </c>
      <c r="J9" s="6" t="s">
        <v>288</v>
      </c>
      <c r="K9" s="6" t="s">
        <v>289</v>
      </c>
      <c r="L9" s="6" t="s">
        <v>290</v>
      </c>
      <c r="M9" s="6" t="s">
        <v>291</v>
      </c>
      <c r="N9" s="6" t="s">
        <v>292</v>
      </c>
      <c r="O9" s="15" t="s">
        <v>293</v>
      </c>
      <c r="P9" s="6" t="s">
        <v>294</v>
      </c>
      <c r="Q9" s="6" t="s">
        <v>295</v>
      </c>
      <c r="R9" s="6" t="s">
        <v>296</v>
      </c>
    </row>
    <row r="10" customFormat="false" ht="64.5" hidden="false" customHeight="true" outlineLevel="0" collapsed="false">
      <c r="A10" s="9" t="n">
        <v>6</v>
      </c>
      <c r="B10" s="11" t="s">
        <v>42</v>
      </c>
      <c r="C10" s="11" t="s">
        <v>43</v>
      </c>
      <c r="D10" s="9" t="n">
        <v>2026</v>
      </c>
      <c r="E10" s="11" t="s">
        <v>297</v>
      </c>
      <c r="F10" s="10" t="s">
        <v>26</v>
      </c>
      <c r="G10" s="12" t="s">
        <v>45</v>
      </c>
      <c r="H10" s="11" t="s">
        <v>298</v>
      </c>
      <c r="I10" s="11" t="s">
        <v>299</v>
      </c>
      <c r="J10" s="11" t="s">
        <v>300</v>
      </c>
      <c r="K10" s="11" t="s">
        <v>301</v>
      </c>
      <c r="L10" s="11" t="s">
        <v>302</v>
      </c>
      <c r="M10" s="11" t="s">
        <v>303</v>
      </c>
      <c r="N10" s="11" t="s">
        <v>304</v>
      </c>
      <c r="O10" s="16" t="s">
        <v>305</v>
      </c>
      <c r="P10" s="11" t="s">
        <v>306</v>
      </c>
      <c r="Q10" s="11" t="s">
        <v>307</v>
      </c>
      <c r="R10" s="11" t="s">
        <v>308</v>
      </c>
    </row>
    <row r="11" customFormat="false" ht="64.5" hidden="false" customHeight="true" outlineLevel="0" collapsed="false">
      <c r="A11" s="4" t="n">
        <v>7</v>
      </c>
      <c r="B11" s="6" t="s">
        <v>47</v>
      </c>
      <c r="C11" s="6" t="s">
        <v>309</v>
      </c>
      <c r="D11" s="4" t="n">
        <v>2024</v>
      </c>
      <c r="E11" s="6" t="s">
        <v>310</v>
      </c>
      <c r="F11" s="5" t="s">
        <v>26</v>
      </c>
      <c r="G11" s="7" t="s">
        <v>50</v>
      </c>
      <c r="H11" s="6" t="s">
        <v>311</v>
      </c>
      <c r="I11" s="6" t="s">
        <v>312</v>
      </c>
      <c r="J11" s="6" t="s">
        <v>313</v>
      </c>
      <c r="K11" s="6" t="s">
        <v>314</v>
      </c>
      <c r="L11" s="6" t="s">
        <v>315</v>
      </c>
      <c r="M11" s="6" t="s">
        <v>316</v>
      </c>
      <c r="N11" s="6" t="s">
        <v>317</v>
      </c>
      <c r="O11" s="15" t="s">
        <v>293</v>
      </c>
      <c r="P11" s="6" t="s">
        <v>318</v>
      </c>
      <c r="Q11" s="6" t="s">
        <v>319</v>
      </c>
      <c r="R11" s="6" t="s">
        <v>320</v>
      </c>
    </row>
    <row r="12" customFormat="false" ht="64.5" hidden="false" customHeight="true" outlineLevel="0" collapsed="false">
      <c r="A12" s="9" t="n">
        <v>11</v>
      </c>
      <c r="B12" s="11" t="s">
        <v>67</v>
      </c>
      <c r="C12" s="11" t="s">
        <v>321</v>
      </c>
      <c r="D12" s="9" t="n">
        <v>2025</v>
      </c>
      <c r="E12" s="11" t="s">
        <v>322</v>
      </c>
      <c r="F12" s="10" t="s">
        <v>14</v>
      </c>
      <c r="G12" s="12" t="s">
        <v>68</v>
      </c>
      <c r="H12" s="11" t="s">
        <v>323</v>
      </c>
      <c r="I12" s="11" t="s">
        <v>324</v>
      </c>
      <c r="J12" s="11" t="s">
        <v>325</v>
      </c>
      <c r="K12" s="11" t="s">
        <v>301</v>
      </c>
      <c r="L12" s="11" t="s">
        <v>326</v>
      </c>
      <c r="M12" s="11" t="s">
        <v>327</v>
      </c>
      <c r="N12" s="11" t="s">
        <v>328</v>
      </c>
      <c r="O12" s="16" t="s">
        <v>280</v>
      </c>
      <c r="P12" s="11" t="s">
        <v>329</v>
      </c>
      <c r="Q12" s="11" t="s">
        <v>330</v>
      </c>
      <c r="R12" s="11" t="s">
        <v>331</v>
      </c>
    </row>
    <row r="13" customFormat="false" ht="64.5" hidden="false" customHeight="true" outlineLevel="0" collapsed="false">
      <c r="A13" s="4" t="n">
        <v>12</v>
      </c>
      <c r="B13" s="6" t="s">
        <v>332</v>
      </c>
      <c r="C13" s="6" t="s">
        <v>333</v>
      </c>
      <c r="D13" s="4" t="n">
        <v>2026</v>
      </c>
      <c r="E13" s="6" t="s">
        <v>334</v>
      </c>
      <c r="F13" s="5" t="s">
        <v>70</v>
      </c>
      <c r="G13" s="7" t="s">
        <v>335</v>
      </c>
      <c r="H13" s="6" t="s">
        <v>336</v>
      </c>
      <c r="I13" s="6" t="s">
        <v>337</v>
      </c>
      <c r="J13" s="6" t="s">
        <v>338</v>
      </c>
      <c r="K13" s="6" t="s">
        <v>339</v>
      </c>
      <c r="L13" s="6" t="s">
        <v>340</v>
      </c>
      <c r="M13" s="6" t="s">
        <v>341</v>
      </c>
      <c r="N13" s="6" t="s">
        <v>342</v>
      </c>
      <c r="O13" s="15" t="s">
        <v>343</v>
      </c>
      <c r="P13" s="6" t="s">
        <v>344</v>
      </c>
      <c r="Q13" s="6" t="s">
        <v>345</v>
      </c>
      <c r="R13" s="6" t="s">
        <v>346</v>
      </c>
    </row>
    <row r="14" customFormat="false" ht="64.5" hidden="false" customHeight="true" outlineLevel="0" collapsed="false">
      <c r="A14" s="9" t="n">
        <v>13</v>
      </c>
      <c r="B14" s="11" t="s">
        <v>75</v>
      </c>
      <c r="C14" s="11" t="s">
        <v>347</v>
      </c>
      <c r="D14" s="9" t="n">
        <v>2025</v>
      </c>
      <c r="E14" s="11" t="s">
        <v>348</v>
      </c>
      <c r="F14" s="10" t="s">
        <v>70</v>
      </c>
      <c r="G14" s="12" t="s">
        <v>349</v>
      </c>
      <c r="H14" s="11" t="s">
        <v>350</v>
      </c>
      <c r="I14" s="11" t="s">
        <v>351</v>
      </c>
      <c r="J14" s="11" t="s">
        <v>352</v>
      </c>
      <c r="K14" s="11" t="s">
        <v>353</v>
      </c>
      <c r="L14" s="11" t="s">
        <v>354</v>
      </c>
      <c r="M14" s="11" t="s">
        <v>355</v>
      </c>
      <c r="N14" s="11" t="s">
        <v>356</v>
      </c>
      <c r="O14" s="16" t="s">
        <v>280</v>
      </c>
      <c r="P14" s="11" t="s">
        <v>357</v>
      </c>
      <c r="Q14" s="11" t="s">
        <v>358</v>
      </c>
      <c r="R14" s="11" t="s">
        <v>359</v>
      </c>
    </row>
    <row r="15" customFormat="false" ht="64.5" hidden="false" customHeight="true" outlineLevel="0" collapsed="false">
      <c r="A15" s="4" t="n">
        <v>14</v>
      </c>
      <c r="B15" s="6" t="s">
        <v>79</v>
      </c>
      <c r="C15" s="6" t="s">
        <v>360</v>
      </c>
      <c r="D15" s="4" t="n">
        <v>2026</v>
      </c>
      <c r="E15" s="6" t="s">
        <v>361</v>
      </c>
      <c r="F15" s="5" t="s">
        <v>70</v>
      </c>
      <c r="G15" s="7" t="s">
        <v>362</v>
      </c>
      <c r="H15" s="6" t="s">
        <v>363</v>
      </c>
      <c r="I15" s="6" t="s">
        <v>364</v>
      </c>
      <c r="J15" s="6" t="s">
        <v>365</v>
      </c>
      <c r="K15" s="6" t="s">
        <v>366</v>
      </c>
      <c r="L15" s="6" t="s">
        <v>367</v>
      </c>
      <c r="M15" s="6" t="s">
        <v>368</v>
      </c>
      <c r="N15" s="6" t="s">
        <v>369</v>
      </c>
      <c r="O15" s="15" t="s">
        <v>370</v>
      </c>
      <c r="P15" s="6" t="s">
        <v>371</v>
      </c>
      <c r="Q15" s="6" t="s">
        <v>372</v>
      </c>
      <c r="R15" s="6" t="s">
        <v>373</v>
      </c>
    </row>
    <row r="16" customFormat="false" ht="64.5" hidden="false" customHeight="true" outlineLevel="0" collapsed="false">
      <c r="A16" s="9" t="n">
        <v>15</v>
      </c>
      <c r="B16" s="11" t="s">
        <v>83</v>
      </c>
      <c r="C16" s="11" t="s">
        <v>374</v>
      </c>
      <c r="D16" s="9" t="n">
        <v>2026</v>
      </c>
      <c r="E16" s="11" t="s">
        <v>375</v>
      </c>
      <c r="F16" s="10" t="s">
        <v>23</v>
      </c>
      <c r="G16" s="12" t="s">
        <v>376</v>
      </c>
      <c r="H16" s="11" t="s">
        <v>377</v>
      </c>
      <c r="I16" s="11" t="s">
        <v>378</v>
      </c>
      <c r="J16" s="11" t="s">
        <v>275</v>
      </c>
      <c r="K16" s="11" t="s">
        <v>379</v>
      </c>
      <c r="L16" s="11" t="s">
        <v>380</v>
      </c>
      <c r="M16" s="11" t="s">
        <v>381</v>
      </c>
      <c r="N16" s="11" t="s">
        <v>382</v>
      </c>
      <c r="O16" s="16" t="s">
        <v>280</v>
      </c>
      <c r="P16" s="11" t="s">
        <v>383</v>
      </c>
      <c r="Q16" s="11" t="s">
        <v>384</v>
      </c>
      <c r="R16" s="11" t="s">
        <v>385</v>
      </c>
    </row>
    <row r="17" customFormat="false" ht="64.5" hidden="false" customHeight="true" outlineLevel="0" collapsed="false">
      <c r="A17" s="4" t="n">
        <v>16</v>
      </c>
      <c r="B17" s="6" t="s">
        <v>87</v>
      </c>
      <c r="C17" s="6" t="s">
        <v>386</v>
      </c>
      <c r="D17" s="4" t="n">
        <v>2026</v>
      </c>
      <c r="E17" s="6" t="s">
        <v>387</v>
      </c>
      <c r="F17" s="5" t="s">
        <v>23</v>
      </c>
      <c r="G17" s="7" t="s">
        <v>388</v>
      </c>
      <c r="H17" s="6" t="s">
        <v>389</v>
      </c>
      <c r="I17" s="6" t="s">
        <v>390</v>
      </c>
      <c r="J17" s="6" t="s">
        <v>391</v>
      </c>
      <c r="K17" s="6" t="s">
        <v>392</v>
      </c>
      <c r="L17" s="6" t="s">
        <v>393</v>
      </c>
      <c r="M17" s="6" t="s">
        <v>394</v>
      </c>
      <c r="N17" s="6" t="s">
        <v>395</v>
      </c>
      <c r="O17" s="15" t="s">
        <v>396</v>
      </c>
      <c r="P17" s="6" t="s">
        <v>397</v>
      </c>
      <c r="Q17" s="6" t="s">
        <v>398</v>
      </c>
      <c r="R17" s="6" t="s">
        <v>399</v>
      </c>
    </row>
    <row r="18" customFormat="false" ht="64.5" hidden="false" customHeight="true" outlineLevel="0" collapsed="false">
      <c r="A18" s="9" t="n">
        <v>17</v>
      </c>
      <c r="B18" s="11" t="s">
        <v>89</v>
      </c>
      <c r="C18" s="11" t="s">
        <v>400</v>
      </c>
      <c r="D18" s="9" t="n">
        <v>2021</v>
      </c>
      <c r="E18" s="11" t="s">
        <v>401</v>
      </c>
      <c r="F18" s="10" t="s">
        <v>23</v>
      </c>
      <c r="G18" s="12" t="s">
        <v>402</v>
      </c>
      <c r="H18" s="11" t="s">
        <v>403</v>
      </c>
      <c r="I18" s="11" t="s">
        <v>404</v>
      </c>
      <c r="J18" s="11" t="s">
        <v>405</v>
      </c>
      <c r="K18" s="11" t="s">
        <v>406</v>
      </c>
      <c r="L18" s="11" t="s">
        <v>407</v>
      </c>
      <c r="M18" s="11" t="s">
        <v>408</v>
      </c>
      <c r="N18" s="11" t="s">
        <v>409</v>
      </c>
      <c r="O18" s="16" t="s">
        <v>280</v>
      </c>
      <c r="P18" s="11" t="s">
        <v>410</v>
      </c>
      <c r="Q18" s="11" t="s">
        <v>411</v>
      </c>
      <c r="R18" s="11" t="s">
        <v>412</v>
      </c>
    </row>
    <row r="19" customFormat="false" ht="64.5" hidden="false" customHeight="true" outlineLevel="0" collapsed="false">
      <c r="A19" s="4" t="n">
        <v>22</v>
      </c>
      <c r="B19" s="6" t="s">
        <v>109</v>
      </c>
      <c r="C19" s="6" t="s">
        <v>413</v>
      </c>
      <c r="D19" s="4" t="n">
        <v>2025</v>
      </c>
      <c r="E19" s="6" t="s">
        <v>414</v>
      </c>
      <c r="F19" s="5" t="s">
        <v>91</v>
      </c>
      <c r="G19" s="7" t="s">
        <v>415</v>
      </c>
      <c r="H19" s="6" t="s">
        <v>416</v>
      </c>
      <c r="I19" s="6" t="s">
        <v>417</v>
      </c>
      <c r="J19" s="6" t="s">
        <v>418</v>
      </c>
      <c r="K19" s="6" t="s">
        <v>419</v>
      </c>
      <c r="L19" s="6" t="s">
        <v>420</v>
      </c>
      <c r="M19" s="6" t="s">
        <v>421</v>
      </c>
      <c r="N19" s="6" t="s">
        <v>422</v>
      </c>
      <c r="O19" s="15" t="s">
        <v>280</v>
      </c>
      <c r="P19" s="6" t="s">
        <v>423</v>
      </c>
      <c r="Q19" s="6" t="s">
        <v>424</v>
      </c>
      <c r="R19" s="6" t="s">
        <v>425</v>
      </c>
    </row>
    <row r="20" customFormat="false" ht="64.5" hidden="false" customHeight="true" outlineLevel="0" collapsed="false">
      <c r="A20" s="9" t="n">
        <v>23</v>
      </c>
      <c r="B20" s="11" t="s">
        <v>113</v>
      </c>
      <c r="C20" s="11" t="s">
        <v>426</v>
      </c>
      <c r="D20" s="9" t="n">
        <v>2025</v>
      </c>
      <c r="E20" s="11" t="s">
        <v>414</v>
      </c>
      <c r="F20" s="10" t="s">
        <v>91</v>
      </c>
      <c r="G20" s="12" t="s">
        <v>427</v>
      </c>
      <c r="H20" s="11" t="s">
        <v>428</v>
      </c>
      <c r="I20" s="11" t="s">
        <v>429</v>
      </c>
      <c r="J20" s="11" t="s">
        <v>430</v>
      </c>
      <c r="K20" s="11" t="s">
        <v>431</v>
      </c>
      <c r="L20" s="11" t="s">
        <v>432</v>
      </c>
      <c r="M20" s="11" t="s">
        <v>433</v>
      </c>
      <c r="N20" s="11" t="s">
        <v>434</v>
      </c>
      <c r="O20" s="16" t="s">
        <v>280</v>
      </c>
      <c r="P20" s="11" t="s">
        <v>435</v>
      </c>
      <c r="Q20" s="11" t="s">
        <v>436</v>
      </c>
      <c r="R20" s="11" t="s">
        <v>437</v>
      </c>
    </row>
    <row r="21" customFormat="false" ht="64.5" hidden="false" customHeight="true" outlineLevel="0" collapsed="false">
      <c r="A21" s="4" t="n">
        <v>31</v>
      </c>
      <c r="B21" s="6" t="s">
        <v>142</v>
      </c>
      <c r="C21" s="6" t="s">
        <v>438</v>
      </c>
      <c r="D21" s="4" t="n">
        <v>2026</v>
      </c>
      <c r="E21" s="6" t="s">
        <v>439</v>
      </c>
      <c r="F21" s="5" t="s">
        <v>91</v>
      </c>
      <c r="G21" s="7" t="s">
        <v>440</v>
      </c>
      <c r="H21" s="6" t="s">
        <v>441</v>
      </c>
      <c r="I21" s="6" t="s">
        <v>442</v>
      </c>
      <c r="J21" s="6" t="s">
        <v>443</v>
      </c>
      <c r="K21" s="6" t="s">
        <v>444</v>
      </c>
      <c r="L21" s="6" t="s">
        <v>445</v>
      </c>
      <c r="M21" s="6" t="s">
        <v>446</v>
      </c>
      <c r="N21" s="6" t="s">
        <v>447</v>
      </c>
      <c r="O21" s="15" t="s">
        <v>448</v>
      </c>
      <c r="P21" s="6" t="s">
        <v>449</v>
      </c>
      <c r="Q21" s="6" t="s">
        <v>450</v>
      </c>
      <c r="R21" s="6" t="s">
        <v>451</v>
      </c>
    </row>
    <row r="22" customFormat="false" ht="64.5" hidden="false" customHeight="true" outlineLevel="0" collapsed="false">
      <c r="A22" s="9" t="n">
        <v>35</v>
      </c>
      <c r="B22" s="11" t="s">
        <v>158</v>
      </c>
      <c r="C22" s="11" t="s">
        <v>452</v>
      </c>
      <c r="D22" s="9" t="n">
        <v>2024</v>
      </c>
      <c r="E22" s="11" t="s">
        <v>453</v>
      </c>
      <c r="F22" s="10" t="s">
        <v>26</v>
      </c>
      <c r="G22" s="12" t="s">
        <v>161</v>
      </c>
      <c r="H22" s="11" t="s">
        <v>454</v>
      </c>
      <c r="I22" s="11" t="s">
        <v>455</v>
      </c>
      <c r="J22" s="11" t="s">
        <v>275</v>
      </c>
      <c r="K22" s="11" t="s">
        <v>456</v>
      </c>
      <c r="L22" s="11" t="s">
        <v>457</v>
      </c>
      <c r="M22" s="11" t="s">
        <v>458</v>
      </c>
      <c r="N22" s="11" t="s">
        <v>459</v>
      </c>
      <c r="O22" s="16" t="s">
        <v>293</v>
      </c>
      <c r="P22" s="11" t="s">
        <v>460</v>
      </c>
      <c r="Q22" s="11" t="s">
        <v>461</v>
      </c>
      <c r="R22" s="11" t="s">
        <v>462</v>
      </c>
    </row>
    <row r="23" customFormat="false" ht="64.5" hidden="false" customHeight="true" outlineLevel="0" collapsed="false">
      <c r="A23" s="4" t="n">
        <v>36</v>
      </c>
      <c r="B23" s="6" t="s">
        <v>163</v>
      </c>
      <c r="C23" s="6" t="s">
        <v>463</v>
      </c>
      <c r="D23" s="4" t="n">
        <v>2026</v>
      </c>
      <c r="E23" s="6" t="s">
        <v>464</v>
      </c>
      <c r="F23" s="5" t="s">
        <v>52</v>
      </c>
      <c r="G23" s="7" t="s">
        <v>465</v>
      </c>
      <c r="H23" s="6" t="s">
        <v>466</v>
      </c>
      <c r="I23" s="6" t="s">
        <v>467</v>
      </c>
      <c r="J23" s="6" t="s">
        <v>468</v>
      </c>
      <c r="K23" s="6" t="s">
        <v>469</v>
      </c>
      <c r="L23" s="6" t="s">
        <v>470</v>
      </c>
      <c r="M23" s="6" t="s">
        <v>471</v>
      </c>
      <c r="N23" s="6" t="s">
        <v>472</v>
      </c>
      <c r="O23" s="15" t="s">
        <v>473</v>
      </c>
      <c r="P23" s="6" t="s">
        <v>474</v>
      </c>
      <c r="Q23" s="6" t="s">
        <v>475</v>
      </c>
      <c r="R23" s="6" t="s">
        <v>476</v>
      </c>
    </row>
    <row r="24" customFormat="false" ht="64.5" hidden="false" customHeight="true" outlineLevel="0" collapsed="false">
      <c r="A24" s="9" t="n">
        <v>38</v>
      </c>
      <c r="B24" s="11" t="s">
        <v>169</v>
      </c>
      <c r="C24" s="11" t="s">
        <v>477</v>
      </c>
      <c r="D24" s="9" t="n">
        <v>2026</v>
      </c>
      <c r="E24" s="11" t="s">
        <v>478</v>
      </c>
      <c r="F24" s="10" t="s">
        <v>52</v>
      </c>
      <c r="G24" s="12" t="s">
        <v>479</v>
      </c>
      <c r="H24" s="11" t="s">
        <v>480</v>
      </c>
      <c r="I24" s="11" t="s">
        <v>481</v>
      </c>
      <c r="J24" s="11" t="s">
        <v>482</v>
      </c>
      <c r="K24" s="11" t="s">
        <v>483</v>
      </c>
      <c r="L24" s="11" t="s">
        <v>484</v>
      </c>
      <c r="M24" s="11" t="s">
        <v>485</v>
      </c>
      <c r="N24" s="11" t="s">
        <v>486</v>
      </c>
      <c r="O24" s="16" t="s">
        <v>280</v>
      </c>
      <c r="P24" s="11" t="s">
        <v>487</v>
      </c>
      <c r="Q24" s="11" t="s">
        <v>488</v>
      </c>
      <c r="R24" s="11" t="s">
        <v>489</v>
      </c>
    </row>
    <row r="25" customFormat="false" ht="64.5" hidden="false" customHeight="true" outlineLevel="0" collapsed="false">
      <c r="A25" s="4" t="n">
        <v>39</v>
      </c>
      <c r="B25" s="6" t="s">
        <v>172</v>
      </c>
      <c r="C25" s="6" t="s">
        <v>490</v>
      </c>
      <c r="D25" s="4" t="n">
        <v>2026</v>
      </c>
      <c r="E25" s="6" t="s">
        <v>491</v>
      </c>
      <c r="F25" s="5" t="s">
        <v>52</v>
      </c>
      <c r="G25" s="7" t="s">
        <v>492</v>
      </c>
      <c r="H25" s="6" t="s">
        <v>493</v>
      </c>
      <c r="I25" s="6" t="s">
        <v>494</v>
      </c>
      <c r="J25" s="6" t="s">
        <v>495</v>
      </c>
      <c r="K25" s="6" t="s">
        <v>496</v>
      </c>
      <c r="L25" s="6" t="s">
        <v>497</v>
      </c>
      <c r="M25" s="6" t="s">
        <v>498</v>
      </c>
      <c r="N25" s="6" t="s">
        <v>499</v>
      </c>
      <c r="O25" s="15" t="s">
        <v>500</v>
      </c>
      <c r="P25" s="6" t="s">
        <v>501</v>
      </c>
      <c r="Q25" s="6" t="s">
        <v>502</v>
      </c>
      <c r="R25" s="6" t="s">
        <v>503</v>
      </c>
    </row>
    <row r="26" customFormat="false" ht="64.5" hidden="false" customHeight="true" outlineLevel="0" collapsed="false">
      <c r="A26" s="9" t="n">
        <v>41</v>
      </c>
      <c r="B26" s="11" t="s">
        <v>178</v>
      </c>
      <c r="C26" s="11" t="s">
        <v>321</v>
      </c>
      <c r="D26" s="9" t="n">
        <v>2026</v>
      </c>
      <c r="E26" s="11" t="s">
        <v>504</v>
      </c>
      <c r="F26" s="10" t="s">
        <v>52</v>
      </c>
      <c r="G26" s="12" t="s">
        <v>505</v>
      </c>
      <c r="H26" s="11" t="s">
        <v>506</v>
      </c>
      <c r="I26" s="11" t="s">
        <v>507</v>
      </c>
      <c r="J26" s="11" t="s">
        <v>508</v>
      </c>
      <c r="K26" s="11" t="s">
        <v>509</v>
      </c>
      <c r="L26" s="11" t="s">
        <v>510</v>
      </c>
      <c r="M26" s="11" t="s">
        <v>511</v>
      </c>
      <c r="N26" s="11" t="s">
        <v>512</v>
      </c>
      <c r="O26" s="16" t="s">
        <v>280</v>
      </c>
      <c r="P26" s="11" t="s">
        <v>513</v>
      </c>
      <c r="Q26" s="11" t="s">
        <v>514</v>
      </c>
      <c r="R26" s="11" t="s">
        <v>515</v>
      </c>
    </row>
    <row r="27" customFormat="false" ht="64.5" hidden="false" customHeight="true" outlineLevel="0" collapsed="false">
      <c r="A27" s="4" t="n">
        <v>43</v>
      </c>
      <c r="B27" s="6" t="s">
        <v>184</v>
      </c>
      <c r="C27" s="6" t="s">
        <v>333</v>
      </c>
      <c r="D27" s="4" t="n">
        <v>2026</v>
      </c>
      <c r="E27" s="6" t="s">
        <v>334</v>
      </c>
      <c r="F27" s="5" t="s">
        <v>52</v>
      </c>
      <c r="G27" s="7" t="s">
        <v>516</v>
      </c>
      <c r="H27" s="6" t="s">
        <v>517</v>
      </c>
      <c r="I27" s="6" t="s">
        <v>518</v>
      </c>
      <c r="J27" s="6" t="s">
        <v>519</v>
      </c>
      <c r="K27" s="6" t="s">
        <v>520</v>
      </c>
      <c r="L27" s="6" t="s">
        <v>521</v>
      </c>
      <c r="M27" s="6" t="s">
        <v>522</v>
      </c>
      <c r="N27" s="6" t="s">
        <v>523</v>
      </c>
      <c r="O27" s="15" t="s">
        <v>280</v>
      </c>
      <c r="P27" s="6" t="s">
        <v>524</v>
      </c>
      <c r="Q27" s="6" t="s">
        <v>525</v>
      </c>
      <c r="R27" s="6" t="s">
        <v>526</v>
      </c>
    </row>
    <row r="28" customFormat="false" ht="64.5" hidden="false" customHeight="true" outlineLevel="0" collapsed="false">
      <c r="A28" s="9" t="n">
        <v>47</v>
      </c>
      <c r="B28" s="11" t="s">
        <v>196</v>
      </c>
      <c r="C28" s="11" t="s">
        <v>527</v>
      </c>
      <c r="D28" s="9" t="n">
        <v>2026</v>
      </c>
      <c r="E28" s="11" t="s">
        <v>528</v>
      </c>
      <c r="F28" s="10" t="s">
        <v>52</v>
      </c>
      <c r="G28" s="12" t="s">
        <v>529</v>
      </c>
      <c r="H28" s="11" t="s">
        <v>530</v>
      </c>
      <c r="I28" s="11" t="s">
        <v>531</v>
      </c>
      <c r="J28" s="11" t="s">
        <v>532</v>
      </c>
      <c r="K28" s="11" t="s">
        <v>533</v>
      </c>
      <c r="L28" s="11" t="s">
        <v>534</v>
      </c>
      <c r="M28" s="11" t="s">
        <v>535</v>
      </c>
      <c r="N28" s="11" t="s">
        <v>536</v>
      </c>
      <c r="O28" s="16" t="s">
        <v>280</v>
      </c>
      <c r="P28" s="11" t="s">
        <v>537</v>
      </c>
      <c r="Q28" s="11" t="s">
        <v>538</v>
      </c>
      <c r="R28" s="11" t="s">
        <v>539</v>
      </c>
    </row>
    <row r="29" customFormat="false" ht="64.5" hidden="false" customHeight="true" outlineLevel="0" collapsed="false">
      <c r="A29" s="4" t="n">
        <v>55</v>
      </c>
      <c r="B29" s="6" t="s">
        <v>208</v>
      </c>
      <c r="C29" s="6" t="s">
        <v>540</v>
      </c>
      <c r="D29" s="4" t="n">
        <v>2023</v>
      </c>
      <c r="E29" s="6" t="s">
        <v>541</v>
      </c>
      <c r="F29" s="5" t="s">
        <v>91</v>
      </c>
      <c r="G29" s="7" t="s">
        <v>542</v>
      </c>
      <c r="H29" s="6" t="s">
        <v>543</v>
      </c>
      <c r="I29" s="6" t="s">
        <v>544</v>
      </c>
      <c r="J29" s="6" t="s">
        <v>545</v>
      </c>
      <c r="K29" s="6" t="s">
        <v>546</v>
      </c>
      <c r="L29" s="6" t="s">
        <v>547</v>
      </c>
      <c r="M29" s="6" t="s">
        <v>548</v>
      </c>
      <c r="N29" s="6" t="s">
        <v>549</v>
      </c>
      <c r="O29" s="15" t="s">
        <v>550</v>
      </c>
      <c r="P29" s="6" t="s">
        <v>551</v>
      </c>
      <c r="Q29" s="6" t="s">
        <v>552</v>
      </c>
      <c r="R29" s="6" t="s">
        <v>553</v>
      </c>
    </row>
    <row r="30" customFormat="false" ht="64.5" hidden="false" customHeight="true" outlineLevel="0" collapsed="false">
      <c r="A30" s="9" t="n">
        <v>56</v>
      </c>
      <c r="B30" s="11" t="s">
        <v>212</v>
      </c>
      <c r="C30" s="11" t="s">
        <v>554</v>
      </c>
      <c r="D30" s="9" t="n">
        <v>2024</v>
      </c>
      <c r="E30" s="11" t="s">
        <v>555</v>
      </c>
      <c r="F30" s="10" t="s">
        <v>52</v>
      </c>
      <c r="G30" s="12" t="s">
        <v>556</v>
      </c>
      <c r="H30" s="11" t="s">
        <v>557</v>
      </c>
      <c r="I30" s="11" t="s">
        <v>558</v>
      </c>
      <c r="J30" s="11" t="s">
        <v>559</v>
      </c>
      <c r="K30" s="11" t="s">
        <v>560</v>
      </c>
      <c r="L30" s="11" t="s">
        <v>561</v>
      </c>
      <c r="M30" s="11" t="s">
        <v>562</v>
      </c>
      <c r="N30" s="11" t="s">
        <v>563</v>
      </c>
      <c r="O30" s="16" t="s">
        <v>280</v>
      </c>
      <c r="P30" s="11" t="s">
        <v>564</v>
      </c>
      <c r="Q30" s="11" t="s">
        <v>565</v>
      </c>
      <c r="R30" s="11" t="s">
        <v>566</v>
      </c>
    </row>
  </sheetData>
  <autoFilter ref="A4:R30"/>
  <hyperlinks>
    <hyperlink ref="G5" r:id="rId1" display="https://doi.org/10.1109/ICTAI66417.2025.00189"/>
    <hyperlink ref="G6" r:id="rId2" display="https://doi.org/10.1016/j.jss.2026.112900"/>
    <hyperlink ref="G7" r:id="rId3" display="https://doi.org/10.1145/3639478.3639797"/>
    <hyperlink ref="G8" r:id="rId4" display="https://doi.org/10.1145/3731443.3771362"/>
    <hyperlink ref="G9" r:id="rId5" display="https://doi.org/10.1109/MODELS58315.2023.00037"/>
    <hyperlink ref="G10" r:id="rId6" display="https://doi.org/10.1145/3744920"/>
    <hyperlink ref="G11" r:id="rId7" display="https://doi.org/10.1145/3643795.3648391"/>
    <hyperlink ref="G12" r:id="rId8" display="https://doi.org/10.1109/ICoSSE65712.2025.00020"/>
    <hyperlink ref="G13" r:id="rId9" display="https://doi.org/10.1109/ACCESS.2026.3686308"/>
    <hyperlink ref="G14" r:id="rId10" display="https://doi.org/10.3390/info16100870"/>
    <hyperlink ref="G15" r:id="rId11" display="https://doi.org/10.1049/sfw2/6696040"/>
    <hyperlink ref="G16" r:id="rId12" display="https://doi.org/10.1016/j.mlwa.2026.100940"/>
    <hyperlink ref="G17" r:id="rId13" display="https://doi.org/10.1016/j.jss.2026.112709"/>
    <hyperlink ref="G18" r:id="rId14" display="https://doi.org/10.1016/j.jss.2020.110804"/>
    <hyperlink ref="G19" r:id="rId15" display="https://doi.org/10.1007/s10270-024-01235-4"/>
    <hyperlink ref="G20" r:id="rId16" display="https://doi.org/10.1007/s10270-025-01273-6"/>
    <hyperlink ref="G21" r:id="rId17" display="https://doi.org/10.1007/978-3-032-07132-3_8"/>
    <hyperlink ref="G22" r:id="rId18" display="https://doi.org/10.1145/3674805.3690741"/>
    <hyperlink ref="G23" r:id="rId19" display="https://doi.org/10.21123/2411-7986.5338"/>
    <hyperlink ref="G24" r:id="rId20" display="https://doi.org/10.1109/TSE.2026.3703553"/>
    <hyperlink ref="G25" r:id="rId21" display="https://doi.org/10.3390/electronics15061239"/>
    <hyperlink ref="G26" r:id="rId22" display="https://doi.org/10.1016/j.jss.2026.112874"/>
    <hyperlink ref="G27" r:id="rId23" display="https://doi.org/10.1109/ACCESS.2026.3699382"/>
    <hyperlink ref="G28" r:id="rId24" display="https://doi.org/10.1016/j.infsof.2025.107954"/>
    <hyperlink ref="G29" r:id="rId25" display="https://doi.org/10.1007/s10270-022-00994-2"/>
    <hyperlink ref="G30" r:id="rId26" display="https://doi.org/10.1145/3605098.36361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19" min="3" style="0" width="12"/>
    <col collapsed="false" customWidth="true" hidden="false" outlineLevel="0" max="20" min="20" style="0" width="18"/>
    <col collapsed="false" customWidth="true" hidden="false" outlineLevel="0" max="21" min="21" style="0" width="20"/>
    <col collapsed="false" customWidth="true" hidden="false" outlineLevel="0" max="22" min="22" style="0" width="18"/>
  </cols>
  <sheetData>
    <row r="1" customFormat="false" ht="21" hidden="false" customHeight="true" outlineLevel="0" collapsed="false">
      <c r="A1" s="1" t="s">
        <v>567</v>
      </c>
    </row>
    <row r="2" customFormat="false" ht="15" hidden="false" customHeight="false" outlineLevel="0" collapsed="false">
      <c r="A2" s="2" t="s">
        <v>568</v>
      </c>
    </row>
    <row r="4" customFormat="false" ht="31.5" hidden="false" customHeight="true" outlineLevel="0" collapsed="false">
      <c r="A4" s="3" t="s">
        <v>220</v>
      </c>
      <c r="B4" s="3" t="s">
        <v>4</v>
      </c>
      <c r="C4" s="3" t="s">
        <v>569</v>
      </c>
      <c r="D4" s="3" t="s">
        <v>570</v>
      </c>
      <c r="E4" s="3" t="s">
        <v>571</v>
      </c>
      <c r="F4" s="3" t="s">
        <v>572</v>
      </c>
      <c r="G4" s="3" t="s">
        <v>573</v>
      </c>
      <c r="H4" s="3" t="s">
        <v>574</v>
      </c>
      <c r="I4" s="3" t="s">
        <v>575</v>
      </c>
      <c r="J4" s="3" t="s">
        <v>576</v>
      </c>
      <c r="K4" s="3" t="s">
        <v>577</v>
      </c>
      <c r="L4" s="3" t="s">
        <v>578</v>
      </c>
      <c r="M4" s="3" t="s">
        <v>579</v>
      </c>
      <c r="N4" s="3" t="s">
        <v>580</v>
      </c>
      <c r="O4" s="3" t="s">
        <v>581</v>
      </c>
      <c r="P4" s="3" t="s">
        <v>582</v>
      </c>
      <c r="Q4" s="3" t="s">
        <v>583</v>
      </c>
      <c r="R4" s="3" t="s">
        <v>584</v>
      </c>
      <c r="S4" s="3" t="s">
        <v>585</v>
      </c>
      <c r="T4" s="3" t="s">
        <v>586</v>
      </c>
      <c r="U4" s="3" t="s">
        <v>587</v>
      </c>
      <c r="V4" s="3" t="s">
        <v>588</v>
      </c>
    </row>
    <row r="5" customFormat="false" ht="27.75" hidden="false" customHeight="true" outlineLevel="0" collapsed="false">
      <c r="A5" s="17" t="n">
        <v>1</v>
      </c>
      <c r="B5" s="18" t="s">
        <v>232</v>
      </c>
      <c r="C5" s="19" t="n">
        <v>1</v>
      </c>
      <c r="D5" s="19" t="n">
        <v>1</v>
      </c>
      <c r="E5" s="19" t="n">
        <v>0.5</v>
      </c>
      <c r="F5" s="19" t="n">
        <v>1</v>
      </c>
      <c r="G5" s="19" t="n">
        <v>0.5</v>
      </c>
      <c r="H5" s="19" t="n">
        <v>0.5</v>
      </c>
      <c r="I5" s="19" t="n">
        <v>1</v>
      </c>
      <c r="J5" s="19" t="n">
        <v>0.5</v>
      </c>
      <c r="K5" s="19" t="n">
        <v>1</v>
      </c>
      <c r="L5" s="19" t="n">
        <v>0.5</v>
      </c>
      <c r="M5" s="19" t="n">
        <v>1</v>
      </c>
      <c r="N5" s="19" t="n">
        <v>0.5</v>
      </c>
      <c r="O5" s="19" t="n">
        <v>1</v>
      </c>
      <c r="P5" s="19" t="n">
        <v>0.5</v>
      </c>
      <c r="Q5" s="19" t="n">
        <v>1</v>
      </c>
      <c r="R5" s="19" t="n">
        <v>1</v>
      </c>
      <c r="S5" s="19" t="n">
        <v>0.5</v>
      </c>
      <c r="T5" s="20" t="n">
        <f aca="false">SUM(C5:S5)</f>
        <v>13</v>
      </c>
      <c r="U5" s="21" t="n">
        <f aca="false">(T5/17)*100</f>
        <v>76.4705882352941</v>
      </c>
      <c r="V5" s="22" t="str">
        <f aca="false">IF(U5&gt;=85, "High Quality", IF(U5&gt;=70, "Medium Quality", "Low Quality"))</f>
        <v>Medium Quality</v>
      </c>
    </row>
    <row r="6" customFormat="false" ht="27.75" hidden="false" customHeight="true" outlineLevel="0" collapsed="false">
      <c r="A6" s="23" t="n">
        <v>2</v>
      </c>
      <c r="B6" s="24" t="s">
        <v>24</v>
      </c>
      <c r="C6" s="25" t="n">
        <v>1</v>
      </c>
      <c r="D6" s="25" t="n">
        <v>1</v>
      </c>
      <c r="E6" s="25" t="n">
        <v>1</v>
      </c>
      <c r="F6" s="25" t="n">
        <v>1</v>
      </c>
      <c r="G6" s="25" t="n">
        <v>1</v>
      </c>
      <c r="H6" s="25" t="n">
        <v>1</v>
      </c>
      <c r="I6" s="25" t="n">
        <v>1</v>
      </c>
      <c r="J6" s="25" t="n">
        <v>1</v>
      </c>
      <c r="K6" s="25" t="n">
        <v>0.5</v>
      </c>
      <c r="L6" s="25" t="n">
        <v>0.5</v>
      </c>
      <c r="M6" s="25" t="n">
        <v>1</v>
      </c>
      <c r="N6" s="25" t="n">
        <v>1</v>
      </c>
      <c r="O6" s="25" t="n">
        <v>1</v>
      </c>
      <c r="P6" s="25" t="n">
        <v>0.5</v>
      </c>
      <c r="Q6" s="25" t="n">
        <v>1</v>
      </c>
      <c r="R6" s="25" t="n">
        <v>1</v>
      </c>
      <c r="S6" s="25" t="n">
        <v>0.5</v>
      </c>
      <c r="T6" s="26" t="n">
        <f aca="false">SUM(C6:S6)</f>
        <v>15</v>
      </c>
      <c r="U6" s="27" t="n">
        <f aca="false">(T6/17)*100</f>
        <v>88.2352941176471</v>
      </c>
      <c r="V6" s="28" t="str">
        <f aca="false">IF(U6&gt;=85, "High Quality", IF(U6&gt;=70, "Medium Quality", "Low Quality"))</f>
        <v>High Quality</v>
      </c>
    </row>
    <row r="7" customFormat="false" ht="27.75" hidden="false" customHeight="true" outlineLevel="0" collapsed="false">
      <c r="A7" s="17" t="n">
        <v>3</v>
      </c>
      <c r="B7" s="18" t="s">
        <v>27</v>
      </c>
      <c r="C7" s="19" t="n">
        <v>1</v>
      </c>
      <c r="D7" s="19" t="n">
        <v>1</v>
      </c>
      <c r="E7" s="19" t="n">
        <v>0.5</v>
      </c>
      <c r="F7" s="19" t="n">
        <v>1</v>
      </c>
      <c r="G7" s="19" t="n">
        <v>0.5</v>
      </c>
      <c r="H7" s="19" t="n">
        <v>0.5</v>
      </c>
      <c r="I7" s="19" t="n">
        <v>1</v>
      </c>
      <c r="J7" s="19" t="n">
        <v>0.5</v>
      </c>
      <c r="K7" s="19" t="n">
        <v>1</v>
      </c>
      <c r="L7" s="19" t="n">
        <v>0.5</v>
      </c>
      <c r="M7" s="19" t="n">
        <v>1</v>
      </c>
      <c r="N7" s="19" t="n">
        <v>0.5</v>
      </c>
      <c r="O7" s="19" t="n">
        <v>1</v>
      </c>
      <c r="P7" s="19" t="n">
        <v>0</v>
      </c>
      <c r="Q7" s="19" t="n">
        <v>0.5</v>
      </c>
      <c r="R7" s="19" t="n">
        <v>1</v>
      </c>
      <c r="S7" s="19" t="n">
        <v>0.5</v>
      </c>
      <c r="T7" s="20" t="n">
        <f aca="false">SUM(C7:S7)</f>
        <v>12</v>
      </c>
      <c r="U7" s="21" t="n">
        <f aca="false">(T7/17)*100</f>
        <v>70.5882352941177</v>
      </c>
      <c r="V7" s="22" t="str">
        <f aca="false">IF(U7&gt;=85, "High Quality", IF(U7&gt;=70, "Medium Quality", "Low Quality"))</f>
        <v>Medium Quality</v>
      </c>
    </row>
    <row r="8" customFormat="false" ht="27.75" hidden="false" customHeight="true" outlineLevel="0" collapsed="false">
      <c r="A8" s="23" t="n">
        <v>4</v>
      </c>
      <c r="B8" s="24" t="s">
        <v>32</v>
      </c>
      <c r="C8" s="25" t="n">
        <v>1</v>
      </c>
      <c r="D8" s="25" t="n">
        <v>1</v>
      </c>
      <c r="E8" s="25" t="n">
        <v>1</v>
      </c>
      <c r="F8" s="25" t="n">
        <v>1</v>
      </c>
      <c r="G8" s="25" t="n">
        <v>0.5</v>
      </c>
      <c r="H8" s="25" t="n">
        <v>0.5</v>
      </c>
      <c r="I8" s="25" t="n">
        <v>1</v>
      </c>
      <c r="J8" s="25" t="n">
        <v>1</v>
      </c>
      <c r="K8" s="25" t="n">
        <v>1</v>
      </c>
      <c r="L8" s="25" t="n">
        <v>0.5</v>
      </c>
      <c r="M8" s="25" t="n">
        <v>1</v>
      </c>
      <c r="N8" s="25" t="n">
        <v>0.5</v>
      </c>
      <c r="O8" s="25" t="n">
        <v>1</v>
      </c>
      <c r="P8" s="25" t="n">
        <v>0.5</v>
      </c>
      <c r="Q8" s="25" t="n">
        <v>0.5</v>
      </c>
      <c r="R8" s="25" t="n">
        <v>1</v>
      </c>
      <c r="S8" s="25" t="n">
        <v>0.5</v>
      </c>
      <c r="T8" s="26" t="n">
        <f aca="false">SUM(C8:S8)</f>
        <v>13.5</v>
      </c>
      <c r="U8" s="27" t="n">
        <f aca="false">(T8/17)*100</f>
        <v>79.4117647058824</v>
      </c>
      <c r="V8" s="28" t="str">
        <f aca="false">IF(U8&gt;=85, "High Quality", IF(U8&gt;=70, "Medium Quality", "Low Quality"))</f>
        <v>Medium Quality</v>
      </c>
    </row>
    <row r="9" customFormat="false" ht="27.75" hidden="false" customHeight="true" outlineLevel="0" collapsed="false">
      <c r="A9" s="17" t="n">
        <v>5</v>
      </c>
      <c r="B9" s="18" t="s">
        <v>37</v>
      </c>
      <c r="C9" s="19" t="n">
        <v>1</v>
      </c>
      <c r="D9" s="19" t="n">
        <v>1</v>
      </c>
      <c r="E9" s="19" t="n">
        <v>1</v>
      </c>
      <c r="F9" s="19" t="n">
        <v>1</v>
      </c>
      <c r="G9" s="19" t="n">
        <v>1</v>
      </c>
      <c r="H9" s="19" t="n">
        <v>1</v>
      </c>
      <c r="I9" s="19" t="n">
        <v>1</v>
      </c>
      <c r="J9" s="19" t="n">
        <v>1</v>
      </c>
      <c r="K9" s="19" t="n">
        <v>1</v>
      </c>
      <c r="L9" s="19" t="n">
        <v>0.5</v>
      </c>
      <c r="M9" s="19" t="n">
        <v>1</v>
      </c>
      <c r="N9" s="19" t="n">
        <v>1</v>
      </c>
      <c r="O9" s="19" t="n">
        <v>1</v>
      </c>
      <c r="P9" s="19" t="n">
        <v>0.5</v>
      </c>
      <c r="Q9" s="19" t="n">
        <v>1</v>
      </c>
      <c r="R9" s="19" t="n">
        <v>1</v>
      </c>
      <c r="S9" s="19" t="n">
        <v>0.5</v>
      </c>
      <c r="T9" s="20" t="n">
        <f aca="false">SUM(C9:S9)</f>
        <v>15.5</v>
      </c>
      <c r="U9" s="21" t="n">
        <f aca="false">(T9/17)*100</f>
        <v>91.1764705882353</v>
      </c>
      <c r="V9" s="22" t="str">
        <f aca="false">IF(U9&gt;=85, "High Quality", IF(U9&gt;=70, "Medium Quality", "Low Quality"))</f>
        <v>High Quality</v>
      </c>
    </row>
    <row r="10" customFormat="false" ht="27.75" hidden="false" customHeight="true" outlineLevel="0" collapsed="false">
      <c r="A10" s="23" t="n">
        <v>6</v>
      </c>
      <c r="B10" s="24" t="s">
        <v>42</v>
      </c>
      <c r="C10" s="25" t="n">
        <v>1</v>
      </c>
      <c r="D10" s="25" t="n">
        <v>1</v>
      </c>
      <c r="E10" s="25" t="n">
        <v>1</v>
      </c>
      <c r="F10" s="25" t="n">
        <v>1</v>
      </c>
      <c r="G10" s="25" t="n">
        <v>1</v>
      </c>
      <c r="H10" s="25" t="n">
        <v>1</v>
      </c>
      <c r="I10" s="25" t="n">
        <v>1</v>
      </c>
      <c r="J10" s="25" t="n">
        <v>1</v>
      </c>
      <c r="K10" s="25" t="n">
        <v>1</v>
      </c>
      <c r="L10" s="25" t="n">
        <v>0.5</v>
      </c>
      <c r="M10" s="25" t="n">
        <v>1</v>
      </c>
      <c r="N10" s="25" t="n">
        <v>1</v>
      </c>
      <c r="O10" s="25" t="n">
        <v>1</v>
      </c>
      <c r="P10" s="25" t="n">
        <v>1</v>
      </c>
      <c r="Q10" s="25" t="n">
        <v>1</v>
      </c>
      <c r="R10" s="25" t="n">
        <v>1</v>
      </c>
      <c r="S10" s="25" t="n">
        <v>0.5</v>
      </c>
      <c r="T10" s="26" t="n">
        <f aca="false">SUM(C10:S10)</f>
        <v>16</v>
      </c>
      <c r="U10" s="27" t="n">
        <f aca="false">(T10/17)*100</f>
        <v>94.1176470588235</v>
      </c>
      <c r="V10" s="28" t="str">
        <f aca="false">IF(U10&gt;=85, "High Quality", IF(U10&gt;=70, "Medium Quality", "Low Quality"))</f>
        <v>High Quality</v>
      </c>
    </row>
    <row r="11" customFormat="false" ht="27.75" hidden="false" customHeight="true" outlineLevel="0" collapsed="false">
      <c r="A11" s="17" t="n">
        <v>7</v>
      </c>
      <c r="B11" s="18" t="s">
        <v>47</v>
      </c>
      <c r="C11" s="19" t="n">
        <v>1</v>
      </c>
      <c r="D11" s="19" t="n">
        <v>1</v>
      </c>
      <c r="E11" s="19" t="n">
        <v>0.5</v>
      </c>
      <c r="F11" s="19" t="n">
        <v>1</v>
      </c>
      <c r="G11" s="19" t="n">
        <v>0.5</v>
      </c>
      <c r="H11" s="19" t="n">
        <v>0.5</v>
      </c>
      <c r="I11" s="19" t="n">
        <v>1</v>
      </c>
      <c r="J11" s="19" t="n">
        <v>0.5</v>
      </c>
      <c r="K11" s="19" t="n">
        <v>1</v>
      </c>
      <c r="L11" s="19" t="n">
        <v>0</v>
      </c>
      <c r="M11" s="19" t="n">
        <v>0.5</v>
      </c>
      <c r="N11" s="19" t="n">
        <v>0.5</v>
      </c>
      <c r="O11" s="19" t="n">
        <v>1</v>
      </c>
      <c r="P11" s="19" t="n">
        <v>0</v>
      </c>
      <c r="Q11" s="19" t="n">
        <v>1</v>
      </c>
      <c r="R11" s="19" t="n">
        <v>1</v>
      </c>
      <c r="S11" s="19" t="n">
        <v>0.5</v>
      </c>
      <c r="T11" s="20" t="n">
        <f aca="false">SUM(C11:S11)</f>
        <v>11.5</v>
      </c>
      <c r="U11" s="21" t="n">
        <f aca="false">(T11/17)*100</f>
        <v>67.6470588235294</v>
      </c>
      <c r="V11" s="22" t="str">
        <f aca="false">IF(U11&gt;=85, "High Quality", IF(U11&gt;=70, "Medium Quality", "Low Quality"))</f>
        <v>Low Quality</v>
      </c>
    </row>
    <row r="12" customFormat="false" ht="27.75" hidden="false" customHeight="true" outlineLevel="0" collapsed="false">
      <c r="A12" s="23" t="n">
        <v>11</v>
      </c>
      <c r="B12" s="24" t="s">
        <v>67</v>
      </c>
      <c r="C12" s="25" t="n">
        <v>1</v>
      </c>
      <c r="D12" s="25" t="n">
        <v>1</v>
      </c>
      <c r="E12" s="25" t="n">
        <v>0.5</v>
      </c>
      <c r="F12" s="25" t="n">
        <v>1</v>
      </c>
      <c r="G12" s="25" t="n">
        <v>1</v>
      </c>
      <c r="H12" s="25" t="n">
        <v>0.5</v>
      </c>
      <c r="I12" s="25" t="n">
        <v>1</v>
      </c>
      <c r="J12" s="25" t="n">
        <v>1</v>
      </c>
      <c r="K12" s="25" t="n">
        <v>1</v>
      </c>
      <c r="L12" s="25" t="n">
        <v>0.5</v>
      </c>
      <c r="M12" s="25" t="n">
        <v>1</v>
      </c>
      <c r="N12" s="25" t="n">
        <v>0.5</v>
      </c>
      <c r="O12" s="25" t="n">
        <v>1</v>
      </c>
      <c r="P12" s="25" t="n">
        <v>0.5</v>
      </c>
      <c r="Q12" s="25" t="n">
        <v>0.5</v>
      </c>
      <c r="R12" s="25" t="n">
        <v>1</v>
      </c>
      <c r="S12" s="25" t="n">
        <v>0.5</v>
      </c>
      <c r="T12" s="26" t="n">
        <f aca="false">SUM(C12:S12)</f>
        <v>13.5</v>
      </c>
      <c r="U12" s="27" t="n">
        <f aca="false">(T12/17)*100</f>
        <v>79.4117647058824</v>
      </c>
      <c r="V12" s="28" t="str">
        <f aca="false">IF(U12&gt;=85, "High Quality", IF(U12&gt;=70, "Medium Quality", "Low Quality"))</f>
        <v>Medium Quality</v>
      </c>
    </row>
    <row r="13" customFormat="false" ht="27.75" hidden="false" customHeight="true" outlineLevel="0" collapsed="false">
      <c r="A13" s="17" t="n">
        <v>12</v>
      </c>
      <c r="B13" s="18" t="s">
        <v>332</v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</v>
      </c>
      <c r="H13" s="19" t="n">
        <v>1</v>
      </c>
      <c r="I13" s="19" t="n">
        <v>1</v>
      </c>
      <c r="J13" s="19" t="n">
        <v>1</v>
      </c>
      <c r="K13" s="19" t="n">
        <v>1</v>
      </c>
      <c r="L13" s="19" t="n">
        <v>1</v>
      </c>
      <c r="M13" s="19" t="n">
        <v>1</v>
      </c>
      <c r="N13" s="19" t="n">
        <v>1</v>
      </c>
      <c r="O13" s="19" t="n">
        <v>1</v>
      </c>
      <c r="P13" s="19" t="n">
        <v>0.5</v>
      </c>
      <c r="Q13" s="19" t="n">
        <v>1</v>
      </c>
      <c r="R13" s="19" t="n">
        <v>1</v>
      </c>
      <c r="S13" s="19" t="n">
        <v>0.5</v>
      </c>
      <c r="T13" s="20" t="n">
        <f aca="false">SUM(C13:S13)</f>
        <v>16</v>
      </c>
      <c r="U13" s="21" t="n">
        <f aca="false">(T13/17)*100</f>
        <v>94.1176470588235</v>
      </c>
      <c r="V13" s="22" t="str">
        <f aca="false">IF(U13&gt;=85, "High Quality", IF(U13&gt;=70, "Medium Quality", "Low Quality"))</f>
        <v>High Quality</v>
      </c>
    </row>
    <row r="14" customFormat="false" ht="27.75" hidden="false" customHeight="true" outlineLevel="0" collapsed="false">
      <c r="A14" s="23" t="n">
        <v>13</v>
      </c>
      <c r="B14" s="24" t="s">
        <v>75</v>
      </c>
      <c r="C14" s="25" t="n">
        <v>1</v>
      </c>
      <c r="D14" s="25" t="n">
        <v>1</v>
      </c>
      <c r="E14" s="25" t="n">
        <v>1</v>
      </c>
      <c r="F14" s="25" t="n">
        <v>1</v>
      </c>
      <c r="G14" s="25" t="n">
        <v>1</v>
      </c>
      <c r="H14" s="25" t="n">
        <v>1</v>
      </c>
      <c r="I14" s="25" t="n">
        <v>1</v>
      </c>
      <c r="J14" s="25" t="n">
        <v>1</v>
      </c>
      <c r="K14" s="25" t="n">
        <v>1</v>
      </c>
      <c r="L14" s="25" t="n">
        <v>0.5</v>
      </c>
      <c r="M14" s="25" t="n">
        <v>1</v>
      </c>
      <c r="N14" s="25" t="n">
        <v>0.5</v>
      </c>
      <c r="O14" s="25" t="n">
        <v>1</v>
      </c>
      <c r="P14" s="25" t="n">
        <v>0.5</v>
      </c>
      <c r="Q14" s="25" t="n">
        <v>1</v>
      </c>
      <c r="R14" s="25" t="n">
        <v>1</v>
      </c>
      <c r="S14" s="25" t="n">
        <v>0.5</v>
      </c>
      <c r="T14" s="26" t="n">
        <f aca="false">SUM(C14:S14)</f>
        <v>15</v>
      </c>
      <c r="U14" s="27" t="n">
        <f aca="false">(T14/17)*100</f>
        <v>88.2352941176471</v>
      </c>
      <c r="V14" s="28" t="str">
        <f aca="false">IF(U14&gt;=85, "High Quality", IF(U14&gt;=70, "Medium Quality", "Low Quality"))</f>
        <v>High Quality</v>
      </c>
    </row>
    <row r="15" customFormat="false" ht="27.75" hidden="false" customHeight="true" outlineLevel="0" collapsed="false">
      <c r="A15" s="17" t="n">
        <v>14</v>
      </c>
      <c r="B15" s="18" t="s">
        <v>79</v>
      </c>
      <c r="C15" s="19" t="n">
        <v>1</v>
      </c>
      <c r="D15" s="19" t="n">
        <v>1</v>
      </c>
      <c r="E15" s="19" t="n">
        <v>1</v>
      </c>
      <c r="F15" s="19" t="n">
        <v>1</v>
      </c>
      <c r="G15" s="19" t="n">
        <v>1</v>
      </c>
      <c r="H15" s="19" t="n">
        <v>1</v>
      </c>
      <c r="I15" s="19" t="n">
        <v>1</v>
      </c>
      <c r="J15" s="19" t="n">
        <v>1</v>
      </c>
      <c r="K15" s="19" t="n">
        <v>1</v>
      </c>
      <c r="L15" s="19" t="n">
        <v>1</v>
      </c>
      <c r="M15" s="19" t="n">
        <v>1</v>
      </c>
      <c r="N15" s="19" t="n">
        <v>1</v>
      </c>
      <c r="O15" s="19" t="n">
        <v>1</v>
      </c>
      <c r="P15" s="19" t="n">
        <v>1</v>
      </c>
      <c r="Q15" s="19" t="n">
        <v>1</v>
      </c>
      <c r="R15" s="19" t="n">
        <v>1</v>
      </c>
      <c r="S15" s="19" t="n">
        <v>1</v>
      </c>
      <c r="T15" s="20" t="n">
        <f aca="false">SUM(C15:S15)</f>
        <v>17</v>
      </c>
      <c r="U15" s="21" t="n">
        <f aca="false">(T15/17)*100</f>
        <v>100</v>
      </c>
      <c r="V15" s="22" t="str">
        <f aca="false">IF(U15&gt;=85, "High Quality", IF(U15&gt;=70, "Medium Quality", "Low Quality"))</f>
        <v>High Quality</v>
      </c>
    </row>
    <row r="16" customFormat="false" ht="27.75" hidden="false" customHeight="true" outlineLevel="0" collapsed="false">
      <c r="A16" s="23" t="n">
        <v>15</v>
      </c>
      <c r="B16" s="24" t="s">
        <v>83</v>
      </c>
      <c r="C16" s="25" t="n">
        <v>1</v>
      </c>
      <c r="D16" s="25" t="n">
        <v>1</v>
      </c>
      <c r="E16" s="25" t="n">
        <v>1</v>
      </c>
      <c r="F16" s="25" t="n">
        <v>1</v>
      </c>
      <c r="G16" s="25" t="n">
        <v>1</v>
      </c>
      <c r="H16" s="25" t="n">
        <v>1</v>
      </c>
      <c r="I16" s="25" t="n">
        <v>1</v>
      </c>
      <c r="J16" s="25" t="n">
        <v>1</v>
      </c>
      <c r="K16" s="25" t="n">
        <v>1</v>
      </c>
      <c r="L16" s="25" t="n">
        <v>0.5</v>
      </c>
      <c r="M16" s="25" t="n">
        <v>1</v>
      </c>
      <c r="N16" s="25" t="n">
        <v>1</v>
      </c>
      <c r="O16" s="25" t="n">
        <v>1</v>
      </c>
      <c r="P16" s="25" t="n">
        <v>1</v>
      </c>
      <c r="Q16" s="25" t="n">
        <v>1</v>
      </c>
      <c r="R16" s="25" t="n">
        <v>1</v>
      </c>
      <c r="S16" s="25" t="n">
        <v>0.5</v>
      </c>
      <c r="T16" s="26" t="n">
        <f aca="false">SUM(C16:S16)</f>
        <v>16</v>
      </c>
      <c r="U16" s="27" t="n">
        <f aca="false">(T16/17)*100</f>
        <v>94.1176470588235</v>
      </c>
      <c r="V16" s="28" t="str">
        <f aca="false">IF(U16&gt;=85, "High Quality", IF(U16&gt;=70, "Medium Quality", "Low Quality"))</f>
        <v>High Quality</v>
      </c>
    </row>
    <row r="17" customFormat="false" ht="27.75" hidden="false" customHeight="true" outlineLevel="0" collapsed="false">
      <c r="A17" s="17" t="n">
        <v>16</v>
      </c>
      <c r="B17" s="18" t="s">
        <v>87</v>
      </c>
      <c r="C17" s="19" t="n">
        <v>1</v>
      </c>
      <c r="D17" s="19" t="n">
        <v>1</v>
      </c>
      <c r="E17" s="19" t="n">
        <v>1</v>
      </c>
      <c r="F17" s="19" t="n">
        <v>1</v>
      </c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1</v>
      </c>
      <c r="L17" s="19" t="n">
        <v>0.5</v>
      </c>
      <c r="M17" s="19" t="n">
        <v>1</v>
      </c>
      <c r="N17" s="19" t="n">
        <v>1</v>
      </c>
      <c r="O17" s="19" t="n">
        <v>1</v>
      </c>
      <c r="P17" s="19" t="n">
        <v>0.5</v>
      </c>
      <c r="Q17" s="19" t="n">
        <v>1</v>
      </c>
      <c r="R17" s="19" t="n">
        <v>1</v>
      </c>
      <c r="S17" s="19" t="n">
        <v>0.5</v>
      </c>
      <c r="T17" s="20" t="n">
        <f aca="false">SUM(C17:S17)</f>
        <v>15.5</v>
      </c>
      <c r="U17" s="21" t="n">
        <f aca="false">(T17/17)*100</f>
        <v>91.1764705882353</v>
      </c>
      <c r="V17" s="22" t="str">
        <f aca="false">IF(U17&gt;=85, "High Quality", IF(U17&gt;=70, "Medium Quality", "Low Quality"))</f>
        <v>High Quality</v>
      </c>
    </row>
    <row r="18" customFormat="false" ht="27.75" hidden="false" customHeight="true" outlineLevel="0" collapsed="false">
      <c r="A18" s="23" t="n">
        <v>17</v>
      </c>
      <c r="B18" s="24" t="s">
        <v>89</v>
      </c>
      <c r="C18" s="25" t="n">
        <v>1</v>
      </c>
      <c r="D18" s="25" t="n">
        <v>1</v>
      </c>
      <c r="E18" s="25" t="n">
        <v>1</v>
      </c>
      <c r="F18" s="25" t="n">
        <v>1</v>
      </c>
      <c r="G18" s="25" t="n">
        <v>1</v>
      </c>
      <c r="H18" s="25" t="n">
        <v>1</v>
      </c>
      <c r="I18" s="25" t="n">
        <v>1</v>
      </c>
      <c r="J18" s="25" t="n">
        <v>0.5</v>
      </c>
      <c r="K18" s="25" t="n">
        <v>1</v>
      </c>
      <c r="L18" s="25" t="n">
        <v>0.5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0.5</v>
      </c>
      <c r="R18" s="25" t="n">
        <v>1</v>
      </c>
      <c r="S18" s="25" t="n">
        <v>0.5</v>
      </c>
      <c r="T18" s="26" t="n">
        <f aca="false">SUM(C18:S18)</f>
        <v>15</v>
      </c>
      <c r="U18" s="27" t="n">
        <f aca="false">(T18/17)*100</f>
        <v>88.2352941176471</v>
      </c>
      <c r="V18" s="28" t="str">
        <f aca="false">IF(U18&gt;=85, "High Quality", IF(U18&gt;=70, "Medium Quality", "Low Quality"))</f>
        <v>High Quality</v>
      </c>
    </row>
    <row r="19" customFormat="false" ht="27.75" hidden="false" customHeight="true" outlineLevel="0" collapsed="false">
      <c r="A19" s="17" t="n">
        <v>22</v>
      </c>
      <c r="B19" s="18" t="s">
        <v>109</v>
      </c>
      <c r="C19" s="19" t="n">
        <v>1</v>
      </c>
      <c r="D19" s="19" t="n">
        <v>1</v>
      </c>
      <c r="E19" s="19" t="n">
        <v>1</v>
      </c>
      <c r="F19" s="19" t="n">
        <v>1</v>
      </c>
      <c r="G19" s="19" t="n">
        <v>0.5</v>
      </c>
      <c r="H19" s="19" t="n">
        <v>0.5</v>
      </c>
      <c r="I19" s="19" t="n">
        <v>1</v>
      </c>
      <c r="J19" s="19" t="n">
        <v>0.5</v>
      </c>
      <c r="K19" s="19" t="n">
        <v>1</v>
      </c>
      <c r="L19" s="19" t="n">
        <v>0.5</v>
      </c>
      <c r="M19" s="19" t="n">
        <v>1</v>
      </c>
      <c r="N19" s="19" t="n">
        <v>0.5</v>
      </c>
      <c r="O19" s="19" t="n">
        <v>1</v>
      </c>
      <c r="P19" s="19" t="n">
        <v>0.5</v>
      </c>
      <c r="Q19" s="19" t="n">
        <v>1</v>
      </c>
      <c r="R19" s="19" t="n">
        <v>1</v>
      </c>
      <c r="S19" s="19" t="n">
        <v>0.5</v>
      </c>
      <c r="T19" s="20" t="n">
        <f aca="false">SUM(C19:S19)</f>
        <v>13.5</v>
      </c>
      <c r="U19" s="21" t="n">
        <f aca="false">(T19/17)*100</f>
        <v>79.4117647058824</v>
      </c>
      <c r="V19" s="22" t="str">
        <f aca="false">IF(U19&gt;=85, "High Quality", IF(U19&gt;=70, "Medium Quality", "Low Quality"))</f>
        <v>Medium Quality</v>
      </c>
    </row>
    <row r="20" customFormat="false" ht="27.75" hidden="false" customHeight="true" outlineLevel="0" collapsed="false">
      <c r="A20" s="23" t="n">
        <v>23</v>
      </c>
      <c r="B20" s="24" t="s">
        <v>113</v>
      </c>
      <c r="C20" s="25" t="n">
        <v>1</v>
      </c>
      <c r="D20" s="25" t="n">
        <v>1</v>
      </c>
      <c r="E20" s="25" t="n">
        <v>1</v>
      </c>
      <c r="F20" s="25" t="n">
        <v>1</v>
      </c>
      <c r="G20" s="25" t="n">
        <v>0.5</v>
      </c>
      <c r="H20" s="25" t="n">
        <v>0.5</v>
      </c>
      <c r="I20" s="25" t="n">
        <v>1</v>
      </c>
      <c r="J20" s="25" t="n">
        <v>0.5</v>
      </c>
      <c r="K20" s="25" t="n">
        <v>1</v>
      </c>
      <c r="L20" s="25" t="n">
        <v>0.5</v>
      </c>
      <c r="M20" s="25" t="n">
        <v>1</v>
      </c>
      <c r="N20" s="25" t="n">
        <v>1</v>
      </c>
      <c r="O20" s="25" t="n">
        <v>1</v>
      </c>
      <c r="P20" s="25" t="n">
        <v>0.5</v>
      </c>
      <c r="Q20" s="25" t="n">
        <v>0.5</v>
      </c>
      <c r="R20" s="25" t="n">
        <v>1</v>
      </c>
      <c r="S20" s="25" t="n">
        <v>0.5</v>
      </c>
      <c r="T20" s="26" t="n">
        <f aca="false">SUM(C20:S20)</f>
        <v>13.5</v>
      </c>
      <c r="U20" s="27" t="n">
        <f aca="false">(T20/17)*100</f>
        <v>79.4117647058824</v>
      </c>
      <c r="V20" s="28" t="str">
        <f aca="false">IF(U20&gt;=85, "High Quality", IF(U20&gt;=70, "Medium Quality", "Low Quality"))</f>
        <v>Medium Quality</v>
      </c>
    </row>
    <row r="21" customFormat="false" ht="27.75" hidden="false" customHeight="true" outlineLevel="0" collapsed="false">
      <c r="A21" s="17" t="n">
        <v>31</v>
      </c>
      <c r="B21" s="18" t="s">
        <v>142</v>
      </c>
      <c r="C21" s="19" t="n">
        <v>1</v>
      </c>
      <c r="D21" s="19" t="n">
        <v>1</v>
      </c>
      <c r="E21" s="19" t="n">
        <v>1</v>
      </c>
      <c r="F21" s="19" t="n">
        <v>1</v>
      </c>
      <c r="G21" s="19" t="n">
        <v>1</v>
      </c>
      <c r="H21" s="19" t="n">
        <v>1</v>
      </c>
      <c r="I21" s="19" t="n">
        <v>1</v>
      </c>
      <c r="J21" s="19" t="n">
        <v>1</v>
      </c>
      <c r="K21" s="19" t="n">
        <v>1</v>
      </c>
      <c r="L21" s="19" t="n">
        <v>0.5</v>
      </c>
      <c r="M21" s="19" t="n">
        <v>1</v>
      </c>
      <c r="N21" s="19" t="n">
        <v>1</v>
      </c>
      <c r="O21" s="19" t="n">
        <v>1</v>
      </c>
      <c r="P21" s="19" t="n">
        <v>0.5</v>
      </c>
      <c r="Q21" s="19" t="n">
        <v>1</v>
      </c>
      <c r="R21" s="19" t="n">
        <v>1</v>
      </c>
      <c r="S21" s="19" t="n">
        <v>0.5</v>
      </c>
      <c r="T21" s="20" t="n">
        <f aca="false">SUM(C21:S21)</f>
        <v>15.5</v>
      </c>
      <c r="U21" s="21" t="n">
        <f aca="false">(T21/17)*100</f>
        <v>91.1764705882353</v>
      </c>
      <c r="V21" s="22" t="str">
        <f aca="false">IF(U21&gt;=85, "High Quality", IF(U21&gt;=70, "Medium Quality", "Low Quality"))</f>
        <v>High Quality</v>
      </c>
    </row>
    <row r="22" customFormat="false" ht="27.75" hidden="false" customHeight="true" outlineLevel="0" collapsed="false">
      <c r="A22" s="23" t="n">
        <v>35</v>
      </c>
      <c r="B22" s="24" t="s">
        <v>158</v>
      </c>
      <c r="C22" s="25" t="n">
        <v>1</v>
      </c>
      <c r="D22" s="25" t="n">
        <v>1</v>
      </c>
      <c r="E22" s="25" t="n">
        <v>1</v>
      </c>
      <c r="F22" s="25" t="n">
        <v>1</v>
      </c>
      <c r="G22" s="25" t="n">
        <v>1</v>
      </c>
      <c r="H22" s="25" t="n">
        <v>1</v>
      </c>
      <c r="I22" s="25" t="n">
        <v>1</v>
      </c>
      <c r="J22" s="25" t="n">
        <v>1</v>
      </c>
      <c r="K22" s="25" t="n">
        <v>1</v>
      </c>
      <c r="L22" s="25" t="n">
        <v>0.5</v>
      </c>
      <c r="M22" s="25" t="n">
        <v>1</v>
      </c>
      <c r="N22" s="25" t="n">
        <v>0.5</v>
      </c>
      <c r="O22" s="25" t="n">
        <v>1</v>
      </c>
      <c r="P22" s="25" t="n">
        <v>1</v>
      </c>
      <c r="Q22" s="25" t="n">
        <v>1</v>
      </c>
      <c r="R22" s="25" t="n">
        <v>1</v>
      </c>
      <c r="S22" s="25" t="n">
        <v>0</v>
      </c>
      <c r="T22" s="26" t="n">
        <f aca="false">SUM(C22:S22)</f>
        <v>15</v>
      </c>
      <c r="U22" s="27" t="n">
        <f aca="false">(T22/17)*100</f>
        <v>88.2352941176471</v>
      </c>
      <c r="V22" s="28" t="str">
        <f aca="false">IF(U22&gt;=85, "High Quality", IF(U22&gt;=70, "Medium Quality", "Low Quality"))</f>
        <v>High Quality</v>
      </c>
    </row>
    <row r="23" customFormat="false" ht="27.75" hidden="false" customHeight="true" outlineLevel="0" collapsed="false">
      <c r="A23" s="17" t="n">
        <v>36</v>
      </c>
      <c r="B23" s="18" t="s">
        <v>163</v>
      </c>
      <c r="C23" s="19" t="n">
        <v>1</v>
      </c>
      <c r="D23" s="19" t="n">
        <v>1</v>
      </c>
      <c r="E23" s="19" t="n">
        <v>1</v>
      </c>
      <c r="F23" s="19" t="n">
        <v>1</v>
      </c>
      <c r="G23" s="19" t="n">
        <v>0.5</v>
      </c>
      <c r="H23" s="19" t="n">
        <v>1</v>
      </c>
      <c r="I23" s="19" t="n">
        <v>1</v>
      </c>
      <c r="J23" s="19" t="n">
        <v>1</v>
      </c>
      <c r="K23" s="19" t="n">
        <v>1</v>
      </c>
      <c r="L23" s="19" t="n">
        <v>0.5</v>
      </c>
      <c r="M23" s="19" t="n">
        <v>1</v>
      </c>
      <c r="N23" s="19" t="n">
        <v>0.5</v>
      </c>
      <c r="O23" s="19" t="n">
        <v>1</v>
      </c>
      <c r="P23" s="19" t="n">
        <v>0.5</v>
      </c>
      <c r="Q23" s="19" t="n">
        <v>0.5</v>
      </c>
      <c r="R23" s="19" t="n">
        <v>1</v>
      </c>
      <c r="S23" s="19" t="n">
        <v>0.5</v>
      </c>
      <c r="T23" s="20" t="n">
        <f aca="false">SUM(C23:S23)</f>
        <v>14</v>
      </c>
      <c r="U23" s="21" t="n">
        <f aca="false">(T23/17)*100</f>
        <v>82.3529411764706</v>
      </c>
      <c r="V23" s="22" t="str">
        <f aca="false">IF(U23&gt;=85, "High Quality", IF(U23&gt;=70, "Medium Quality", "Low Quality"))</f>
        <v>Medium Quality</v>
      </c>
    </row>
    <row r="24" customFormat="false" ht="27.75" hidden="false" customHeight="true" outlineLevel="0" collapsed="false">
      <c r="A24" s="23" t="n">
        <v>38</v>
      </c>
      <c r="B24" s="24" t="s">
        <v>169</v>
      </c>
      <c r="C24" s="25" t="n">
        <v>1</v>
      </c>
      <c r="D24" s="25" t="n">
        <v>1</v>
      </c>
      <c r="E24" s="25" t="n">
        <v>1</v>
      </c>
      <c r="F24" s="25" t="n">
        <v>1</v>
      </c>
      <c r="G24" s="25" t="n">
        <v>1</v>
      </c>
      <c r="H24" s="25" t="n">
        <v>1</v>
      </c>
      <c r="I24" s="25" t="n">
        <v>1</v>
      </c>
      <c r="J24" s="25" t="n">
        <v>1</v>
      </c>
      <c r="K24" s="25" t="n">
        <v>1</v>
      </c>
      <c r="L24" s="25" t="n">
        <v>0.5</v>
      </c>
      <c r="M24" s="25" t="n">
        <v>1</v>
      </c>
      <c r="N24" s="25" t="n">
        <v>1</v>
      </c>
      <c r="O24" s="25" t="n">
        <v>1</v>
      </c>
      <c r="P24" s="25" t="n">
        <v>1</v>
      </c>
      <c r="Q24" s="25" t="n">
        <v>1</v>
      </c>
      <c r="R24" s="25" t="n">
        <v>1</v>
      </c>
      <c r="S24" s="25" t="n">
        <v>0.5</v>
      </c>
      <c r="T24" s="26" t="n">
        <f aca="false">SUM(C24:S24)</f>
        <v>16</v>
      </c>
      <c r="U24" s="27" t="n">
        <f aca="false">(T24/17)*100</f>
        <v>94.1176470588235</v>
      </c>
      <c r="V24" s="28" t="str">
        <f aca="false">IF(U24&gt;=85, "High Quality", IF(U24&gt;=70, "Medium Quality", "Low Quality"))</f>
        <v>High Quality</v>
      </c>
    </row>
    <row r="25" customFormat="false" ht="27.75" hidden="false" customHeight="true" outlineLevel="0" collapsed="false">
      <c r="A25" s="17" t="n">
        <v>39</v>
      </c>
      <c r="B25" s="18" t="s">
        <v>172</v>
      </c>
      <c r="C25" s="19" t="n">
        <v>1</v>
      </c>
      <c r="D25" s="19" t="n">
        <v>1</v>
      </c>
      <c r="E25" s="19" t="n">
        <v>1</v>
      </c>
      <c r="F25" s="19" t="n">
        <v>1</v>
      </c>
      <c r="G25" s="19" t="n">
        <v>1</v>
      </c>
      <c r="H25" s="19" t="n">
        <v>1</v>
      </c>
      <c r="I25" s="19" t="n">
        <v>1</v>
      </c>
      <c r="J25" s="19" t="n">
        <v>1</v>
      </c>
      <c r="K25" s="19" t="n">
        <v>1</v>
      </c>
      <c r="L25" s="19" t="n">
        <v>0.5</v>
      </c>
      <c r="M25" s="19" t="n">
        <v>1</v>
      </c>
      <c r="N25" s="19" t="n">
        <v>1</v>
      </c>
      <c r="O25" s="19" t="n">
        <v>1</v>
      </c>
      <c r="P25" s="19" t="n">
        <v>1</v>
      </c>
      <c r="Q25" s="19" t="n">
        <v>1</v>
      </c>
      <c r="R25" s="19" t="n">
        <v>1</v>
      </c>
      <c r="S25" s="19" t="n">
        <v>0.5</v>
      </c>
      <c r="T25" s="20" t="n">
        <f aca="false">SUM(C25:S25)</f>
        <v>16</v>
      </c>
      <c r="U25" s="21" t="n">
        <f aca="false">(T25/17)*100</f>
        <v>94.1176470588235</v>
      </c>
      <c r="V25" s="22" t="str">
        <f aca="false">IF(U25&gt;=85, "High Quality", IF(U25&gt;=70, "Medium Quality", "Low Quality"))</f>
        <v>High Quality</v>
      </c>
    </row>
    <row r="26" customFormat="false" ht="27.75" hidden="false" customHeight="true" outlineLevel="0" collapsed="false">
      <c r="A26" s="23" t="n">
        <v>41</v>
      </c>
      <c r="B26" s="24" t="s">
        <v>178</v>
      </c>
      <c r="C26" s="25" t="n">
        <v>1</v>
      </c>
      <c r="D26" s="25" t="n">
        <v>1</v>
      </c>
      <c r="E26" s="25" t="n">
        <v>1</v>
      </c>
      <c r="F26" s="25" t="n">
        <v>1</v>
      </c>
      <c r="G26" s="25" t="n">
        <v>1</v>
      </c>
      <c r="H26" s="25" t="n">
        <v>1</v>
      </c>
      <c r="I26" s="25" t="n">
        <v>1</v>
      </c>
      <c r="J26" s="25" t="n">
        <v>1</v>
      </c>
      <c r="K26" s="25" t="n">
        <v>1</v>
      </c>
      <c r="L26" s="25" t="n">
        <v>0.5</v>
      </c>
      <c r="M26" s="25" t="n">
        <v>1</v>
      </c>
      <c r="N26" s="25" t="n">
        <v>1</v>
      </c>
      <c r="O26" s="25" t="n">
        <v>1</v>
      </c>
      <c r="P26" s="25" t="n">
        <v>0.5</v>
      </c>
      <c r="Q26" s="25" t="n">
        <v>1</v>
      </c>
      <c r="R26" s="25" t="n">
        <v>1</v>
      </c>
      <c r="S26" s="25" t="n">
        <v>1</v>
      </c>
      <c r="T26" s="26" t="n">
        <f aca="false">SUM(C26:S26)</f>
        <v>16</v>
      </c>
      <c r="U26" s="27" t="n">
        <f aca="false">(T26/17)*100</f>
        <v>94.1176470588235</v>
      </c>
      <c r="V26" s="28" t="str">
        <f aca="false">IF(U26&gt;=85, "High Quality", IF(U26&gt;=70, "Medium Quality", "Low Quality"))</f>
        <v>High Quality</v>
      </c>
    </row>
    <row r="27" customFormat="false" ht="27.75" hidden="false" customHeight="true" outlineLevel="0" collapsed="false">
      <c r="A27" s="17" t="n">
        <v>43</v>
      </c>
      <c r="B27" s="18" t="s">
        <v>184</v>
      </c>
      <c r="C27" s="19" t="n">
        <v>1</v>
      </c>
      <c r="D27" s="19" t="n">
        <v>1</v>
      </c>
      <c r="E27" s="19" t="n">
        <v>0.5</v>
      </c>
      <c r="F27" s="19" t="n">
        <v>1</v>
      </c>
      <c r="G27" s="19" t="n">
        <v>0.5</v>
      </c>
      <c r="H27" s="19" t="n">
        <v>0.5</v>
      </c>
      <c r="I27" s="19" t="n">
        <v>1</v>
      </c>
      <c r="J27" s="19" t="n">
        <v>0.5</v>
      </c>
      <c r="K27" s="19" t="n">
        <v>1</v>
      </c>
      <c r="L27" s="19" t="n">
        <v>0.5</v>
      </c>
      <c r="M27" s="19" t="n">
        <v>1</v>
      </c>
      <c r="N27" s="19" t="n">
        <v>0.5</v>
      </c>
      <c r="O27" s="19" t="n">
        <v>1</v>
      </c>
      <c r="P27" s="19" t="n">
        <v>0.5</v>
      </c>
      <c r="Q27" s="19" t="n">
        <v>0.5</v>
      </c>
      <c r="R27" s="19" t="n">
        <v>1</v>
      </c>
      <c r="S27" s="19" t="n">
        <v>0.5</v>
      </c>
      <c r="T27" s="20" t="n">
        <f aca="false">SUM(C27:S27)</f>
        <v>12.5</v>
      </c>
      <c r="U27" s="21" t="n">
        <f aca="false">(T27/17)*100</f>
        <v>73.5294117647059</v>
      </c>
      <c r="V27" s="22" t="str">
        <f aca="false">IF(U27&gt;=85, "High Quality", IF(U27&gt;=70, "Medium Quality", "Low Quality"))</f>
        <v>Medium Quality</v>
      </c>
    </row>
    <row r="28" customFormat="false" ht="27.75" hidden="false" customHeight="true" outlineLevel="0" collapsed="false">
      <c r="A28" s="23" t="n">
        <v>47</v>
      </c>
      <c r="B28" s="24" t="s">
        <v>196</v>
      </c>
      <c r="C28" s="25" t="n">
        <v>1</v>
      </c>
      <c r="D28" s="25" t="n">
        <v>1</v>
      </c>
      <c r="E28" s="25" t="n">
        <v>1</v>
      </c>
      <c r="F28" s="25" t="n">
        <v>1</v>
      </c>
      <c r="G28" s="25" t="n">
        <v>1</v>
      </c>
      <c r="H28" s="25" t="n">
        <v>1</v>
      </c>
      <c r="I28" s="25" t="n">
        <v>1</v>
      </c>
      <c r="J28" s="25" t="n">
        <v>1</v>
      </c>
      <c r="K28" s="25" t="n">
        <v>1</v>
      </c>
      <c r="L28" s="25" t="n">
        <v>0.5</v>
      </c>
      <c r="M28" s="25" t="n">
        <v>1</v>
      </c>
      <c r="N28" s="25" t="n">
        <v>1</v>
      </c>
      <c r="O28" s="25" t="n">
        <v>1</v>
      </c>
      <c r="P28" s="25" t="n">
        <v>0.5</v>
      </c>
      <c r="Q28" s="25" t="n">
        <v>1</v>
      </c>
      <c r="R28" s="25" t="n">
        <v>1</v>
      </c>
      <c r="S28" s="25" t="n">
        <v>0.5</v>
      </c>
      <c r="T28" s="26" t="n">
        <f aca="false">SUM(C28:S28)</f>
        <v>15.5</v>
      </c>
      <c r="U28" s="27" t="n">
        <f aca="false">(T28/17)*100</f>
        <v>91.1764705882353</v>
      </c>
      <c r="V28" s="28" t="str">
        <f aca="false">IF(U28&gt;=85, "High Quality", IF(U28&gt;=70, "Medium Quality", "Low Quality"))</f>
        <v>High Quality</v>
      </c>
    </row>
    <row r="29" customFormat="false" ht="27.75" hidden="false" customHeight="true" outlineLevel="0" collapsed="false">
      <c r="A29" s="17" t="n">
        <v>55</v>
      </c>
      <c r="B29" s="18" t="s">
        <v>208</v>
      </c>
      <c r="C29" s="19" t="n">
        <v>1</v>
      </c>
      <c r="D29" s="19" t="n">
        <v>1</v>
      </c>
      <c r="E29" s="19" t="n">
        <v>0.5</v>
      </c>
      <c r="F29" s="19" t="n">
        <v>1</v>
      </c>
      <c r="G29" s="19" t="n">
        <v>1</v>
      </c>
      <c r="H29" s="19" t="n">
        <v>1</v>
      </c>
      <c r="I29" s="19" t="n">
        <v>1</v>
      </c>
      <c r="J29" s="19" t="n">
        <v>1</v>
      </c>
      <c r="K29" s="19" t="n">
        <v>1</v>
      </c>
      <c r="L29" s="19" t="n">
        <v>0.5</v>
      </c>
      <c r="M29" s="19" t="n">
        <v>1</v>
      </c>
      <c r="N29" s="19" t="n">
        <v>0.5</v>
      </c>
      <c r="O29" s="19" t="n">
        <v>1</v>
      </c>
      <c r="P29" s="19" t="n">
        <v>0.5</v>
      </c>
      <c r="Q29" s="19" t="n">
        <v>1</v>
      </c>
      <c r="R29" s="19" t="n">
        <v>1</v>
      </c>
      <c r="S29" s="19" t="n">
        <v>0.5</v>
      </c>
      <c r="T29" s="20" t="n">
        <f aca="false">SUM(C29:S29)</f>
        <v>14.5</v>
      </c>
      <c r="U29" s="21" t="n">
        <f aca="false">(T29/17)*100</f>
        <v>85.2941176470588</v>
      </c>
      <c r="V29" s="22" t="str">
        <f aca="false">IF(U29&gt;=85, "High Quality", IF(U29&gt;=70, "Medium Quality", "Low Quality"))</f>
        <v>High Quality</v>
      </c>
    </row>
    <row r="30" customFormat="false" ht="27.75" hidden="false" customHeight="true" outlineLevel="0" collapsed="false">
      <c r="A30" s="23" t="n">
        <v>56</v>
      </c>
      <c r="B30" s="24" t="s">
        <v>212</v>
      </c>
      <c r="C30" s="25" t="n">
        <v>1</v>
      </c>
      <c r="D30" s="25" t="n">
        <v>1</v>
      </c>
      <c r="E30" s="25" t="n">
        <v>0.5</v>
      </c>
      <c r="F30" s="25" t="n">
        <v>1</v>
      </c>
      <c r="G30" s="25" t="n">
        <v>0.5</v>
      </c>
      <c r="H30" s="25" t="n">
        <v>0.5</v>
      </c>
      <c r="I30" s="25" t="n">
        <v>1</v>
      </c>
      <c r="J30" s="25" t="n">
        <v>0.5</v>
      </c>
      <c r="K30" s="25" t="n">
        <v>1</v>
      </c>
      <c r="L30" s="25" t="n">
        <v>0.5</v>
      </c>
      <c r="M30" s="25" t="n">
        <v>1</v>
      </c>
      <c r="N30" s="25" t="n">
        <v>0.5</v>
      </c>
      <c r="O30" s="25" t="n">
        <v>1</v>
      </c>
      <c r="P30" s="25" t="n">
        <v>0.5</v>
      </c>
      <c r="Q30" s="25" t="n">
        <v>0.5</v>
      </c>
      <c r="R30" s="25" t="n">
        <v>1</v>
      </c>
      <c r="S30" s="25" t="n">
        <v>0.5</v>
      </c>
      <c r="T30" s="26" t="n">
        <f aca="false">SUM(C30:S30)</f>
        <v>12.5</v>
      </c>
      <c r="U30" s="27" t="n">
        <f aca="false">(T30/17)*100</f>
        <v>73.5294117647059</v>
      </c>
      <c r="V30" s="28" t="str">
        <f aca="false">IF(U30&gt;=85, "High Quality", IF(U30&gt;=70, "Medium Quality", "Low Quality"))</f>
        <v>Medium Quality</v>
      </c>
    </row>
    <row r="31" customFormat="false" ht="15" hidden="false" customHeight="false" outlineLevel="0" collapsed="false">
      <c r="A31" s="29" t="s">
        <v>589</v>
      </c>
      <c r="C31" s="30" t="n">
        <f aca="false">AVERAGE(C5:C30)</f>
        <v>1</v>
      </c>
      <c r="D31" s="30" t="n">
        <f aca="false">AVERAGE(D5:D30)</f>
        <v>1</v>
      </c>
      <c r="E31" s="30" t="n">
        <f aca="false">AVERAGE(E5:E30)</f>
        <v>0.865384615384615</v>
      </c>
      <c r="F31" s="30" t="n">
        <f aca="false">AVERAGE(F5:F30)</f>
        <v>1</v>
      </c>
      <c r="G31" s="30" t="n">
        <f aca="false">AVERAGE(G5:G30)</f>
        <v>0.826923076923077</v>
      </c>
      <c r="H31" s="30" t="n">
        <f aca="false">AVERAGE(H5:H30)</f>
        <v>0.826923076923077</v>
      </c>
      <c r="I31" s="30" t="n">
        <f aca="false">AVERAGE(I5:I30)</f>
        <v>1</v>
      </c>
      <c r="J31" s="30" t="n">
        <f aca="false">AVERAGE(J5:J30)</f>
        <v>0.846153846153846</v>
      </c>
      <c r="K31" s="30" t="n">
        <f aca="false">AVERAGE(K5:K30)</f>
        <v>0.980769230769231</v>
      </c>
      <c r="L31" s="30" t="n">
        <f aca="false">AVERAGE(L5:L30)</f>
        <v>0.519230769230769</v>
      </c>
      <c r="M31" s="30" t="n">
        <f aca="false">AVERAGE(M5:M30)</f>
        <v>0.980769230769231</v>
      </c>
      <c r="N31" s="30" t="n">
        <f aca="false">AVERAGE(N5:N30)</f>
        <v>0.769230769230769</v>
      </c>
      <c r="O31" s="30" t="n">
        <f aca="false">AVERAGE(O5:O30)</f>
        <v>1</v>
      </c>
      <c r="P31" s="30" t="n">
        <f aca="false">AVERAGE(P5:P30)</f>
        <v>0.596153846153846</v>
      </c>
      <c r="Q31" s="30" t="n">
        <f aca="false">AVERAGE(Q5:Q30)</f>
        <v>0.846153846153846</v>
      </c>
      <c r="R31" s="30" t="n">
        <f aca="false">AVERAGE(R5:R30)</f>
        <v>1</v>
      </c>
      <c r="S31" s="30" t="n">
        <f aca="false">AVERAGE(S5:S30)</f>
        <v>0.519230769230769</v>
      </c>
      <c r="T31" s="30" t="n">
        <f aca="false">AVERAGE(T5:T30)</f>
        <v>14.5769230769231</v>
      </c>
      <c r="U31" s="31" t="n">
        <f aca="false">AVERAGE(U5:U30)</f>
        <v>85.7466063348416</v>
      </c>
      <c r="V31" s="32" t="s">
        <v>590</v>
      </c>
    </row>
  </sheetData>
  <autoFilter ref="A4:V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2026-09-11T22:08:51Z</dcterms:created>
  <dc:creator>openpyxl</dc:creator>
  <dc:description/>
  <dc:language>en-US</dc:language>
  <cp:lastModifiedBy>Thandolwethu Siloyi</cp:lastModifiedBy>
  <dcterms:modified xsi:type="dcterms:W3CDTF">2026-09-13T18:13:25Z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