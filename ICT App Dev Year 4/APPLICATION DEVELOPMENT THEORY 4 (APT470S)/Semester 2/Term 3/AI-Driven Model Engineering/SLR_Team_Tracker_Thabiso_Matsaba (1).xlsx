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Screening Tracker" sheetId="2" state="visible" r:id="rId2"/>
    <sheet xmlns:r="http://schemas.openxmlformats.org/officeDocument/2006/relationships" name="Full-Text Eligibility" sheetId="3" state="visible" r:id="rId3"/>
    <sheet xmlns:r="http://schemas.openxmlformats.org/officeDocument/2006/relationships" name="Data Extraction" sheetId="4" state="visible" r:id="rId4"/>
    <sheet xmlns:r="http://schemas.openxmlformats.org/officeDocument/2006/relationships" name="Quality Assessment" sheetId="5" state="visible" r:id="rId5"/>
    <sheet xmlns:r="http://schemas.openxmlformats.org/officeDocument/2006/relationships" name="PRISMA Count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Calibri"/>
      <charset val="1"/>
      <family val="0"/>
      <b val="1"/>
      <color rgb="FF1B2A4A"/>
      <sz val="16"/>
    </font>
    <font>
      <name val="Calibri"/>
      <charset val="1"/>
      <family val="0"/>
      <b val="1"/>
      <color rgb="FF3D85C6"/>
      <sz val="12"/>
    </font>
    <font>
      <name val="Calibri"/>
      <charset val="1"/>
      <family val="0"/>
      <sz val="11"/>
    </font>
    <font>
      <name val="Calibri"/>
      <charset val="1"/>
      <family val="0"/>
      <b val="1"/>
      <color rgb="FFFFFFFF"/>
      <sz val="11"/>
    </font>
    <font>
      <name val="Calibri"/>
      <charset val="1"/>
      <family val="0"/>
      <i val="1"/>
      <color rgb="FF808080"/>
      <sz val="10"/>
    </font>
    <font>
      <name val="Calibri"/>
      <charset val="1"/>
      <family val="0"/>
      <i val="1"/>
      <color rgb="FF666666"/>
      <sz val="10"/>
    </font>
    <font>
      <name val="Calibri"/>
      <charset val="1"/>
      <family val="0"/>
      <b val="1"/>
      <color rgb="FF1B2A4A"/>
      <sz val="12"/>
    </font>
    <font/>
    <font>
      <name val="Arial"/>
      <b val="1"/>
      <color rgb="001F4E79"/>
      <sz val="14"/>
    </font>
    <font>
      <name val="Arial"/>
      <i val="1"/>
      <color rgb="00666666"/>
      <sz val="9"/>
    </font>
    <font>
      <name val="Arial"/>
      <b val="1"/>
      <color rgb="00FFFFFF"/>
      <sz val="11"/>
    </font>
    <font>
      <name val="Arial"/>
      <sz val="10"/>
    </font>
    <font>
      <name val="Arial"/>
      <b val="1"/>
      <sz val="11"/>
    </font>
    <font>
      <name val="Arial"/>
      <b val="1"/>
      <color rgb="002E75B6"/>
      <sz val="11"/>
    </font>
    <font>
      <name val="Arial"/>
      <b val="1"/>
      <sz val="10"/>
    </font>
    <font>
      <name val="Arial"/>
      <sz val="9"/>
    </font>
    <font>
      <name val="Arial"/>
      <color rgb="001F4E79"/>
      <sz val="9"/>
    </font>
  </fonts>
  <fills count="7">
    <fill>
      <patternFill/>
    </fill>
    <fill>
      <patternFill patternType="gray125"/>
    </fill>
    <fill>
      <patternFill patternType="solid">
        <fgColor rgb="FF1B2A4A"/>
        <bgColor rgb="FF003366"/>
      </patternFill>
    </fill>
    <fill>
      <patternFill patternType="solid">
        <fgColor rgb="001F4E79"/>
      </patternFill>
    </fill>
    <fill>
      <patternFill patternType="solid">
        <fgColor rgb="00FFF2CC"/>
      </patternFill>
    </fill>
    <fill>
      <patternFill patternType="solid">
        <fgColor rgb="00C6EFCE"/>
      </patternFill>
    </fill>
    <fill>
      <patternFill patternType="solid">
        <fgColor rgb="00FCE4EC"/>
      </patternFill>
    </fill>
  </fills>
  <borders count="4">
    <border>
      <left/>
      <right/>
      <top/>
      <bottom/>
      <diagonal/>
    </border>
    <border>
      <left style="thin">
        <color rgb="FFBFBFBF"/>
      </left>
      <right style="thin">
        <color rgb="FFBFBFBF"/>
      </right>
      <top style="thin">
        <color rgb="FFBFBFBF"/>
      </top>
      <bottom style="thin">
        <color rgb="FFBFBFBF"/>
      </bottom>
      <diagonal/>
    </border>
    <border/>
    <border>
      <left style="thin">
        <color rgb="00B0B0B0"/>
      </left>
      <right style="thin">
        <color rgb="00B0B0B0"/>
      </right>
      <top style="thin">
        <color rgb="00B0B0B0"/>
      </top>
      <bottom style="thin">
        <color rgb="00B0B0B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6" fillId="0" borderId="1" applyAlignment="1" pivotButton="0" quotePrefix="0" xfId="0">
      <alignment horizontal="general" vertical="bottom"/>
    </xf>
    <xf numFmtId="0" fontId="8" fillId="0" borderId="1" applyAlignment="1" pivotButton="0" quotePrefix="0" xfId="0">
      <alignment horizontal="general" vertical="bottom"/>
    </xf>
    <xf numFmtId="0" fontId="9" fillId="0" borderId="0" applyAlignment="1" pivotButton="0" quotePrefix="0" xfId="0">
      <alignment horizontal="general" vertical="bottom"/>
    </xf>
    <xf numFmtId="0" fontId="7" fillId="2" borderId="0" applyAlignment="1" pivotButton="0" quotePrefix="0" xfId="0">
      <alignment horizontal="general" vertical="bottom"/>
    </xf>
    <xf numFmtId="0" fontId="10" fillId="0" borderId="1" applyAlignment="1" pivotButton="0" quotePrefix="0" xfId="0">
      <alignment horizontal="center" vertical="bottom"/>
    </xf>
    <xf numFmtId="0" fontId="6" fillId="0"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6" fillId="0" borderId="1" applyAlignment="1" pivotButton="0" quotePrefix="0" xfId="0">
      <alignment horizontal="general" vertical="bottom"/>
    </xf>
    <xf numFmtId="0" fontId="8" fillId="0" borderId="1" applyAlignment="1" pivotButton="0" quotePrefix="0" xfId="0">
      <alignment horizontal="general" vertical="bottom"/>
    </xf>
    <xf numFmtId="0" fontId="9" fillId="0" borderId="0" applyAlignment="1" pivotButton="0" quotePrefix="0" xfId="0">
      <alignment horizontal="general" vertical="bottom"/>
    </xf>
    <xf numFmtId="0" fontId="7" fillId="2" borderId="0" applyAlignment="1" pivotButton="0" quotePrefix="0" xfId="0">
      <alignment horizontal="general" vertical="bottom"/>
    </xf>
    <xf numFmtId="0" fontId="10" fillId="0" borderId="1" applyAlignment="1" pivotButton="0" quotePrefix="0" xfId="0">
      <alignment horizontal="center" vertical="bottom"/>
    </xf>
    <xf numFmtId="0" fontId="6" fillId="0" borderId="1" applyAlignment="1" pivotButton="0" quotePrefix="0" xfId="0">
      <alignment horizontal="center" vertical="bottom"/>
    </xf>
    <xf numFmtId="0" fontId="12" fillId="0" borderId="2" applyAlignment="1" pivotButton="0" quotePrefix="0" xfId="0">
      <alignment horizontal="general" vertical="bottom"/>
    </xf>
    <xf numFmtId="0" fontId="11" fillId="0" borderId="2" pivotButton="0" quotePrefix="0" xfId="0"/>
    <xf numFmtId="0" fontId="13" fillId="0" borderId="2" applyAlignment="1" pivotButton="0" quotePrefix="0" xfId="0">
      <alignment horizontal="general" vertical="bottom"/>
    </xf>
    <xf numFmtId="0" fontId="14" fillId="3" borderId="3" applyAlignment="1" pivotButton="0" quotePrefix="0" xfId="0">
      <alignment horizontal="general" vertical="bottom"/>
    </xf>
    <xf numFmtId="0" fontId="15" fillId="0" borderId="3" applyAlignment="1" pivotButton="0" quotePrefix="0" xfId="0">
      <alignment horizontal="general" vertical="bottom"/>
    </xf>
    <xf numFmtId="0" fontId="16" fillId="4" borderId="3" applyAlignment="1" pivotButton="0" quotePrefix="0" xfId="0">
      <alignment horizontal="center"/>
    </xf>
    <xf numFmtId="0" fontId="16" fillId="0" borderId="3" applyAlignment="1" pivotButton="0" quotePrefix="0" xfId="0">
      <alignment horizontal="center"/>
    </xf>
    <xf numFmtId="0" fontId="16" fillId="5" borderId="3" applyAlignment="1" pivotButton="0" quotePrefix="0" xfId="0">
      <alignment horizontal="center"/>
    </xf>
    <xf numFmtId="0" fontId="11" fillId="0" borderId="2" applyAlignment="1" pivotButton="0" quotePrefix="0" xfId="0">
      <alignment horizontal="general" vertical="bottom"/>
    </xf>
    <xf numFmtId="0" fontId="17" fillId="0" borderId="2" applyAlignment="1" pivotButton="0" quotePrefix="0" xfId="0">
      <alignment horizontal="general" vertical="bottom"/>
    </xf>
    <xf numFmtId="0" fontId="14" fillId="3" borderId="3" applyAlignment="1" pivotButton="0" quotePrefix="0" xfId="0">
      <alignment horizontal="center" vertical="bottom"/>
    </xf>
    <xf numFmtId="0" fontId="15" fillId="0" borderId="3" applyAlignment="1" pivotButton="0" quotePrefix="0" xfId="0">
      <alignment horizontal="center"/>
    </xf>
    <xf numFmtId="0" fontId="15" fillId="0" borderId="3" pivotButton="0" quotePrefix="0" xfId="0"/>
    <xf numFmtId="0" fontId="18" fillId="0" borderId="2" pivotButton="0" quotePrefix="0" xfId="0"/>
    <xf numFmtId="0" fontId="19" fillId="0" borderId="2" pivotButton="0" quotePrefix="0" xfId="0"/>
    <xf numFmtId="0" fontId="6" fillId="6" borderId="1" applyAlignment="1" pivotButton="0" quotePrefix="0" xfId="0">
      <alignment horizontal="general" vertical="bottom"/>
    </xf>
    <xf numFmtId="0" fontId="14" fillId="3" borderId="3" pivotButton="0" quotePrefix="0" xfId="0"/>
    <xf numFmtId="0" fontId="16" fillId="6" borderId="3" applyAlignment="1" pivotButton="0" quotePrefix="0" xfId="0">
      <alignment horizontal="center"/>
    </xf>
    <xf numFmtId="0" fontId="11" fillId="0" borderId="2" applyAlignment="1" pivotButton="0" quotePrefix="0" xfId="0">
      <alignment horizontal="center" vertical="bottom"/>
    </xf>
    <xf numFmtId="0" fontId="11" fillId="0" borderId="2" applyAlignment="1" pivotButton="0" quotePrefix="0" xfId="0">
      <alignment horizontal="center"/>
    </xf>
    <xf numFmtId="0" fontId="14" fillId="3" borderId="3" applyAlignment="1" pivotButton="0" quotePrefix="0" xfId="0">
      <alignment horizontal="center"/>
    </xf>
    <xf numFmtId="0" fontId="20" fillId="0" borderId="2"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D85C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5" customWidth="1" style="11" min="1" max="1"/>
  </cols>
  <sheetData>
    <row r="1" ht="19.7" customHeight="1" s="12">
      <c r="A1" s="13" t="inlineStr">
        <is>
          <t>AI-Driven Model Engineering SLR — Team Tracker</t>
        </is>
      </c>
    </row>
    <row r="2" ht="15" customHeight="1" s="12">
      <c r="A2" s="14" t="inlineStr">
        <is>
          <t>APT470S | Term 3 Research Project | Submission: CoB 27 August 2026</t>
        </is>
      </c>
    </row>
    <row r="3" ht="15" customHeight="1" s="12">
      <c r="A3" s="15" t="n"/>
    </row>
    <row r="4" ht="15" customHeight="1" s="12">
      <c r="A4" s="15" t="inlineStr">
        <is>
          <t>HOW TO USE THIS WORKBOOK (6-person team)</t>
        </is>
      </c>
    </row>
    <row r="5" ht="15" customHeight="1" s="12">
      <c r="A5" s="15" t="n"/>
    </row>
    <row r="6" ht="15" customHeight="1" s="12">
      <c r="A6" s="15" t="inlineStr">
        <is>
          <t>1. Screening Tracker tab — everyone logs the papers from their assigned database here.</t>
        </is>
      </c>
    </row>
    <row r="7" ht="15" customHeight="1" s="12">
      <c r="A7" s="15" t="inlineStr">
        <is>
          <t xml:space="preserve">   Each paper must be screened by 2 people (title/abstract only). Log both reviewers'</t>
        </is>
      </c>
    </row>
    <row r="8" ht="15" customHeight="1" s="12">
      <c r="A8" s="15" t="inlineStr">
        <is>
          <t xml:space="preserve">   decisions in the Reviewer 1 / Reviewer 2 columns, then agree a Final Decision.</t>
        </is>
      </c>
    </row>
    <row r="9" ht="15" customHeight="1" s="12">
      <c r="A9" s="15" t="n"/>
    </row>
    <row r="10" ht="15" customHeight="1" s="12">
      <c r="A10" s="15" t="inlineStr">
        <is>
          <t>2. Full-Text Eligibility tab — for anything marked Include (or Maybe) after screening,</t>
        </is>
      </c>
    </row>
    <row r="11" ht="15" customHeight="1" s="12">
      <c r="A11" s="15" t="inlineStr">
        <is>
          <t xml:space="preserve">   do a full-text read and log Include/Exclude + a reason here. Reasons are required</t>
        </is>
      </c>
    </row>
    <row r="12" ht="15" customHeight="1" s="12">
      <c r="A12" s="15" t="inlineStr">
        <is>
          <t xml:space="preserve">   for every exclusion (this feeds your PRISMA diagram and Criterion 4 on the rubric).</t>
        </is>
      </c>
    </row>
    <row r="13" ht="15" customHeight="1" s="12">
      <c r="A13" s="15" t="n"/>
    </row>
    <row r="14" ht="15" customHeight="1" s="12">
      <c r="A14" s="15" t="inlineStr">
        <is>
          <t>3. Data Extraction tab — one row per FINAL included paper. Split these evenly across</t>
        </is>
      </c>
    </row>
    <row r="15" ht="15" customHeight="1" s="12">
      <c r="A15" s="15" t="inlineStr">
        <is>
          <t xml:space="preserve">   the team once you know the total. Pilot-test on 2 shared papers first so everyone</t>
        </is>
      </c>
    </row>
    <row r="16" ht="15" customHeight="1" s="12">
      <c r="A16" s="15" t="inlineStr">
        <is>
          <t xml:space="preserve">   codes fields the same way, before splitting the rest.</t>
        </is>
      </c>
    </row>
    <row r="17" ht="15" customHeight="1" s="12">
      <c r="A17" s="15" t="n"/>
    </row>
    <row r="18" ht="15" customHeight="1" s="12">
      <c r="A18" s="15" t="inlineStr">
        <is>
          <t>4. Quality Assessment tab — score each included paper against the 18-item checklist</t>
        </is>
      </c>
    </row>
    <row r="19" ht="15" customHeight="1" s="12">
      <c r="A19" s="15" t="inlineStr">
        <is>
          <t xml:space="preserve">   from the brief (0 = No, 0.5 = Partial, 1 = Yes). Pair up and cross-check each</t>
        </is>
      </c>
    </row>
    <row r="20" ht="15" customHeight="1" s="12">
      <c r="A20" s="15" t="inlineStr">
        <is>
          <t xml:space="preserve">   other's scoring — this maps to Rubric Criterion 5 (10 marks).</t>
        </is>
      </c>
    </row>
    <row r="21" ht="15" customHeight="1" s="12">
      <c r="A21" s="15" t="n"/>
    </row>
    <row r="22" ht="15" customHeight="1" s="12">
      <c r="A22" s="15" t="inlineStr">
        <is>
          <t>5. PRISMA Counts tab — auto-calculates from the Screening and Full-Text tabs. Use the</t>
        </is>
      </c>
    </row>
    <row r="23" ht="15" customHeight="1" s="12">
      <c r="A23" s="15" t="inlineStr">
        <is>
          <t xml:space="preserve">   numbers here to draw your PRISMA flow diagram.</t>
        </is>
      </c>
    </row>
    <row r="24" ht="15" customHeight="1" s="12">
      <c r="A24" s="15" t="n"/>
    </row>
    <row r="25" ht="15" customHeight="1" s="12">
      <c r="A25" s="15" t="inlineStr">
        <is>
          <t>SUGGESTED DATABASE ASSIGNMENTS (edit names below):</t>
        </is>
      </c>
    </row>
    <row r="26" ht="15" customHeight="1" s="12">
      <c r="A26" s="15" t="inlineStr">
        <is>
          <t>Note: Person 7 has no database of their own for week 1 — have them help two other</t>
        </is>
      </c>
    </row>
    <row r="27" ht="15" customHeight="1" s="12">
      <c r="A27" s="15" t="inlineStr">
        <is>
          <t>people clear their search results faster, then switch fully to snowballing once the</t>
        </is>
      </c>
    </row>
    <row r="28" ht="15" customHeight="1" s="12">
      <c r="A28" s="15" t="inlineStr">
        <is>
          <t>team has a first draft Include list (usually partway through week 1-2).</t>
        </is>
      </c>
    </row>
    <row r="30" ht="28.35" customHeight="1" s="12">
      <c r="A30" s="16" t="inlineStr">
        <is>
          <t>Person</t>
        </is>
      </c>
      <c r="B30" s="16" t="inlineStr">
        <is>
          <t>Database / Role</t>
        </is>
      </c>
      <c r="C30" s="16" t="inlineStr">
        <is>
          <t>Status</t>
        </is>
      </c>
    </row>
    <row r="31" ht="15" customHeight="1" s="12">
      <c r="A31" s="17" t="inlineStr">
        <is>
          <t>Person 1</t>
        </is>
      </c>
      <c r="B31" s="17" t="inlineStr">
        <is>
          <t>IEEE Xplore</t>
        </is>
      </c>
      <c r="C31" s="17" t="inlineStr">
        <is>
          <t>Not started</t>
        </is>
      </c>
    </row>
    <row r="32" ht="15" customHeight="1" s="12">
      <c r="A32" s="17" t="inlineStr">
        <is>
          <t>Person 2</t>
        </is>
      </c>
      <c r="B32" s="17" t="inlineStr">
        <is>
          <t>ACM Digital Library</t>
        </is>
      </c>
      <c r="C32" s="17" t="inlineStr">
        <is>
          <t>Not started</t>
        </is>
      </c>
    </row>
    <row r="33" ht="15" customHeight="1" s="12">
      <c r="A33" s="17" t="inlineStr">
        <is>
          <t>Person 3</t>
        </is>
      </c>
      <c r="B33" s="17" t="inlineStr">
        <is>
          <t>ScienceDirect</t>
        </is>
      </c>
      <c r="C33" s="17" t="inlineStr">
        <is>
          <t>Not started</t>
        </is>
      </c>
    </row>
    <row r="34" ht="15" customHeight="1" s="12">
      <c r="A34" s="17" t="inlineStr">
        <is>
          <t>Person 4</t>
        </is>
      </c>
      <c r="B34" s="17" t="inlineStr">
        <is>
          <t>SpringerLink</t>
        </is>
      </c>
      <c r="C34" s="17" t="inlineStr">
        <is>
          <t>Not started</t>
        </is>
      </c>
    </row>
    <row r="35" ht="15" customHeight="1" s="12">
      <c r="A35" s="17" t="inlineStr">
        <is>
          <t>Person 5</t>
        </is>
      </c>
      <c r="B35" s="17" t="inlineStr">
        <is>
          <t>Scopus</t>
        </is>
      </c>
      <c r="C35" s="17" t="inlineStr">
        <is>
          <t>Not started</t>
        </is>
      </c>
    </row>
    <row r="36" ht="15" customHeight="1" s="12">
      <c r="A36" s="17" t="inlineStr">
        <is>
          <t>Person 6</t>
        </is>
      </c>
      <c r="B36" s="17" t="inlineStr">
        <is>
          <t>Web of Science</t>
        </is>
      </c>
      <c r="C36" s="17" t="inlineStr">
        <is>
          <t>Not started</t>
        </is>
      </c>
    </row>
    <row r="37" ht="15" customHeight="1" s="12">
      <c r="A37" s="17" t="inlineStr">
        <is>
          <t>NOTE: Thabiso Matsaba has been assigned the 13 Top Included Primary Studies (pre-coded from ScienceDirect). These are entered in Screening Tracker (rows 3-15), Full-Text Eligibility (rows 3-15), and partially populated in Data Extraction (rows 2-14). Remaining Data Extraction fields and full Quality Assessment should be completed after full-text reading.</t>
        </is>
      </c>
      <c r="B37" s="17" t="inlineStr">
        <is>
          <t>Google Scholar snowballing (backward + forward citation search on included papers) + floating support for whichever database falls behind</t>
        </is>
      </c>
      <c r="C37" s="17" t="inlineStr">
        <is>
          <t>Not started</t>
        </is>
      </c>
    </row>
    <row r="38">
      <c r="A38" s="11" t="inlineStr">
        <is>
          <t>NOTE 2: All 126 ScienceDirect records that passed title/abstract screening are now logged. 13 are Included (rows 3-15); 113 are documented as Full-Text Exclude with explicit reasons (Full-Text Eligibility rows 16 onwards). This supports PRISMA transparency and Rubric Criterion 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50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1" min="1" max="1"/>
    <col width="16" customWidth="1" style="11" min="2" max="2"/>
    <col width="14" customWidth="1" style="11" min="3" max="3"/>
    <col width="32" customWidth="1" style="11" min="4" max="4"/>
    <col width="22" customWidth="1" style="11" min="5" max="5"/>
    <col width="8" customWidth="1" style="11" min="6" max="6"/>
    <col width="20" customWidth="1" style="11" min="7" max="7"/>
    <col width="24" customWidth="1" style="11" min="8" max="8"/>
    <col width="40" customWidth="1" style="11" min="9" max="9"/>
    <col width="16" customWidth="1" style="11" min="10" max="11"/>
    <col width="14" customWidth="1" style="11" min="12" max="12"/>
    <col width="30" customWidth="1" style="11" min="13" max="13"/>
  </cols>
  <sheetData>
    <row r="1" ht="28.35" customHeight="1" s="12">
      <c r="A1" s="16" t="inlineStr">
        <is>
          <t>#</t>
        </is>
      </c>
      <c r="B1" s="16" t="inlineStr">
        <is>
          <t>Database</t>
        </is>
      </c>
      <c r="C1" s="16" t="inlineStr">
        <is>
          <t>Reviewer(s)</t>
        </is>
      </c>
      <c r="D1" s="16" t="inlineStr">
        <is>
          <t>Title</t>
        </is>
      </c>
      <c r="E1" s="16" t="inlineStr">
        <is>
          <t>Authors</t>
        </is>
      </c>
      <c r="F1" s="16" t="inlineStr">
        <is>
          <t>Year</t>
        </is>
      </c>
      <c r="G1" s="16" t="inlineStr">
        <is>
          <t>Venue</t>
        </is>
      </c>
      <c r="H1" s="16" t="inlineStr">
        <is>
          <t>DOI / Link</t>
        </is>
      </c>
      <c r="I1" s="16" t="inlineStr">
        <is>
          <t>Abstract (paste)</t>
        </is>
      </c>
      <c r="J1" s="16" t="inlineStr">
        <is>
          <t>Reviewer 1 Decision</t>
        </is>
      </c>
      <c r="K1" s="16" t="inlineStr">
        <is>
          <t>Reviewer 2 Decision</t>
        </is>
      </c>
      <c r="L1" s="16" t="inlineStr">
        <is>
          <t>Final Decision</t>
        </is>
      </c>
      <c r="M1" s="16" t="inlineStr">
        <is>
          <t>Exclusion Reason (if excluded)</t>
        </is>
      </c>
    </row>
    <row r="2" ht="15" customHeight="1" s="12">
      <c r="A2" s="18" t="n">
        <v>1</v>
      </c>
      <c r="B2" s="18" t="inlineStr">
        <is>
          <t>IEEE Xplore</t>
        </is>
      </c>
      <c r="C2" s="18" t="inlineStr">
        <is>
          <t>Person 1 / Person 2</t>
        </is>
      </c>
      <c r="D2" s="18" t="inlineStr">
        <is>
          <t>Example: LLM-based UML class diagram generation from requirements</t>
        </is>
      </c>
      <c r="E2" s="18" t="inlineStr">
        <is>
          <t>Smith, J. et al.</t>
        </is>
      </c>
      <c r="F2" s="18" t="n">
        <v>2024</v>
      </c>
      <c r="G2" s="18" t="inlineStr">
        <is>
          <t>IEEE Transactions on SE</t>
        </is>
      </c>
      <c r="H2" s="18" t="inlineStr">
        <is>
          <t>10.1109/example</t>
        </is>
      </c>
      <c r="I2" s="18" t="inlineStr">
        <is>
          <t>This paper proposes an approach using GPT-4 to generate UML class diagrams...</t>
        </is>
      </c>
      <c r="J2" s="18" t="inlineStr">
        <is>
          <t>Include</t>
        </is>
      </c>
      <c r="K2" s="18" t="inlineStr">
        <is>
          <t>Include</t>
        </is>
      </c>
      <c r="L2" s="18" t="inlineStr">
        <is>
          <t>Include</t>
        </is>
      </c>
      <c r="M2" s="18" t="n"/>
    </row>
    <row r="3" ht="15" customHeight="1" s="12">
      <c r="A3" s="17" t="n">
        <v>1</v>
      </c>
      <c r="B3" s="17" t="inlineStr">
        <is>
          <t>ScienceDirect</t>
        </is>
      </c>
      <c r="C3" s="17" t="inlineStr">
        <is>
          <t>Thabiso Matsaba</t>
        </is>
      </c>
      <c r="D3" s="17" t="inlineStr">
        <is>
          <t>Change-aware round-trip benchmarking of LLMs for reliable and efficient artifact co-evolution</t>
        </is>
      </c>
      <c r="E3" s="17" t="inlineStr">
        <is>
          <t>Dao, Duy; Bucaioni, Alessio; Cicchetti, Antonio</t>
        </is>
      </c>
      <c r="F3" s="17" t="n">
        <v>2026</v>
      </c>
      <c r="G3" s="17" t="inlineStr">
        <is>
          <t>Journal of Systems and Software</t>
        </is>
      </c>
      <c r="H3" s="17" t="inlineStr">
        <is>
          <t>https://doi.org/10.1016/j.jss.2026.113014</t>
        </is>
      </c>
      <c r="I3" s="17" t="inlineStr">
        <is>
          <t>Evaluates LLMs (GPT-5, Gemini 2.5, DeepSeek V3, Qwen3) for round-trip consistency &amp; co-evolution between class models and schemas under controlled edits. Measures edit persistence, structural validity, and run-to-run consistency.</t>
        </is>
      </c>
      <c r="J3" s="17" t="inlineStr">
        <is>
          <t>Include</t>
        </is>
      </c>
      <c r="K3" s="17" t="inlineStr">
        <is>
          <t>Include</t>
        </is>
      </c>
      <c r="L3" s="17" t="inlineStr">
        <is>
          <t>Include</t>
        </is>
      </c>
      <c r="M3" s="17" t="inlineStr"/>
    </row>
    <row r="4" ht="15" customHeight="1" s="12">
      <c r="A4" s="17" t="n">
        <v>2</v>
      </c>
      <c r="B4" s="17" t="inlineStr">
        <is>
          <t>ScienceDirect</t>
        </is>
      </c>
      <c r="C4" s="17" t="inlineStr">
        <is>
          <t>Thabiso Matsaba</t>
        </is>
      </c>
      <c r="D4" s="17" t="inlineStr">
        <is>
          <t>Semanti-MOP: Bridging the semantic gap in automated architecture refactoring via instability-aware Large Language Models</t>
        </is>
      </c>
      <c r="E4" s="17" t="inlineStr">
        <is>
          <t>Salem, Ahmed</t>
        </is>
      </c>
      <c r="F4" s="17" t="n">
        <v>2026</v>
      </c>
      <c r="G4" s="17" t="inlineStr">
        <is>
          <t>Information and Software Technology</t>
        </is>
      </c>
      <c r="H4" s="17" t="inlineStr">
        <is>
          <t>https://doi.org/10.1016/j.infsof.2026.108280</t>
        </is>
      </c>
      <c r="I4" s="17" t="inlineStr">
        <is>
          <t>Combines LLMs (RAG) and search-based optimization for architectural refactoring and microservice decomposition on Apache Flink.</t>
        </is>
      </c>
      <c r="J4" s="17" t="inlineStr">
        <is>
          <t>Include</t>
        </is>
      </c>
      <c r="K4" s="17" t="inlineStr">
        <is>
          <t>Include</t>
        </is>
      </c>
      <c r="L4" s="17" t="inlineStr">
        <is>
          <t>Include</t>
        </is>
      </c>
      <c r="M4" s="17" t="inlineStr"/>
    </row>
    <row r="5" ht="15" customHeight="1" s="12">
      <c r="A5" s="17" t="n">
        <v>3</v>
      </c>
      <c r="B5" s="17" t="inlineStr">
        <is>
          <t>ScienceDirect</t>
        </is>
      </c>
      <c r="C5" s="17" t="inlineStr">
        <is>
          <t>Thabiso Matsaba</t>
        </is>
      </c>
      <c r="D5" s="17" t="inlineStr">
        <is>
          <t>A framework for assessing the capabilities of code generation of constraint domain-specific languages with large language models</t>
        </is>
      </c>
      <c r="E5" s="17" t="inlineStr">
        <is>
          <t>Delgado, David; Burgueño, Lola; Clarisó, Robert</t>
        </is>
      </c>
      <c r="F5" s="17" t="n">
        <v>2026</v>
      </c>
      <c r="G5" s="17" t="inlineStr">
        <is>
          <t>Journal of Systems and Software</t>
        </is>
      </c>
      <c r="H5" s="17" t="inlineStr">
        <is>
          <t>https://doi.org/10.1016/j.jss.2026.112871</t>
        </is>
      </c>
      <c r="I5" s="17" t="inlineStr">
        <is>
          <t>Evaluates LLM generation of formal constraint DSLs (OCL, Alloy) from textual specifications with code repair mechanisms.</t>
        </is>
      </c>
      <c r="J5" s="17" t="inlineStr">
        <is>
          <t>Include</t>
        </is>
      </c>
      <c r="K5" s="17" t="inlineStr">
        <is>
          <t>Include</t>
        </is>
      </c>
      <c r="L5" s="17" t="inlineStr">
        <is>
          <t>Include</t>
        </is>
      </c>
      <c r="M5" s="17" t="inlineStr"/>
    </row>
    <row r="6" ht="15" customHeight="1" s="12">
      <c r="A6" s="17" t="n">
        <v>4</v>
      </c>
      <c r="B6" s="17" t="inlineStr">
        <is>
          <t>ScienceDirect</t>
        </is>
      </c>
      <c r="C6" s="17" t="inlineStr">
        <is>
          <t>Thabiso Matsaba</t>
        </is>
      </c>
      <c r="D6" s="17" t="inlineStr">
        <is>
          <t>Automatic translation of natural language requirements into CTL specifications using Large Language Models: A multi-approach evaluation</t>
        </is>
      </c>
      <c r="E6" s="17" t="inlineStr">
        <is>
          <t>Zrelli, Rim; Misson, Henrique Amaral; Attia, Marwa Ben; de Magalhaes, Felipe Gohring; Shabah, Abdo; Nicolescu, Gabriela</t>
        </is>
      </c>
      <c r="F6" s="17" t="n">
        <v>2026</v>
      </c>
      <c r="G6" s="17" t="inlineStr">
        <is>
          <t>Journal of Systems and Software</t>
        </is>
      </c>
      <c r="H6" s="17" t="inlineStr">
        <is>
          <t>https://doi.org/10.1016/j.jss.2026.112941</t>
        </is>
      </c>
      <c r="I6" s="17" t="inlineStr">
        <is>
          <t>Fine-tuning &amp; prompting LLMs to translate natural language requirements into CTL formal verification models. Multi-approach evaluation.</t>
        </is>
      </c>
      <c r="J6" s="17" t="inlineStr">
        <is>
          <t>Include</t>
        </is>
      </c>
      <c r="K6" s="17" t="inlineStr">
        <is>
          <t>Include</t>
        </is>
      </c>
      <c r="L6" s="17" t="inlineStr">
        <is>
          <t>Include</t>
        </is>
      </c>
      <c r="M6" s="17" t="inlineStr"/>
    </row>
    <row r="7" ht="15" customHeight="1" s="12">
      <c r="A7" s="17" t="n">
        <v>5</v>
      </c>
      <c r="B7" s="17" t="inlineStr">
        <is>
          <t>ScienceDirect</t>
        </is>
      </c>
      <c r="C7" s="17" t="inlineStr">
        <is>
          <t>Thabiso Matsaba</t>
        </is>
      </c>
      <c r="D7" s="17" t="inlineStr">
        <is>
          <t>Detecting semantic alignments between textual specifications and domain models</t>
        </is>
      </c>
      <c r="E7" s="17" t="inlineStr">
        <is>
          <t>Shimangaud, Shwetali; Burgueño, Lola; Kienzle, Jörg; Saini, Rijul</t>
        </is>
      </c>
      <c r="F7" s="17" t="n">
        <v>2026</v>
      </c>
      <c r="G7" s="17" t="inlineStr">
        <is>
          <t>Information and Software Technology</t>
        </is>
      </c>
      <c r="H7" s="17" t="inlineStr">
        <is>
          <t>https://doi.org/10.1016/j.infsof.2026.108154</t>
        </is>
      </c>
      <c r="I7" s="17" t="inlineStr">
        <is>
          <t>Applies NLP and LLMs to detect alignments and misalignments between textual specifications and domain models with high precision.</t>
        </is>
      </c>
      <c r="J7" s="17" t="inlineStr">
        <is>
          <t>Include</t>
        </is>
      </c>
      <c r="K7" s="17" t="inlineStr">
        <is>
          <t>Include</t>
        </is>
      </c>
      <c r="L7" s="17" t="inlineStr">
        <is>
          <t>Include</t>
        </is>
      </c>
      <c r="M7" s="17" t="inlineStr"/>
    </row>
    <row r="8" ht="15" customHeight="1" s="12">
      <c r="A8" s="17" t="n">
        <v>6</v>
      </c>
      <c r="B8" s="17" t="inlineStr">
        <is>
          <t>ScienceDirect</t>
        </is>
      </c>
      <c r="C8" s="17" t="inlineStr">
        <is>
          <t>Thabiso Matsaba</t>
        </is>
      </c>
      <c r="D8" s="17" t="inlineStr">
        <is>
          <t>Assessing UML diagrams by GPT: Implications for education</t>
        </is>
      </c>
      <c r="E8" s="17" t="inlineStr">
        <is>
          <t>Wang, Chong; Wang, Beian; Liang, Peng; Liang, Jie</t>
        </is>
      </c>
      <c r="F8" s="17" t="n">
        <v>2026</v>
      </c>
      <c r="G8" s="17" t="inlineStr">
        <is>
          <t>Journal of Systems and Software</t>
        </is>
      </c>
      <c r="H8" s="17" t="inlineStr">
        <is>
          <t>https://doi.org/10.1016/j.jss.2025.112709</t>
        </is>
      </c>
      <c r="I8" s="17" t="inlineStr">
        <is>
          <t>Evaluates GPT’s capabilities in assessing and grading UML use case, class, and sequence diagrams against expert baselines. Educational implications.</t>
        </is>
      </c>
      <c r="J8" s="17" t="inlineStr">
        <is>
          <t>Include</t>
        </is>
      </c>
      <c r="K8" s="17" t="inlineStr">
        <is>
          <t>Include</t>
        </is>
      </c>
      <c r="L8" s="17" t="inlineStr">
        <is>
          <t>Include</t>
        </is>
      </c>
      <c r="M8" s="17" t="inlineStr"/>
    </row>
    <row r="9" ht="15" customHeight="1" s="12">
      <c r="A9" s="17" t="n">
        <v>7</v>
      </c>
      <c r="B9" s="17" t="inlineStr">
        <is>
          <t>ScienceDirect</t>
        </is>
      </c>
      <c r="C9" s="17" t="inlineStr">
        <is>
          <t>Thabiso Matsaba</t>
        </is>
      </c>
      <c r="D9" s="17" t="inlineStr">
        <is>
          <t>Automated spectrum-based model fault localization within a search framework</t>
        </is>
      </c>
      <c r="E9" s="17" t="inlineStr">
        <is>
          <t>Shu, Ting; Xue, Xinru; Yin, Xuesong; Xia, Jinsong</t>
        </is>
      </c>
      <c r="F9" s="17" t="n">
        <v>2025</v>
      </c>
      <c r="G9" s="17" t="inlineStr">
        <is>
          <t>Journal of Systems and Software</t>
        </is>
      </c>
      <c r="H9" s="17" t="inlineStr">
        <is>
          <t>https://doi.org/10.1016/j.jss.2025.112576</t>
        </is>
      </c>
      <c r="I9" s="17" t="inlineStr">
        <is>
          <t>Applies Whale Optimization Algorithm and Learning-to-Rank for spectrum-based fault localization on Extended Finite State Machines (EFSM).</t>
        </is>
      </c>
      <c r="J9" s="17" t="inlineStr">
        <is>
          <t>Include</t>
        </is>
      </c>
      <c r="K9" s="17" t="inlineStr">
        <is>
          <t>Include</t>
        </is>
      </c>
      <c r="L9" s="17" t="inlineStr">
        <is>
          <t>Include</t>
        </is>
      </c>
      <c r="M9" s="17" t="inlineStr"/>
    </row>
    <row r="10" ht="15" customHeight="1" s="12">
      <c r="A10" s="17" t="n">
        <v>8</v>
      </c>
      <c r="B10" s="17" t="inlineStr">
        <is>
          <t>ScienceDirect</t>
        </is>
      </c>
      <c r="C10" s="17" t="inlineStr">
        <is>
          <t>Thabiso Matsaba</t>
        </is>
      </c>
      <c r="D10" s="17" t="inlineStr">
        <is>
          <t>An architecture for model-based and intelligent automation in DevOps</t>
        </is>
      </c>
      <c r="E10" s="17" t="inlineStr">
        <is>
          <t>Eramo, Romina; Said, Bilal; Oriol, Marc; Bruneliere, Hugo; Morales, Sergio</t>
        </is>
      </c>
      <c r="F10" s="17" t="n">
        <v>2024</v>
      </c>
      <c r="G10" s="17" t="inlineStr">
        <is>
          <t>Journal of Systems and Software</t>
        </is>
      </c>
      <c r="H10" s="17" t="inlineStr">
        <is>
          <t>https://doi.org/10.1016/j.jss.2024.112180</t>
        </is>
      </c>
      <c r="I10" s="17" t="inlineStr">
        <is>
          <t>The AIDOaRt framework integrating AI/ML and Model-Driven Engineering for continuous system validation across multiple industrial case studies.</t>
        </is>
      </c>
      <c r="J10" s="17" t="inlineStr">
        <is>
          <t>Include</t>
        </is>
      </c>
      <c r="K10" s="17" t="inlineStr">
        <is>
          <t>Include</t>
        </is>
      </c>
      <c r="L10" s="17" t="inlineStr">
        <is>
          <t>Include</t>
        </is>
      </c>
      <c r="M10" s="17" t="inlineStr"/>
    </row>
    <row r="11" ht="15" customHeight="1" s="12">
      <c r="A11" s="17" t="n">
        <v>9</v>
      </c>
      <c r="B11" s="17" t="inlineStr">
        <is>
          <t>ScienceDirect</t>
        </is>
      </c>
      <c r="C11" s="17" t="inlineStr">
        <is>
          <t>Thabiso Matsaba</t>
        </is>
      </c>
      <c r="D11" s="17" t="inlineStr">
        <is>
          <t>Convolutional neural networks for enhanced classification mechanisms of metamodels</t>
        </is>
      </c>
      <c r="E11" s="17" t="inlineStr">
        <is>
          <t>Nguyen, Phuong T.; Di Ruscio, Davide; Pierantonio, Alfonso; Di Rocco, Juri; Iovino, Ludovico</t>
        </is>
      </c>
      <c r="F11" s="17" t="n">
        <v>2021</v>
      </c>
      <c r="G11" s="17" t="inlineStr">
        <is>
          <t>Journal of Systems and Software</t>
        </is>
      </c>
      <c r="H11" s="17" t="inlineStr">
        <is>
          <t>https://doi.org/10.1016/j.jss.2020.110860</t>
        </is>
      </c>
      <c r="I11" s="17" t="inlineStr">
        <is>
          <t>Uses deep Convolutional Neural Networks (memoCNN) to automatically categorize and manage Ecore metamodel repositories.</t>
        </is>
      </c>
      <c r="J11" s="17" t="inlineStr">
        <is>
          <t>Include</t>
        </is>
      </c>
      <c r="K11" s="17" t="inlineStr">
        <is>
          <t>Include</t>
        </is>
      </c>
      <c r="L11" s="17" t="inlineStr">
        <is>
          <t>Include</t>
        </is>
      </c>
      <c r="M11" s="17" t="inlineStr"/>
    </row>
    <row r="12" ht="15" customHeight="1" s="12">
      <c r="A12" s="17" t="n">
        <v>10</v>
      </c>
      <c r="B12" s="17" t="inlineStr">
        <is>
          <t>ScienceDirect</t>
        </is>
      </c>
      <c r="C12" s="17" t="inlineStr">
        <is>
          <t>Thabiso Matsaba</t>
        </is>
      </c>
      <c r="D12" s="17" t="inlineStr">
        <is>
          <t>An evolutionary approach for generating software models: The case of Kromaia in Game Software Engineering</t>
        </is>
      </c>
      <c r="E12" s="17" t="inlineStr">
        <is>
          <t>Blasco, Daniel; Font, Jaime; Zamorano, Mar; Cetina, Carlos</t>
        </is>
      </c>
      <c r="F12" s="17" t="n">
        <v>2021</v>
      </c>
      <c r="G12" s="17" t="inlineStr">
        <is>
          <t>Journal of Systems and Software</t>
        </is>
      </c>
      <c r="H12" s="17" t="inlineStr">
        <is>
          <t>https://doi.org/10.1016/j.jss.2020.110804</t>
        </is>
      </c>
      <c r="I12" s="17" t="inlineStr">
        <is>
          <t>Evolutionary model generation (EMoGen) producing industrial software models of &gt;1000 elements in 5 hours versus 10 months of manual effort (Kromaia game).</t>
        </is>
      </c>
      <c r="J12" s="17" t="inlineStr">
        <is>
          <t>Include</t>
        </is>
      </c>
      <c r="K12" s="17" t="inlineStr">
        <is>
          <t>Include</t>
        </is>
      </c>
      <c r="L12" s="17" t="inlineStr">
        <is>
          <t>Include</t>
        </is>
      </c>
      <c r="M12" s="17" t="inlineStr"/>
    </row>
    <row r="13" ht="15" customHeight="1" s="12">
      <c r="A13" s="17" t="n">
        <v>11</v>
      </c>
      <c r="B13" s="17" t="inlineStr">
        <is>
          <t>ScienceDirect</t>
        </is>
      </c>
      <c r="C13" s="17" t="inlineStr">
        <is>
          <t>Thabiso Matsaba</t>
        </is>
      </c>
      <c r="D13" s="17" t="inlineStr">
        <is>
          <t>Comparison of search strategies for feature location in software models</t>
        </is>
      </c>
      <c r="E13" s="17" t="inlineStr">
        <is>
          <t>Echeverría, Jorge; Font, Jaime; Pérez, Francisca; Cetina, Carlos</t>
        </is>
      </c>
      <c r="F13" s="17" t="n">
        <v>2021</v>
      </c>
      <c r="G13" s="17" t="inlineStr">
        <is>
          <t>Journal of Systems and Software</t>
        </is>
      </c>
      <c r="H13" s="17" t="inlineStr">
        <is>
          <t>https://doi.org/10.1016/j.jss.2021.111037</t>
        </is>
      </c>
      <c r="I13" s="17" t="inlineStr">
        <is>
          <t>Evaluates metaheuristic search algorithms (random search, ILS, hill climbing, evolutionary algorithm, hybrid) across 1,895 feature location problems from 40 industrial software product lines.</t>
        </is>
      </c>
      <c r="J13" s="17" t="inlineStr">
        <is>
          <t>Include</t>
        </is>
      </c>
      <c r="K13" s="17" t="inlineStr">
        <is>
          <t>Include</t>
        </is>
      </c>
      <c r="L13" s="17" t="inlineStr">
        <is>
          <t>Include</t>
        </is>
      </c>
      <c r="M13" s="17" t="inlineStr"/>
    </row>
    <row r="14" ht="15" customHeight="1" s="12">
      <c r="A14" s="17" t="n">
        <v>12</v>
      </c>
      <c r="B14" s="17" t="inlineStr">
        <is>
          <t>ScienceDirect</t>
        </is>
      </c>
      <c r="C14" s="17" t="inlineStr">
        <is>
          <t>Thabiso Matsaba</t>
        </is>
      </c>
      <c r="D14" s="17" t="inlineStr">
        <is>
          <t>MOMM: Multi-objective model merging</t>
        </is>
      </c>
      <c r="E14" s="17" t="inlineStr">
        <is>
          <t>Mansoor, Usman; Kessentini, Marouane; Langer, Philip; Wimmer, Manuel; Bechikh, Slim; Deb, Kalyanmoy</t>
        </is>
      </c>
      <c r="F14" s="17" t="n">
        <v>2015</v>
      </c>
      <c r="G14" s="17" t="inlineStr">
        <is>
          <t>Journal of Systems and Software</t>
        </is>
      </c>
      <c r="H14" s="17" t="inlineStr">
        <is>
          <t>https://doi.org/10.1016/j.jss.2014.11.043</t>
        </is>
      </c>
      <c r="I14" s="17" t="inlineStr">
        <is>
          <t>NSGA-II multi-objective optimization approach for resolving conflicts in collaborative model engineering (model merging).</t>
        </is>
      </c>
      <c r="J14" s="17" t="inlineStr">
        <is>
          <t>Include</t>
        </is>
      </c>
      <c r="K14" s="17" t="inlineStr">
        <is>
          <t>Include</t>
        </is>
      </c>
      <c r="L14" s="17" t="inlineStr">
        <is>
          <t>Include</t>
        </is>
      </c>
      <c r="M14" s="17" t="inlineStr"/>
    </row>
    <row r="15" ht="15" customHeight="1" s="12">
      <c r="A15" s="17" t="n">
        <v>13</v>
      </c>
      <c r="B15" s="17" t="inlineStr">
        <is>
          <t>ScienceDirect</t>
        </is>
      </c>
      <c r="C15" s="17" t="inlineStr">
        <is>
          <t>Thabiso Matsaba</t>
        </is>
      </c>
      <c r="D15" s="17" t="inlineStr">
        <is>
          <t>QExplore: An exploration strategy for dynamic web applications using guided search</t>
        </is>
      </c>
      <c r="E15" s="17" t="inlineStr">
        <is>
          <t>Sherin, Salman; Muqeet, Asmar; Khan, Muhammad Uzair; Iqbal, Muhammad Zohaib</t>
        </is>
      </c>
      <c r="F15" s="17" t="n">
        <v>2023</v>
      </c>
      <c r="G15" s="17" t="inlineStr">
        <is>
          <t>Journal of Systems and Software</t>
        </is>
      </c>
      <c r="H15" s="17" t="inlineStr">
        <is>
          <t>https://doi.org/10.1016/j.jss.2022.111512</t>
        </is>
      </c>
      <c r="I15" s="17" t="inlineStr">
        <is>
          <t>Reinforcement learning (Q-learning) based exploration strategy for dynamic web applications, synthesizing behavioral state models.</t>
        </is>
      </c>
      <c r="J15" s="17" t="inlineStr">
        <is>
          <t>Include</t>
        </is>
      </c>
      <c r="K15" s="17" t="inlineStr">
        <is>
          <t>Include</t>
        </is>
      </c>
      <c r="L15" s="17" t="inlineStr">
        <is>
          <t>Include</t>
        </is>
      </c>
      <c r="M15" s="17" t="inlineStr"/>
    </row>
    <row r="16" ht="15" customHeight="1" s="12">
      <c r="A16" s="17" t="n">
        <v>14</v>
      </c>
      <c r="B16" s="17" t="inlineStr">
        <is>
          <t>ScienceDirect</t>
        </is>
      </c>
      <c r="C16" s="17" t="inlineStr">
        <is>
          <t>Thabiso Matsaba</t>
        </is>
      </c>
      <c r="D16" s="17" t="inlineStr">
        <is>
          <t>On the understandability of machine learning practices in deep learning and reinforcement learning based systems</t>
        </is>
      </c>
      <c r="E16" s="17" t="inlineStr">
        <is>
          <t>Ntentos, Evangelos; Warnett, Stephen John; Zdun, Uwe</t>
        </is>
      </c>
      <c r="F16" s="17" t="n">
        <v>2025</v>
      </c>
      <c r="G16" s="17" t="inlineStr">
        <is>
          <t>Journal of Systems and Software</t>
        </is>
      </c>
      <c r="H16" s="17" t="inlineStr">
        <is>
          <t>https://doi.org/10.1016/j.jss.2025.112343</t>
        </is>
      </c>
      <c r="I16" s="17" t="inlineStr">
        <is>
          <t>Machine learning (ML) has emerged as a transformative subject, using various algorithms to help systems analyze data and make predictions. Deep Learning (DL) uses neural networks to address hard problems. Reinforcement Learning (RL) is a way to solve problems by making consecutive decisions. Understanding ML systems based only on the source code is often a challenging task, especially for inexperi</t>
        </is>
      </c>
      <c r="J16" s="17" t="inlineStr">
        <is>
          <t>Include</t>
        </is>
      </c>
      <c r="K16" s="17" t="inlineStr">
        <is>
          <t>Include</t>
        </is>
      </c>
      <c r="L16" s="17" t="inlineStr">
        <is>
          <t>Include</t>
        </is>
      </c>
      <c r="M16" s="17" t="inlineStr"/>
    </row>
    <row r="17" ht="15" customHeight="1" s="12">
      <c r="A17" s="17" t="n">
        <v>15</v>
      </c>
      <c r="B17" s="17" t="inlineStr">
        <is>
          <t>ScienceDirect</t>
        </is>
      </c>
      <c r="C17" s="17" t="inlineStr">
        <is>
          <t>Thabiso Matsaba</t>
        </is>
      </c>
      <c r="D17" s="17" t="inlineStr">
        <is>
          <t>Investigating the performance of personalized models for software defect prediction</t>
        </is>
      </c>
      <c r="E17" s="17" t="inlineStr">
        <is>
          <t>Eken, Beyza; Tosun, Ayse</t>
        </is>
      </c>
      <c r="F17" s="17" t="n">
        <v>2021</v>
      </c>
      <c r="G17" s="17" t="inlineStr">
        <is>
          <t>Journal of Systems and Software</t>
        </is>
      </c>
      <c r="H17" s="17" t="inlineStr">
        <is>
          <t>https://doi.org/10.1016/j.jss.2021.111038</t>
        </is>
      </c>
      <c r="I17" s="17" t="inlineStr">
        <is>
          <t>Software defect predictors exploring developer perspective reveal that code changes made by separate developers tend to have different defect patterns. Personalized defect prediction also contributes to this view and gives promising results. We aim to investigate the performance of personalized defect predictors compared to those of traditional models. We conduct an empirical study on six open-sou</t>
        </is>
      </c>
      <c r="J17" s="17" t="inlineStr">
        <is>
          <t>Include</t>
        </is>
      </c>
      <c r="K17" s="17" t="inlineStr">
        <is>
          <t>Include</t>
        </is>
      </c>
      <c r="L17" s="17" t="inlineStr">
        <is>
          <t>Include</t>
        </is>
      </c>
      <c r="M17" s="17" t="inlineStr"/>
    </row>
    <row r="18" ht="15" customHeight="1" s="12">
      <c r="A18" s="17" t="n">
        <v>16</v>
      </c>
      <c r="B18" s="17" t="inlineStr">
        <is>
          <t>ScienceDirect</t>
        </is>
      </c>
      <c r="C18" s="17" t="inlineStr">
        <is>
          <t>Thabiso Matsaba</t>
        </is>
      </c>
      <c r="D18" s="17" t="inlineStr">
        <is>
          <t>Predictive maintenance using digital twins: A systematic literature review</t>
        </is>
      </c>
      <c r="E18" s="17" t="inlineStr">
        <is>
          <t>van Dinter, Raymon; Tekinerdogan, Bedir; Catal, Cagatay</t>
        </is>
      </c>
      <c r="F18" s="17" t="n">
        <v>2022</v>
      </c>
      <c r="G18" s="17" t="inlineStr">
        <is>
          <t>Information and Software Technology</t>
        </is>
      </c>
      <c r="H18" s="17" t="inlineStr">
        <is>
          <t>https://doi.org/10.1016/j.infsof.2022.107008</t>
        </is>
      </c>
      <c r="I18" s="17" t="inlineStr">
        <is>
          <t>Context
Predictive maintenance is a technique for creating a more sustainable, safe, and profitable industry. One of the key challenges for creating predictive maintenance systems is the lack of failure data, as the machine is frequently repaired before failure. Digital Twins provide a real-time representation of the physical machine and generate data, such as asset degradation, which the predicti</t>
        </is>
      </c>
      <c r="J18" s="17" t="inlineStr">
        <is>
          <t>Include</t>
        </is>
      </c>
      <c r="K18" s="17" t="inlineStr">
        <is>
          <t>Include</t>
        </is>
      </c>
      <c r="L18" s="17" t="inlineStr">
        <is>
          <t>Include</t>
        </is>
      </c>
      <c r="M18" s="17" t="inlineStr"/>
    </row>
    <row r="19" ht="15" customHeight="1" s="12">
      <c r="A19" s="17" t="n">
        <v>17</v>
      </c>
      <c r="B19" s="17" t="inlineStr">
        <is>
          <t>ScienceDirect</t>
        </is>
      </c>
      <c r="C19" s="17" t="inlineStr">
        <is>
          <t>Thabiso Matsaba</t>
        </is>
      </c>
      <c r="D19" s="17" t="inlineStr">
        <is>
          <t>A model-driven, metrics-based approach to assessing support for quality aspects in MLOps system architectures</t>
        </is>
      </c>
      <c r="E19" s="17" t="inlineStr">
        <is>
          <t>Warnett, Stephen John; Ntentos, Evangelos; Zdun, Uwe</t>
        </is>
      </c>
      <c r="F19" s="17" t="n">
        <v>2025</v>
      </c>
      <c r="G19" s="17" t="inlineStr">
        <is>
          <t>Journal of Systems and Software</t>
        </is>
      </c>
      <c r="H19" s="17" t="inlineStr">
        <is>
          <t>https://doi.org/10.1016/j.jss.2024.112257</t>
        </is>
      </c>
      <c r="I19" s="17" t="inlineStr">
        <is>
          <t>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t>
        </is>
      </c>
      <c r="J19" s="17" t="inlineStr">
        <is>
          <t>Include</t>
        </is>
      </c>
      <c r="K19" s="17" t="inlineStr">
        <is>
          <t>Include</t>
        </is>
      </c>
      <c r="L19" s="17" t="inlineStr">
        <is>
          <t>Include</t>
        </is>
      </c>
      <c r="M19" s="17" t="inlineStr"/>
    </row>
    <row r="20" ht="15" customHeight="1" s="12">
      <c r="A20" s="17" t="n">
        <v>18</v>
      </c>
      <c r="B20" s="17" t="inlineStr">
        <is>
          <t>ScienceDirect</t>
        </is>
      </c>
      <c r="C20" s="17" t="inlineStr">
        <is>
          <t>Thabiso Matsaba</t>
        </is>
      </c>
      <c r="D20" s="17" t="inlineStr">
        <is>
          <t>Barriers and enablers for traceability and federation in model-based digital twin engineering</t>
        </is>
      </c>
      <c r="E20" s="17" t="inlineStr">
        <is>
          <t>Berardinelli, Luca; Muttillo, Vittoriano; Bruneliere, Hugo; Eramo, Romina; Bucaioni, Alessio; Combemale, Benoit; Ristov, Sashko; Gritsch, Philipp; Khe</t>
        </is>
      </c>
      <c r="F20" s="17" t="n">
        <v>2026</v>
      </c>
      <c r="G20" s="17" t="inlineStr">
        <is>
          <t>Information and Software Technology</t>
        </is>
      </c>
      <c r="H20" s="17" t="inlineStr">
        <is>
          <t>https://doi.org/10.1016/j.infsof.2026.108230</t>
        </is>
      </c>
      <c r="I20" s="17" t="inlineStr">
        <is>
          <t>Context:
Digital Twins (DTs) have gained significant momentum over the past decade, reshaping industrial practices across various sectors, including manufacturing, construction, and infrastructure management. While this rapid adoption has driven innovation in cyber–physical integration, the scientific foundations and engineering principles of DTs are still being actively developed.
Objective:
Alth</t>
        </is>
      </c>
      <c r="J20" s="17" t="inlineStr">
        <is>
          <t>Include</t>
        </is>
      </c>
      <c r="K20" s="17" t="inlineStr">
        <is>
          <t>Include</t>
        </is>
      </c>
      <c r="L20" s="17" t="inlineStr">
        <is>
          <t>Include</t>
        </is>
      </c>
      <c r="M20" s="17" t="inlineStr"/>
    </row>
    <row r="21" ht="15" customHeight="1" s="12">
      <c r="A21" s="17" t="n">
        <v>19</v>
      </c>
      <c r="B21" s="17" t="inlineStr">
        <is>
          <t>ScienceDirect</t>
        </is>
      </c>
      <c r="C21" s="17" t="inlineStr">
        <is>
          <t>Thabiso Matsaba</t>
        </is>
      </c>
      <c r="D21" s="17" t="inlineStr">
        <is>
          <t>HarmonyCAS: A model-driven framework for facilitating interoperability in context-aware systems</t>
        </is>
      </c>
      <c r="E21" s="17" t="inlineStr">
        <is>
          <t>Barangi, Hamed; Rahimi, Shekoufeh Kolahdouz; Zamani, Bahman; Moradi, Hossein</t>
        </is>
      </c>
      <c r="F21" s="17" t="n">
        <v>2026</v>
      </c>
      <c r="G21" s="17" t="inlineStr">
        <is>
          <t>Journal of Systems and Software</t>
        </is>
      </c>
      <c r="H21" s="17" t="inlineStr">
        <is>
          <t>https://doi.org/10.1016/j.jss.2025.112611</t>
        </is>
      </c>
      <c r="I21" s="17" t="inlineStr">
        <is>
          <t>The growing adoption of Context-Aware Systems (CAS), driven by advancements in ubiquitous computing and the Internet of Things (IoT), has heightened the need for seamless context sharing across heterogeneous domains. However, achieving interoperability remains a significant challenge, particularly in addressing syntactic (e.g., data format conflicts) and semantic (e.g., differing conceptual defini</t>
        </is>
      </c>
      <c r="J21" s="17" t="inlineStr">
        <is>
          <t>Include</t>
        </is>
      </c>
      <c r="K21" s="17" t="inlineStr">
        <is>
          <t>Include</t>
        </is>
      </c>
      <c r="L21" s="17" t="inlineStr">
        <is>
          <t>Include</t>
        </is>
      </c>
      <c r="M21" s="17" t="inlineStr"/>
    </row>
    <row r="22" ht="15" customHeight="1" s="12">
      <c r="A22" s="17" t="n">
        <v>20</v>
      </c>
      <c r="B22" s="17" t="inlineStr">
        <is>
          <t>ScienceDirect</t>
        </is>
      </c>
      <c r="C22" s="17" t="inlineStr">
        <is>
          <t>Thabiso Matsaba</t>
        </is>
      </c>
      <c r="D22" s="17" t="inlineStr">
        <is>
          <t>Model-based M2M transformations based on drag-and-drop actions: Approach and implementation</t>
        </is>
      </c>
      <c r="E22" s="17" t="inlineStr">
        <is>
          <t>Skersys, Tomas; Danenas, Paulius; Butleris, Rimantas</t>
        </is>
      </c>
      <c r="F22" s="17" t="n">
        <v>2016</v>
      </c>
      <c r="G22" s="17" t="inlineStr">
        <is>
          <t>Journal of Systems and Software</t>
        </is>
      </c>
      <c r="H22" s="17" t="inlineStr">
        <is>
          <t>https://doi.org/10.1016/j.jss.2016.09.046</t>
        </is>
      </c>
      <c r="I22" s="17" t="inlineStr">
        <is>
          <t>In the context of model-driven development, model-to-model (M2M) transformations are often positioned as one of the key selling features of this ever-growing paradigm. Indeed, M2M transformations can speed up the development process by automating certain modeling tasks, enable reusability of existing models within a single or even multiple projects, and bring other actual benefits to a systems dev</t>
        </is>
      </c>
      <c r="J22" s="17" t="inlineStr">
        <is>
          <t>Include</t>
        </is>
      </c>
      <c r="K22" s="17" t="inlineStr">
        <is>
          <t>Include</t>
        </is>
      </c>
      <c r="L22" s="17" t="inlineStr">
        <is>
          <t>Include</t>
        </is>
      </c>
      <c r="M22" s="17" t="inlineStr"/>
    </row>
    <row r="23" ht="15" customHeight="1" s="12">
      <c r="A23" s="17" t="n">
        <v>21</v>
      </c>
      <c r="B23" s="17" t="inlineStr">
        <is>
          <t>ScienceDirect</t>
        </is>
      </c>
      <c r="C23" s="17" t="inlineStr">
        <is>
          <t>Thabiso Matsaba</t>
        </is>
      </c>
      <c r="D23" s="17" t="inlineStr">
        <is>
          <t>RAIDAD: A model-driven framework for automated and agile development of IoT data analysis software</t>
        </is>
      </c>
      <c r="E23" s="17" t="inlineStr">
        <is>
          <t>Gholami, Mohsen; Zamani, Bahman; Ghahfarokhi, Behrouz Shahgholi</t>
        </is>
      </c>
      <c r="F23" s="17" t="n">
        <v>2025</v>
      </c>
      <c r="G23" s="17" t="inlineStr">
        <is>
          <t>Information and Software Technology</t>
        </is>
      </c>
      <c r="H23" s="17" t="inlineStr">
        <is>
          <t>https://doi.org/10.1016/j.infsof.2025.107818</t>
        </is>
      </c>
      <c r="I23" s="17" t="inlineStr">
        <is>
          <t>Context:
Nowadays, developing data analysis software for the IoT domain faces challenges such as complexity, repetitive tasks, and developers’ lack of domain knowledge. To address these issues, methodologies like CRISP-DM have been introduced, providing structured guidance for data analysis.
Objectives:
Despite the availability of structured methodologies, building data analysis pipelines still in</t>
        </is>
      </c>
      <c r="J23" s="17" t="inlineStr">
        <is>
          <t>Include</t>
        </is>
      </c>
      <c r="K23" s="17" t="inlineStr">
        <is>
          <t>Include</t>
        </is>
      </c>
      <c r="L23" s="17" t="inlineStr">
        <is>
          <t>Include</t>
        </is>
      </c>
      <c r="M23" s="17" t="inlineStr"/>
    </row>
    <row r="24" ht="15" customHeight="1" s="12">
      <c r="A24" s="17" t="n">
        <v>22</v>
      </c>
      <c r="B24" s="17" t="inlineStr">
        <is>
          <t>ScienceDirect</t>
        </is>
      </c>
      <c r="C24" s="17" t="inlineStr">
        <is>
          <t>Thabiso Matsaba</t>
        </is>
      </c>
      <c r="D24" s="17" t="inlineStr">
        <is>
          <t>An ontology-driven approach to target manufacturing digital models’ interoperability in developing digital twins</t>
        </is>
      </c>
      <c r="E24" s="17" t="inlineStr">
        <is>
          <t>Liu, Zhengyu; Namaki-Araghi, Sina; Sarkar, Arkopaul; Lakani, Emna; Archimede, Bernard; Karray, Mohamed Hedi</t>
        </is>
      </c>
      <c r="F24" s="17" t="n">
        <v>2026</v>
      </c>
      <c r="G24" s="17" t="inlineStr">
        <is>
          <t>Information and Software Technology</t>
        </is>
      </c>
      <c r="H24" s="17" t="inlineStr">
        <is>
          <t>https://doi.org/10.1016/j.infsof.2026.108147</t>
        </is>
      </c>
      <c r="I24" s="17" t="inlineStr">
        <is>
          <t>Digital twin (DT) development has created a significant demand for digital model generation. However, this rapid proliferation introduces a novel challenge: model silos across heterogeneous systems and lifecycle phases. Integrating increasingly complex, multidisciplinary models developed by various stakeholders remains difficult. Addressing interoperability issues is essential to ensure consistent</t>
        </is>
      </c>
      <c r="J24" s="17" t="inlineStr">
        <is>
          <t>Include</t>
        </is>
      </c>
      <c r="K24" s="17" t="inlineStr">
        <is>
          <t>Include</t>
        </is>
      </c>
      <c r="L24" s="17" t="inlineStr">
        <is>
          <t>Include</t>
        </is>
      </c>
      <c r="M24" s="17" t="inlineStr"/>
    </row>
    <row r="25" ht="15" customHeight="1" s="12">
      <c r="A25" s="17" t="n">
        <v>23</v>
      </c>
      <c r="B25" s="17" t="inlineStr">
        <is>
          <t>ScienceDirect</t>
        </is>
      </c>
      <c r="C25" s="17" t="inlineStr">
        <is>
          <t>Thabiso Matsaba</t>
        </is>
      </c>
      <c r="D25" s="17" t="inlineStr">
        <is>
          <t>Experiences and challenges from a software ecosystem for cyber–physical systems development: An empirical study on industry-academia collaboration</t>
        </is>
      </c>
      <c r="E25" s="17" t="inlineStr">
        <is>
          <t>Muttillo, Vittoriano; Eramo, Romina; Cederbladh, Johan; Strandberg, Per Erik; Ashraf, Adnan</t>
        </is>
      </c>
      <c r="F25" s="17" t="n">
        <v>2026</v>
      </c>
      <c r="G25" s="17" t="inlineStr">
        <is>
          <t>Journal of Systems and Software</t>
        </is>
      </c>
      <c r="H25" s="17" t="inlineStr">
        <is>
          <t>https://doi.org/10.1016/j.jss.2025.112579</t>
        </is>
      </c>
      <c r="I25" s="17" t="inlineStr">
        <is>
          <t>Software Ecosystem (SECO) has emerged as a crucial concept, which represents a collaborative and interconnected environment in which a variety of actors engage in developing software systems. SECOs play a key role in the development of Cyber–Physical Systems (CPSs), that present a myriad of challenges, primarily due to the need for real-time responsiveness, reliability, security, and interoperabil</t>
        </is>
      </c>
      <c r="J25" s="17" t="inlineStr">
        <is>
          <t>Include</t>
        </is>
      </c>
      <c r="K25" s="17" t="inlineStr">
        <is>
          <t>Include</t>
        </is>
      </c>
      <c r="L25" s="17" t="inlineStr">
        <is>
          <t>Include</t>
        </is>
      </c>
      <c r="M25" s="17" t="inlineStr"/>
    </row>
    <row r="26" ht="15" customHeight="1" s="12">
      <c r="A26" s="17" t="n">
        <v>24</v>
      </c>
      <c r="B26" s="17" t="inlineStr">
        <is>
          <t>ScienceDirect</t>
        </is>
      </c>
      <c r="C26" s="17" t="inlineStr">
        <is>
          <t>Thabiso Matsaba</t>
        </is>
      </c>
      <c r="D26" s="17" t="inlineStr">
        <is>
          <t>A general framework for building interactive digital twins via CAE-based synthetic data and modular deployment</t>
        </is>
      </c>
      <c r="E26" s="17" t="inlineStr">
        <is>
          <t>Biancolini, Marco Evangelos</t>
        </is>
      </c>
      <c r="F26" s="17" t="n">
        <v>2026</v>
      </c>
      <c r="G26" s="17" t="inlineStr">
        <is>
          <t>Information and Software Technology</t>
        </is>
      </c>
      <c r="H26" s="17" t="inlineStr">
        <is>
          <t>https://doi.org/10.1016/j.infsof.2026.108231</t>
        </is>
      </c>
      <c r="I26" s="17" t="inlineStr">
        <is>
          <t>Context:
Digital Twins (DTs) provide a virtual representation of physical systems, enabling real-time interaction, monitoring, and decision-making. Despite their potential, building robust and interactive DTs remains challenging, especially when experimental data are scarce or fragmented across heterogeneous domains.
Objective:
This paper aims to propose a general, reproducible, and solver-indepen</t>
        </is>
      </c>
      <c r="J26" s="17" t="inlineStr">
        <is>
          <t>Include</t>
        </is>
      </c>
      <c r="K26" s="17" t="inlineStr">
        <is>
          <t>Include</t>
        </is>
      </c>
      <c r="L26" s="17" t="inlineStr">
        <is>
          <t>Include</t>
        </is>
      </c>
      <c r="M26" s="17" t="inlineStr"/>
    </row>
    <row r="27" ht="15" customHeight="1" s="12">
      <c r="A27" s="17" t="n">
        <v>25</v>
      </c>
      <c r="B27" s="17" t="inlineStr">
        <is>
          <t>ScienceDirect</t>
        </is>
      </c>
      <c r="C27" s="17" t="inlineStr">
        <is>
          <t>Thabiso Matsaba</t>
        </is>
      </c>
      <c r="D27" s="17" t="inlineStr">
        <is>
          <t>An empirical guide to MLOps adoption: Framework, maturity model and taxonomy</t>
        </is>
      </c>
      <c r="E27" s="17" t="inlineStr">
        <is>
          <t>John, Meenu Mary; Olsson, Helena Holmström; Bosch, Jan</t>
        </is>
      </c>
      <c r="F27" s="17" t="n">
        <v>2025</v>
      </c>
      <c r="G27" s="17" t="inlineStr">
        <is>
          <t>Information and Software Technology</t>
        </is>
      </c>
      <c r="H27" s="17" t="inlineStr">
        <is>
          <t>https://doi.org/10.1016/j.infsof.2025.107725</t>
        </is>
      </c>
      <c r="I27" s="17"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t>
        </is>
      </c>
      <c r="J27" s="17" t="inlineStr">
        <is>
          <t>Include</t>
        </is>
      </c>
      <c r="K27" s="17" t="inlineStr">
        <is>
          <t>Include</t>
        </is>
      </c>
      <c r="L27" s="17" t="inlineStr">
        <is>
          <t>Include</t>
        </is>
      </c>
      <c r="M27" s="17" t="inlineStr"/>
    </row>
    <row r="28" ht="15" customHeight="1" s="12">
      <c r="A28" s="17" t="n">
        <v>26</v>
      </c>
      <c r="B28" s="17" t="inlineStr">
        <is>
          <t>ScienceDirect</t>
        </is>
      </c>
      <c r="C28" s="17" t="inlineStr">
        <is>
          <t>Thabiso Matsaba</t>
        </is>
      </c>
      <c r="D28" s="17" t="inlineStr">
        <is>
          <t>Formal requirements engineering and large language models: A two-way roadmap</t>
        </is>
      </c>
      <c r="E28" s="17" t="inlineStr">
        <is>
          <t>Ferrari, Alessio; Spoletini, Paola</t>
        </is>
      </c>
      <c r="F28" s="17" t="n">
        <v>2025</v>
      </c>
      <c r="G28" s="17" t="inlineStr">
        <is>
          <t>Information and Software Technology</t>
        </is>
      </c>
      <c r="H28" s="17" t="inlineStr">
        <is>
          <t>https://doi.org/10.1016/j.infsof.2025.107697</t>
        </is>
      </c>
      <c r="I28" s="17" t="inlineStr">
        <is>
          <t>Context:
Large Language Models (LLMs) have made remarkable advancements in emulating human linguistic capabilities, showing potential also in executing various requirements engineering (RE) tasks. However, despite their generally good performance, the adoption of LLM-generated solutions and artefacts prompts concerns about their correctness, fairness, and trustworthiness.
Objective:
This paper aim</t>
        </is>
      </c>
      <c r="J28" s="17" t="inlineStr">
        <is>
          <t>Include</t>
        </is>
      </c>
      <c r="K28" s="17" t="inlineStr">
        <is>
          <t>Include</t>
        </is>
      </c>
      <c r="L28" s="17" t="inlineStr">
        <is>
          <t>Include</t>
        </is>
      </c>
      <c r="M28" s="17" t="inlineStr"/>
    </row>
    <row r="29" ht="15" customHeight="1" s="12">
      <c r="A29" s="17" t="n">
        <v>27</v>
      </c>
      <c r="B29" s="17" t="inlineStr">
        <is>
          <t>ScienceDirect</t>
        </is>
      </c>
      <c r="C29" s="17" t="inlineStr">
        <is>
          <t>Thabiso Matsaba</t>
        </is>
      </c>
      <c r="D29" s="17" t="inlineStr">
        <is>
          <t>Mitigation strategies for confidentiality violations in software architecture using ranked feature importance</t>
        </is>
      </c>
      <c r="E29" s="17" t="inlineStr">
        <is>
          <t>Niehues, Nils; Hahner, Sebastian; Heinrich, Robert</t>
        </is>
      </c>
      <c r="F29" s="17" t="n">
        <v>2026</v>
      </c>
      <c r="G29" s="17" t="inlineStr">
        <is>
          <t>Journal of Systems and Software</t>
        </is>
      </c>
      <c r="H29" s="17" t="inlineStr">
        <is>
          <t>https://doi.org/10.1016/j.jss.2025.112761</t>
        </is>
      </c>
      <c r="I29" s="17" t="inlineStr">
        <is>
          <t>A quality attribute like confidentiality is critical to trustworthy software but unfortunately, very challenging to ensure. This is because modern software systems are complex and interconnected. Architecture-based confidentiality analysis enables the early detection of violations, helping to mitigate risks before deployment. However, uncertainty in software systems and their environments complica</t>
        </is>
      </c>
      <c r="J29" s="17" t="inlineStr">
        <is>
          <t>Include</t>
        </is>
      </c>
      <c r="K29" s="17" t="inlineStr">
        <is>
          <t>Include</t>
        </is>
      </c>
      <c r="L29" s="17" t="inlineStr">
        <is>
          <t>Include</t>
        </is>
      </c>
      <c r="M29" s="17" t="inlineStr"/>
    </row>
    <row r="30" ht="15" customHeight="1" s="12">
      <c r="A30" s="17" t="n">
        <v>28</v>
      </c>
      <c r="B30" s="17" t="inlineStr">
        <is>
          <t>ScienceDirect</t>
        </is>
      </c>
      <c r="C30" s="17" t="inlineStr">
        <is>
          <t>Thabiso Matsaba</t>
        </is>
      </c>
      <c r="D30" s="17" t="inlineStr">
        <is>
          <t>Generative AI for software architecture. Applications, challenges, and future directions</t>
        </is>
      </c>
      <c r="E30" s="17" t="inlineStr">
        <is>
          <t>Esposito, Matteo; Li, Xiaozhou; Moreschini, Sergio; Ahmad, Noman; Cerny, Tomas; Vaidhyanathan, Karthik; Lenarduzzi, Valentina; Taibi, Davide</t>
        </is>
      </c>
      <c r="F30" s="17" t="n">
        <v>2026</v>
      </c>
      <c r="G30" s="17" t="inlineStr">
        <is>
          <t>Journal of Systems and Software</t>
        </is>
      </c>
      <c r="H30" s="17" t="inlineStr">
        <is>
          <t>https://doi.org/10.1016/j.jss.2025.112607</t>
        </is>
      </c>
      <c r="I30" s="17" t="inlineStr">
        <is>
          <t>Context:
Generative Artificial Intelligence (GenAI) is transforming much of software development, yet its application in software architecture is still in its infancy.
Aim:
Systematically synthesize the use, rationale, contexts, usability, and challenges of GenAI in software architecture.
Method:
Multivocal literature review (MLR), analyzing peer-reviewed and gray literature, identifying current p</t>
        </is>
      </c>
      <c r="J30" s="17" t="inlineStr">
        <is>
          <t>Include</t>
        </is>
      </c>
      <c r="K30" s="17" t="inlineStr">
        <is>
          <t>Include</t>
        </is>
      </c>
      <c r="L30" s="17" t="inlineStr">
        <is>
          <t>Include</t>
        </is>
      </c>
      <c r="M30" s="17" t="inlineStr"/>
    </row>
    <row r="31" ht="15" customHeight="1" s="12">
      <c r="A31" s="17" t="n">
        <v>29</v>
      </c>
      <c r="B31" s="17" t="inlineStr">
        <is>
          <t>ScienceDirect</t>
        </is>
      </c>
      <c r="C31" s="17" t="inlineStr">
        <is>
          <t>Thabiso Matsaba</t>
        </is>
      </c>
      <c r="D31" s="17" t="inlineStr">
        <is>
          <t>A model-based mode-switching framework based on security vulnerability scores</t>
        </is>
      </c>
      <c r="E31" s="17" t="inlineStr">
        <is>
          <t>Riegler, Michael; Sametinger, Johannes; Vierhauser, Michael; Wimmer, Manuel</t>
        </is>
      </c>
      <c r="F31" s="17" t="n">
        <v>2023</v>
      </c>
      <c r="G31" s="17" t="inlineStr">
        <is>
          <t>Journal of Systems and Software</t>
        </is>
      </c>
      <c r="H31" s="17" t="inlineStr">
        <is>
          <t>https://doi.org/10.1016/j.jss.2023.111633</t>
        </is>
      </c>
      <c r="I31" s="17" t="inlineStr">
        <is>
          <t>Software vulnerabilities can affect critical systems within an organization impacting processes, workflows, privacy, and safety. When a software vulnerability becomes known, affected systems are at risk until appropriate updates become available and eventually deployed. This period can last from a few days to several months, during which attackers can develop exploits and take advantage of the vul</t>
        </is>
      </c>
      <c r="J31" s="17" t="inlineStr">
        <is>
          <t>Include</t>
        </is>
      </c>
      <c r="K31" s="17" t="inlineStr">
        <is>
          <t>Include</t>
        </is>
      </c>
      <c r="L31" s="17" t="inlineStr">
        <is>
          <t>Include</t>
        </is>
      </c>
      <c r="M31" s="17" t="inlineStr"/>
    </row>
    <row r="32" ht="15" customHeight="1" s="12">
      <c r="A32" s="17" t="n">
        <v>30</v>
      </c>
      <c r="B32" s="17" t="inlineStr">
        <is>
          <t>ScienceDirect</t>
        </is>
      </c>
      <c r="C32" s="17" t="inlineStr">
        <is>
          <t>Thabiso Matsaba</t>
        </is>
      </c>
      <c r="D32" s="17" t="inlineStr">
        <is>
          <t>Accessibility of low-code approaches: A systematic literature review</t>
        </is>
      </c>
      <c r="E32" s="17" t="inlineStr">
        <is>
          <t>Khalajzadeh, Hourieh; Grundy, John</t>
        </is>
      </c>
      <c r="F32" s="17" t="n">
        <v>2025</v>
      </c>
      <c r="G32" s="17" t="inlineStr">
        <is>
          <t>Information and Software Technology</t>
        </is>
      </c>
      <c r="H32" s="17" t="inlineStr">
        <is>
          <t>https://doi.org/10.1016/j.infsof.2024.107570</t>
        </is>
      </c>
      <c r="I32" s="17" t="inlineStr">
        <is>
          <t xml:space="preserve">Context:
Model-driven approaches are increasingly used in different domains, such as education, finance and app development, in order to involve non-developers in the software development process. Such tools are hugely dependent on visual elements and thus might not be accessible for users with specific challenges, e.g., visual impairments.
Objectives:
To locate and analyse existing literature on </t>
        </is>
      </c>
      <c r="J32" s="17" t="inlineStr">
        <is>
          <t>Include</t>
        </is>
      </c>
      <c r="K32" s="17" t="inlineStr">
        <is>
          <t>Include</t>
        </is>
      </c>
      <c r="L32" s="17" t="inlineStr">
        <is>
          <t>Include</t>
        </is>
      </c>
      <c r="M32" s="17" t="inlineStr"/>
    </row>
    <row r="33" ht="15" customHeight="1" s="12">
      <c r="A33" s="17" t="n">
        <v>31</v>
      </c>
      <c r="B33" s="17" t="inlineStr">
        <is>
          <t>ScienceDirect</t>
        </is>
      </c>
      <c r="C33" s="17" t="inlineStr">
        <is>
          <t>Thabiso Matsaba</t>
        </is>
      </c>
      <c r="D33" s="17" t="inlineStr">
        <is>
          <t>Early validation of cyber–physical space systems via multi-concerns integration</t>
        </is>
      </c>
      <c r="E33" s="17" t="inlineStr">
        <is>
          <t>Li, Nianyu; Tsigkanos, Christos; Jin, Zhi; Hu, Zhenjiang; Ghezzi, Carlo</t>
        </is>
      </c>
      <c r="F33" s="17" t="n">
        <v>2020</v>
      </c>
      <c r="G33" s="17" t="inlineStr">
        <is>
          <t>Journal of Systems and Software</t>
        </is>
      </c>
      <c r="H33" s="17" t="inlineStr">
        <is>
          <t>https://doi.org/10.1016/j.jss.2020.110742</t>
        </is>
      </c>
      <c r="I33" s="17" t="inlineStr">
        <is>
          <t xml:space="preserve">Cyber–physical space systems are engineered systems operating within physical space with design requirements that depend on space, e.g., regarding location or movement behavior. They are built from and depend upon the seamless integration of computation and physical components. Typical examples include systems where software-driven agents such as mobile robots explore space and perform actions to </t>
        </is>
      </c>
      <c r="J33" s="17" t="inlineStr">
        <is>
          <t>Include</t>
        </is>
      </c>
      <c r="K33" s="17" t="inlineStr">
        <is>
          <t>Include</t>
        </is>
      </c>
      <c r="L33" s="17" t="inlineStr">
        <is>
          <t>Include</t>
        </is>
      </c>
      <c r="M33" s="17" t="inlineStr"/>
    </row>
    <row r="34" ht="15" customHeight="1" s="12">
      <c r="A34" s="17" t="n">
        <v>32</v>
      </c>
      <c r="B34" s="17" t="inlineStr">
        <is>
          <t>ScienceDirect</t>
        </is>
      </c>
      <c r="C34" s="17" t="inlineStr">
        <is>
          <t>Thabiso Matsaba</t>
        </is>
      </c>
      <c r="D34" s="17" t="inlineStr">
        <is>
          <t>Model driven engineering for machine learning components: A systematic literature review</t>
        </is>
      </c>
      <c r="E34" s="17" t="inlineStr">
        <is>
          <t>Naveed, Hira; Arora, Chetan; Khalajzadeh, Hourieh; Grundy, John; Haggag, Omar</t>
        </is>
      </c>
      <c r="F34" s="17" t="n">
        <v>2024</v>
      </c>
      <c r="G34" s="17" t="inlineStr">
        <is>
          <t>Information and Software Technology</t>
        </is>
      </c>
      <c r="H34" s="17" t="inlineStr">
        <is>
          <t>https://doi.org/10.1016/j.infsof.2024.107423</t>
        </is>
      </c>
      <c r="I34" s="17" t="inlineStr">
        <is>
          <t>Context:
Machine Learning (ML) has become widely adopted as a component in many modern software applications. Due to the large volumes of data available, organizations want to increasingly leverage their data to extract meaningful insights and enhance business profitability. ML components enable predictive capabilities, anomaly detection, recommendation, accurate image and text processing, and inf</t>
        </is>
      </c>
      <c r="J34" s="17" t="inlineStr">
        <is>
          <t>Include</t>
        </is>
      </c>
      <c r="K34" s="17" t="inlineStr">
        <is>
          <t>Include</t>
        </is>
      </c>
      <c r="L34" s="17" t="inlineStr">
        <is>
          <t>Include</t>
        </is>
      </c>
      <c r="M34" s="17" t="inlineStr"/>
    </row>
    <row r="35" ht="15" customHeight="1" s="12">
      <c r="A35" s="17" t="n">
        <v>33</v>
      </c>
      <c r="B35" s="17" t="inlineStr">
        <is>
          <t>ScienceDirect</t>
        </is>
      </c>
      <c r="C35" s="17" t="inlineStr">
        <is>
          <t>Thabiso Matsaba</t>
        </is>
      </c>
      <c r="D35" s="17" t="inlineStr">
        <is>
          <t>CSAML: A language for aerospace control software architecture synthesis — Modeling, refinement, and verification</t>
        </is>
      </c>
      <c r="E35" s="17" t="inlineStr">
        <is>
          <t>Xiao, Bingxu; Dong, Yunwei; Li, Xiaofeng; Junaid, Waqas; Wang, Xiao</t>
        </is>
      </c>
      <c r="F35" s="17" t="n">
        <v>2026</v>
      </c>
      <c r="G35" s="17" t="inlineStr">
        <is>
          <t>Journal of Systems and Software</t>
        </is>
      </c>
      <c r="H35" s="17" t="inlineStr">
        <is>
          <t>https://doi.org/10.1016/j.jss.2026.112934</t>
        </is>
      </c>
      <c r="I35" s="17" t="inlineStr">
        <is>
          <t>Aerospace control software is a core component of space missions and has been increasingly studied in the context of AI-driven software synthesis to improve development efficiency and quality. However, existing approaches suffer from a fundamental semantic gap between software requirements and programs, which limits their ability to accurately synthesize software structure and behavior. Introducin</t>
        </is>
      </c>
      <c r="J35" s="17" t="inlineStr">
        <is>
          <t>Include</t>
        </is>
      </c>
      <c r="K35" s="17" t="inlineStr">
        <is>
          <t>Include</t>
        </is>
      </c>
      <c r="L35" s="17" t="inlineStr">
        <is>
          <t>Include</t>
        </is>
      </c>
      <c r="M35" s="17" t="inlineStr"/>
    </row>
    <row r="36" ht="15" customHeight="1" s="12">
      <c r="A36" s="17" t="n">
        <v>34</v>
      </c>
      <c r="B36" s="17" t="inlineStr">
        <is>
          <t>ScienceDirect</t>
        </is>
      </c>
      <c r="C36" s="17" t="inlineStr">
        <is>
          <t>Thabiso Matsaba</t>
        </is>
      </c>
      <c r="D36" s="17" t="inlineStr">
        <is>
          <t>Connecting systems engineering and domain expertise through a toolchain: A simulation-integrated MBSE approach</t>
        </is>
      </c>
      <c r="E36" s="17" t="inlineStr">
        <is>
          <t>Banagar, Isa; Kramsu, Iiso; Könnö, Juho; Andwari, Amin</t>
        </is>
      </c>
      <c r="F36" s="17" t="n">
        <v>2026</v>
      </c>
      <c r="G36" s="17" t="inlineStr">
        <is>
          <t>Journal of Systems and Software</t>
        </is>
      </c>
      <c r="H36" s="17" t="inlineStr">
        <is>
          <t>https://doi.org/10.1016/j.jss.2025.112671</t>
        </is>
      </c>
      <c r="I36" s="17" t="inlineStr">
        <is>
          <t xml:space="preserve">As the complexity of cyber-physical systems (CPS) grows, ensuring seamless collaboration between system engineers and domain experts while integrating multidomain perspectives becomes increasingly challenging. This study proposes a model-based systems engineering (MBSE) toolchain and workflow to enhance CPS development by transforming MBSE models into simulation architectures. First, a structured </t>
        </is>
      </c>
      <c r="J36" s="17" t="inlineStr">
        <is>
          <t>Include</t>
        </is>
      </c>
      <c r="K36" s="17" t="inlineStr">
        <is>
          <t>Include</t>
        </is>
      </c>
      <c r="L36" s="17" t="inlineStr">
        <is>
          <t>Include</t>
        </is>
      </c>
      <c r="M36" s="17" t="inlineStr"/>
    </row>
    <row r="37" ht="15" customHeight="1" s="12">
      <c r="A37" s="17" t="n">
        <v>35</v>
      </c>
      <c r="B37" s="17" t="inlineStr">
        <is>
          <t>ScienceDirect</t>
        </is>
      </c>
      <c r="C37" s="17" t="inlineStr">
        <is>
          <t>Thabiso Matsaba</t>
        </is>
      </c>
      <c r="D37" s="17" t="inlineStr">
        <is>
          <t>Identifying testing behaviour patterns in conceptual modelling education</t>
        </is>
      </c>
      <c r="E37" s="17" t="inlineStr">
        <is>
          <t>Cammaerts, Felix; Tramontana, Porfirio; Flores, Nuno; Doorn, Niels; Fasolino, Anna Rita; Marin, Beatriz; Paiva, Ana C.R.; Vos, Tanja E.J.; Snoeck, Mon</t>
        </is>
      </c>
      <c r="F37" s="17" t="n">
        <v>2026</v>
      </c>
      <c r="G37" s="17" t="inlineStr">
        <is>
          <t>Information and Software Technology</t>
        </is>
      </c>
      <c r="H37" s="17" t="inlineStr">
        <is>
          <t>https://doi.org/10.1016/j.infsof.2026.108279</t>
        </is>
      </c>
      <c r="I37" s="17" t="inlineStr">
        <is>
          <t>Context:
Software testing is an often used method to ensure software quality, with developers spending a significant amount of time on it. However, software testing education is underrepresented in curricula, particularly with regard to Conceptual Modelling (CM), where model-level validation is important. As a consequence, graduate students are insufficiently prepared for industry-level testing.
O</t>
        </is>
      </c>
      <c r="J37" s="17" t="inlineStr">
        <is>
          <t>Include</t>
        </is>
      </c>
      <c r="K37" s="17" t="inlineStr">
        <is>
          <t>Include</t>
        </is>
      </c>
      <c r="L37" s="17" t="inlineStr">
        <is>
          <t>Include</t>
        </is>
      </c>
      <c r="M37" s="17" t="inlineStr"/>
    </row>
    <row r="38" ht="15" customHeight="1" s="12">
      <c r="A38" s="17" t="n">
        <v>36</v>
      </c>
      <c r="B38" s="17" t="inlineStr">
        <is>
          <t>ScienceDirect</t>
        </is>
      </c>
      <c r="C38" s="17" t="inlineStr">
        <is>
          <t>Thabiso Matsaba</t>
        </is>
      </c>
      <c r="D38" s="17" t="inlineStr">
        <is>
          <t>Extracting finite state models from i* models</t>
        </is>
      </c>
      <c r="E38" s="17" t="inlineStr">
        <is>
          <t>Deb, Novarun; Chaki, Nabendu; Ghose, Aditya</t>
        </is>
      </c>
      <c r="F38" s="17" t="n">
        <v>2016</v>
      </c>
      <c r="G38" s="17" t="inlineStr">
        <is>
          <t>Journal of Systems and Software</t>
        </is>
      </c>
      <c r="H38" s="17" t="inlineStr">
        <is>
          <t>https://doi.org/10.1016/j.jss.2016.03.038</t>
        </is>
      </c>
      <c r="I38" s="17" t="inlineStr">
        <is>
          <t>i* models are inherently sequence agnostic. This makes the process of cross-checking i* models against temporal properties quite impossible. There is an immediate industrial need to bridge the gap between such a sequence agnostic model and a standardized model verifier so that model checking can be performed in the requirement analysis phase itself. In this paper, we first spell out the Naive Algo</t>
        </is>
      </c>
      <c r="J38" s="17" t="inlineStr">
        <is>
          <t>Include</t>
        </is>
      </c>
      <c r="K38" s="17" t="inlineStr">
        <is>
          <t>Include</t>
        </is>
      </c>
      <c r="L38" s="17" t="inlineStr">
        <is>
          <t>Include</t>
        </is>
      </c>
      <c r="M38" s="17" t="inlineStr"/>
    </row>
    <row r="39" ht="15" customHeight="1" s="12">
      <c r="A39" s="17" t="n">
        <v>37</v>
      </c>
      <c r="B39" s="17" t="inlineStr">
        <is>
          <t>ScienceDirect</t>
        </is>
      </c>
      <c r="C39" s="17" t="inlineStr">
        <is>
          <t>Thabiso Matsaba</t>
        </is>
      </c>
      <c r="D39" s="17" t="inlineStr">
        <is>
          <t>Systematic composition of independent language features</t>
        </is>
      </c>
      <c r="E39" s="17" t="inlineStr">
        <is>
          <t>Butting, Arvid; Eikermann, Robert; Kautz, Oliver; Rumpe, Bernhard; Wortmann, Andreas</t>
        </is>
      </c>
      <c r="F39" s="17" t="n">
        <v>2019</v>
      </c>
      <c r="G39" s="17" t="inlineStr">
        <is>
          <t>Journal of Systems and Software</t>
        </is>
      </c>
      <c r="H39" s="17" t="inlineStr">
        <is>
          <t>https://doi.org/10.1016/j.jss.2019.02.026</t>
        </is>
      </c>
      <c r="I39" s="17" t="inlineStr">
        <is>
          <t xml:space="preserve">Systematic reuse is crucial to efficiently engineer and deploy software languages to software experts and domain experts alike. But “software languages are software too”, and hence their engineering, customization, and reuse are subject to similar challenges. To this effect, we propose an approach for composing independent, grammar-based language syntax modules in a structured way that realizes a </t>
        </is>
      </c>
      <c r="J39" s="17" t="inlineStr">
        <is>
          <t>Include</t>
        </is>
      </c>
      <c r="K39" s="17" t="inlineStr">
        <is>
          <t>Include</t>
        </is>
      </c>
      <c r="L39" s="17" t="inlineStr">
        <is>
          <t>Include</t>
        </is>
      </c>
      <c r="M39" s="17" t="inlineStr"/>
    </row>
    <row r="40" ht="15" customHeight="1" s="12">
      <c r="A40" s="17" t="n">
        <v>38</v>
      </c>
      <c r="B40" s="17" t="inlineStr">
        <is>
          <t>ScienceDirect</t>
        </is>
      </c>
      <c r="C40" s="17" t="inlineStr">
        <is>
          <t>Thabiso Matsaba</t>
        </is>
      </c>
      <c r="D40" s="17" t="inlineStr">
        <is>
          <t>Evolution of software in automated production systems: Challenges and research directions</t>
        </is>
      </c>
      <c r="E40" s="17" t="inlineStr">
        <is>
          <t>Vogel-Heuser, Birgit; Fay, Alexander; Schaefer, Ina; Tichy, Matthias</t>
        </is>
      </c>
      <c r="F40" s="17" t="n">
        <v>2015</v>
      </c>
      <c r="G40" s="17" t="inlineStr">
        <is>
          <t>Journal of Systems and Software</t>
        </is>
      </c>
      <c r="H40" s="17" t="inlineStr">
        <is>
          <t>https://doi.org/10.1016/j.jss.2015.08.026</t>
        </is>
      </c>
      <c r="I40" s="17" t="inlineStr">
        <is>
          <t>Abstract
Coping with evolution in automated production systems implies a cross-disciplinary challenge along the system's life-cycle for variant-rich systems of high complexity. The authors from computer science and automation provide an interdisciplinary survey on challenges and state of the art in evolution of automated production systems. Selected challenges are illustrated on the case of a sim</t>
        </is>
      </c>
      <c r="J40" s="17" t="inlineStr">
        <is>
          <t>Include</t>
        </is>
      </c>
      <c r="K40" s="17" t="inlineStr">
        <is>
          <t>Include</t>
        </is>
      </c>
      <c r="L40" s="17" t="inlineStr">
        <is>
          <t>Include</t>
        </is>
      </c>
      <c r="M40" s="17" t="inlineStr"/>
    </row>
    <row r="41" ht="15" customHeight="1" s="12">
      <c r="A41" s="17" t="n">
        <v>39</v>
      </c>
      <c r="B41" s="17" t="inlineStr">
        <is>
          <t>ScienceDirect</t>
        </is>
      </c>
      <c r="C41" s="17" t="inlineStr">
        <is>
          <t>Thabiso Matsaba</t>
        </is>
      </c>
      <c r="D41" s="17" t="inlineStr">
        <is>
          <t>Dynamic analysis of quantum annealing programs</t>
        </is>
      </c>
      <c r="E41" s="17" t="inlineStr">
        <is>
          <t>Pérez-Castillo, Ricardo; Jiménez-Navajas, Luis; Piattini, Mario</t>
        </is>
      </c>
      <c r="F41" s="17" t="n">
        <v>2023</v>
      </c>
      <c r="G41" s="17" t="inlineStr">
        <is>
          <t>Journal of Systems and Software</t>
        </is>
      </c>
      <c r="H41" s="17" t="inlineStr">
        <is>
          <t>https://doi.org/10.1016/j.jss.2023.111683</t>
        </is>
      </c>
      <c r="I41" s="17" t="inlineStr">
        <is>
          <t>Quantum software engineering is emerging as a relevant field, as it deals with the challenges of producing the new quantum software, whose adoption is steadily increasing. Quantum annealing software has gained a certain market penetration, demonstrating a good performance for optimization problems. However, there are no reverse engineering techniques with which to discover the underlying optimizat</t>
        </is>
      </c>
      <c r="J41" s="17" t="inlineStr">
        <is>
          <t>Include</t>
        </is>
      </c>
      <c r="K41" s="17" t="inlineStr">
        <is>
          <t>Include</t>
        </is>
      </c>
      <c r="L41" s="17" t="inlineStr">
        <is>
          <t>Include</t>
        </is>
      </c>
      <c r="M41" s="17" t="inlineStr"/>
    </row>
    <row r="42" ht="15" customHeight="1" s="12">
      <c r="A42" s="17" t="n">
        <v>40</v>
      </c>
      <c r="B42" s="17" t="inlineStr">
        <is>
          <t>ScienceDirect</t>
        </is>
      </c>
      <c r="C42" s="17" t="inlineStr">
        <is>
          <t>Thabiso Matsaba</t>
        </is>
      </c>
      <c r="D42" s="17" t="inlineStr">
        <is>
          <t>A bibliometric assessment of software engineering scholars and institutions (2010–2017)</t>
        </is>
      </c>
      <c r="E42" s="17" t="inlineStr">
        <is>
          <t>Karanatsiou, Dimitra; Li, Yihao; Arvanitou, Elvira-Maria; Misirlis, Nikolaos; Wong, W. Eric</t>
        </is>
      </c>
      <c r="F42" s="17" t="n">
        <v>2019</v>
      </c>
      <c r="G42" s="17" t="inlineStr">
        <is>
          <t>Journal of Systems and Software</t>
        </is>
      </c>
      <c r="H42" s="17" t="inlineStr">
        <is>
          <t>https://doi.org/10.1016/j.jss.2018.10.029</t>
        </is>
      </c>
      <c r="I42" s="17" t="inlineStr">
        <is>
          <t>This paper presents the findings of a bibliometric study, targeting an eight-year period (2010–2017), with the aim of identifying: (a) emerging research directions, (b) the top-20 institutions, and (c) top-20 early stage, consolidated, and experienced scholars in the field of software engineering. To perform this goal, we performed a bibliometric study, by applying the mapping study technique on t</t>
        </is>
      </c>
      <c r="J42" s="17" t="inlineStr">
        <is>
          <t>Include</t>
        </is>
      </c>
      <c r="K42" s="17" t="inlineStr">
        <is>
          <t>Include</t>
        </is>
      </c>
      <c r="L42" s="17" t="inlineStr">
        <is>
          <t>Include</t>
        </is>
      </c>
      <c r="M42" s="17" t="inlineStr"/>
    </row>
    <row r="43" ht="15" customHeight="1" s="12">
      <c r="A43" s="17" t="n">
        <v>41</v>
      </c>
      <c r="B43" s="17" t="inlineStr">
        <is>
          <t>ScienceDirect</t>
        </is>
      </c>
      <c r="C43" s="17" t="inlineStr">
        <is>
          <t>Thabiso Matsaba</t>
        </is>
      </c>
      <c r="D43" s="17" t="inlineStr">
        <is>
          <t>EdgeWorkflow: One click to test and deploy your workflow applications to the edge</t>
        </is>
      </c>
      <c r="E43" s="17" t="inlineStr">
        <is>
          <t>Xu, Jia; Ding, Ran; Liu, Xiao; Li, Xuejun; Grundy, John; Yang, Yun</t>
        </is>
      </c>
      <c r="F43" s="17" t="n">
        <v>2022</v>
      </c>
      <c r="G43" s="17" t="inlineStr">
        <is>
          <t>Journal of Systems and Software</t>
        </is>
      </c>
      <c r="H43" s="17" t="inlineStr">
        <is>
          <t>https://doi.org/10.1016/j.jss.2022.111456</t>
        </is>
      </c>
      <c r="I43" s="17" t="inlineStr">
        <is>
          <t>In recent years, edge computing has become the ideal computing paradigm for various smart systems, such as smart logistics, smart health and smart transportation. This is due to its advantages including fast response times, energy efficiency and cost effectiveness over conventional cloud computing platforms. However, running complex computational scientific workflow tasks is still a very challengi</t>
        </is>
      </c>
      <c r="J43" s="17" t="inlineStr">
        <is>
          <t>Include</t>
        </is>
      </c>
      <c r="K43" s="17" t="inlineStr">
        <is>
          <t>Include</t>
        </is>
      </c>
      <c r="L43" s="17" t="inlineStr">
        <is>
          <t>Include</t>
        </is>
      </c>
      <c r="M43" s="17" t="inlineStr"/>
    </row>
    <row r="44" ht="15" customHeight="1" s="12">
      <c r="A44" s="17" t="n">
        <v>42</v>
      </c>
      <c r="B44" s="17" t="inlineStr">
        <is>
          <t>ScienceDirect</t>
        </is>
      </c>
      <c r="C44" s="17" t="inlineStr">
        <is>
          <t>Thabiso Matsaba</t>
        </is>
      </c>
      <c r="D44" s="17" t="inlineStr">
        <is>
          <t>A DEVS-based MBSE methodology for seamless deployment via Formal Digital Twin architectures</t>
        </is>
      </c>
      <c r="E44" s="17" t="inlineStr">
        <is>
          <t>Risco-Martín, José L.; Cárdenas, Román; Esteban, Segundo; Arroba, Patricia</t>
        </is>
      </c>
      <c r="F44" s="17" t="n">
        <v>2026</v>
      </c>
      <c r="G44" s="17" t="inlineStr">
        <is>
          <t>Information and Software Technology</t>
        </is>
      </c>
      <c r="H44" s="17" t="inlineStr">
        <is>
          <t>https://doi.org/10.1016/j.infsof.2025.107974</t>
        </is>
      </c>
      <c r="I44" s="17" t="inlineStr">
        <is>
          <t>Context:
Deploying complex Cyber-Physical Systems (CPSs) is challenging due to the gap between abstract design models and their physical implementation. This often requires manual recoding, an error-prone process that breaks the continuity from a verified model to the final deployed system.
Objective:
To bridge this gap, this paper introduces a methodology that enables a direct and seamless transi</t>
        </is>
      </c>
      <c r="J44" s="17" t="inlineStr">
        <is>
          <t>Include</t>
        </is>
      </c>
      <c r="K44" s="17" t="inlineStr">
        <is>
          <t>Include</t>
        </is>
      </c>
      <c r="L44" s="17" t="inlineStr">
        <is>
          <t>Include</t>
        </is>
      </c>
      <c r="M44" s="17" t="inlineStr"/>
    </row>
    <row r="45" ht="15" customHeight="1" s="12">
      <c r="A45" s="17" t="n">
        <v>43</v>
      </c>
      <c r="B45" s="17" t="inlineStr">
        <is>
          <t>ScienceDirect</t>
        </is>
      </c>
      <c r="C45" s="17" t="inlineStr">
        <is>
          <t>Thabiso Matsaba</t>
        </is>
      </c>
      <c r="D45" s="17" t="inlineStr">
        <is>
          <t>A controlled experiment to evaluate the understandability of KAOS and i* for modeling Teleo-Reactive systems</t>
        </is>
      </c>
      <c r="E45" s="17" t="inlineStr">
        <is>
          <t>Morales, José Miguel; Navarro, Elena; Sánchez, Pedro; Alonso, Diego</t>
        </is>
      </c>
      <c r="F45" s="17" t="n">
        <v>2015</v>
      </c>
      <c r="G45" s="17" t="inlineStr">
        <is>
          <t>Journal of Systems and Software</t>
        </is>
      </c>
      <c r="H45" s="17" t="inlineStr">
        <is>
          <t>https://doi.org/10.1016/j.jss.2014.10.010</t>
        </is>
      </c>
      <c r="I45" s="17" t="inlineStr">
        <is>
          <t>Context
Teleo-Reactive (TR) specifications allow engineers to define the behavior of reactive systems while taking into account goals and changes in the state of the environment.
Objective
This article evaluates two different Goal Oriented Requirements Engineering notations, i* and KAOS, to determine their understandability level for specifying TR systems.
Method
A controlled experiment was perfor</t>
        </is>
      </c>
      <c r="J45" s="17" t="inlineStr">
        <is>
          <t>Include</t>
        </is>
      </c>
      <c r="K45" s="17" t="inlineStr">
        <is>
          <t>Include</t>
        </is>
      </c>
      <c r="L45" s="17" t="inlineStr">
        <is>
          <t>Include</t>
        </is>
      </c>
      <c r="M45" s="17" t="inlineStr"/>
    </row>
    <row r="46" ht="15" customHeight="1" s="12">
      <c r="A46" s="17" t="n">
        <v>44</v>
      </c>
      <c r="B46" s="17" t="inlineStr">
        <is>
          <t>ScienceDirect</t>
        </is>
      </c>
      <c r="C46" s="17" t="inlineStr">
        <is>
          <t>Thabiso Matsaba</t>
        </is>
      </c>
      <c r="D46" s="17" t="inlineStr">
        <is>
          <t>Architecting data-intensive applications: From architectural design to data quality</t>
        </is>
      </c>
      <c r="E46" s="17" t="inlineStr">
        <is>
          <t>Abughazala, Moamin; Sharaf, Mohammad; Muccini, Henry</t>
        </is>
      </c>
      <c r="F46" s="17" t="n">
        <v>2026</v>
      </c>
      <c r="G46" s="17" t="inlineStr">
        <is>
          <t>Information and Software Technology</t>
        </is>
      </c>
      <c r="H46" s="17" t="inlineStr">
        <is>
          <t>https://doi.org/10.1016/j.infsof.2026.108156</t>
        </is>
      </c>
      <c r="I46" s="17" t="inlineStr">
        <is>
          <t>Context:
Data has become the lifeblood of modern business. However, as the volume of data grows exponentially, managing it has become an increasingly daunting task. The challenge is compounded by data coming from various sources, in different formats, and at different speeds. This is where data architecture provides a roadmap for describing, collecting, storing, processing, and analyzing data to m</t>
        </is>
      </c>
      <c r="J46" s="17" t="inlineStr">
        <is>
          <t>Include</t>
        </is>
      </c>
      <c r="K46" s="17" t="inlineStr">
        <is>
          <t>Include</t>
        </is>
      </c>
      <c r="L46" s="17" t="inlineStr">
        <is>
          <t>Include</t>
        </is>
      </c>
      <c r="M46" s="17" t="inlineStr"/>
    </row>
    <row r="47" ht="15" customHeight="1" s="12">
      <c r="A47" s="17" t="n">
        <v>45</v>
      </c>
      <c r="B47" s="17" t="inlineStr">
        <is>
          <t>ScienceDirect</t>
        </is>
      </c>
      <c r="C47" s="17" t="inlineStr">
        <is>
          <t>Thabiso Matsaba</t>
        </is>
      </c>
      <c r="D47" s="17" t="inlineStr">
        <is>
          <t>Trust requirements in sociotechnical systems: A systematic literature review</t>
        </is>
      </c>
      <c r="E47" s="17" t="inlineStr">
        <is>
          <t>Roque, Geicianfran; Nascimento, José; Souza, Rafael; Alves, Carina; Araújo, João</t>
        </is>
      </c>
      <c r="F47" s="17" t="n">
        <v>2025</v>
      </c>
      <c r="G47" s="17" t="inlineStr">
        <is>
          <t>Information and Software Technology</t>
        </is>
      </c>
      <c r="H47" s="17" t="inlineStr">
        <is>
          <t>https://doi.org/10.1016/j.infsof.2025.107796</t>
        </is>
      </c>
      <c r="I47" s="17" t="inlineStr">
        <is>
          <t>Context:
Trust in Sociotechnical Systems (STS) has emerged as an essential requirement in everyday interactions, with notable relevance in fostering user acceptance of novel technologies. The growing dependence on automated and interactive systems underlines the importance of understanding the trust requirements in these systems in depth.
Objective:
This study aims to synthesize primary studies th</t>
        </is>
      </c>
      <c r="J47" s="17" t="inlineStr">
        <is>
          <t>Include</t>
        </is>
      </c>
      <c r="K47" s="17" t="inlineStr">
        <is>
          <t>Include</t>
        </is>
      </c>
      <c r="L47" s="17" t="inlineStr">
        <is>
          <t>Include</t>
        </is>
      </c>
      <c r="M47" s="17" t="inlineStr"/>
    </row>
    <row r="48" ht="15" customHeight="1" s="12">
      <c r="A48" s="17" t="n">
        <v>46</v>
      </c>
      <c r="B48" s="17" t="inlineStr">
        <is>
          <t>ScienceDirect</t>
        </is>
      </c>
      <c r="C48" s="17" t="inlineStr">
        <is>
          <t>Thabiso Matsaba</t>
        </is>
      </c>
      <c r="D48" s="17" t="inlineStr">
        <is>
          <t>Supporting semi-automatic co-evolution of architecture and fault tree models</t>
        </is>
      </c>
      <c r="E48" s="17" t="inlineStr">
        <is>
          <t>Getir, Sinem; Grunske, Lars; Hoorn, André van; Kehrer, Timo; Noller, Yannic; Tichy, Matthias</t>
        </is>
      </c>
      <c r="F48" s="17" t="n">
        <v>2018</v>
      </c>
      <c r="G48" s="17" t="inlineStr">
        <is>
          <t>Journal of Systems and Software</t>
        </is>
      </c>
      <c r="H48" s="17" t="inlineStr">
        <is>
          <t>https://doi.org/10.1016/j.jss.2018.04.001</t>
        </is>
      </c>
      <c r="I48" s="17" t="inlineStr">
        <is>
          <t>During the whole life-cycle of software-intensive systems in safety-critical domains, system models must consistently co-evolve with quality evaluation models like fault trees. However, performing these co-evolution steps is a cumbersome and often manual task. To understand this problem in detail, we have analyzed the evolution and mined common changes of architecture and fault tree models for a s</t>
        </is>
      </c>
      <c r="J48" s="17" t="inlineStr">
        <is>
          <t>Include</t>
        </is>
      </c>
      <c r="K48" s="17" t="inlineStr">
        <is>
          <t>Include</t>
        </is>
      </c>
      <c r="L48" s="17" t="inlineStr">
        <is>
          <t>Include</t>
        </is>
      </c>
      <c r="M48" s="17" t="inlineStr"/>
    </row>
    <row r="49" ht="15" customHeight="1" s="12">
      <c r="A49" s="17" t="n">
        <v>47</v>
      </c>
      <c r="B49" s="17" t="inlineStr">
        <is>
          <t>ScienceDirect</t>
        </is>
      </c>
      <c r="C49" s="17" t="inlineStr">
        <is>
          <t>Thabiso Matsaba</t>
        </is>
      </c>
      <c r="D49" s="17" t="inlineStr">
        <is>
          <t>A model-driven approach for constructing ambient assisted-living multi-agent systems customized for Parkinson patients</t>
        </is>
      </c>
      <c r="E49" s="17" t="inlineStr">
        <is>
          <t>García-Magariño, Iván; Palacios-Navarro, Guillermo</t>
        </is>
      </c>
      <c r="F49" s="17" t="n">
        <v>2016</v>
      </c>
      <c r="G49" s="17" t="inlineStr">
        <is>
          <t>Journal of Systems and Software</t>
        </is>
      </c>
      <c r="H49" s="17" t="inlineStr">
        <is>
          <t>https://doi.org/10.1016/j.jss.2015.09.014</t>
        </is>
      </c>
      <c r="I49" s="17" t="inlineStr">
        <is>
          <t>The Parkinson disease affects some people, especially in the last years of their lives. Ambient assisted living systems can support them, especially in the middle stages of the disease. However, these systems usually need to be customized for each Parkinson patient. In this context, the current work follows the model-driven engineering principles to achieve this customized development. It represen</t>
        </is>
      </c>
      <c r="J49" s="17" t="inlineStr">
        <is>
          <t>Include</t>
        </is>
      </c>
      <c r="K49" s="17" t="inlineStr">
        <is>
          <t>Include</t>
        </is>
      </c>
      <c r="L49" s="17" t="inlineStr">
        <is>
          <t>Include</t>
        </is>
      </c>
      <c r="M49" s="17" t="inlineStr"/>
    </row>
    <row r="50" ht="15" customHeight="1" s="12">
      <c r="A50" s="17" t="n">
        <v>48</v>
      </c>
      <c r="B50" s="17" t="inlineStr">
        <is>
          <t>ScienceDirect</t>
        </is>
      </c>
      <c r="C50" s="17" t="inlineStr">
        <is>
          <t>Thabiso Matsaba</t>
        </is>
      </c>
      <c r="D50" s="17" t="inlineStr">
        <is>
          <t>A Systematic Literature Review of iStar extensions</t>
        </is>
      </c>
      <c r="E50" s="17" t="inlineStr">
        <is>
          <t>Gonçalves, Enyo; Castro, Jaelson; Araújo, João; Heineck, Tiago</t>
        </is>
      </c>
      <c r="F50" s="17" t="n">
        <v>2018</v>
      </c>
      <c r="G50" s="17" t="inlineStr">
        <is>
          <t>Journal of Systems and Software</t>
        </is>
      </c>
      <c r="H50" s="17" t="inlineStr">
        <is>
          <t>https://doi.org/10.1016/j.jss.2017.11.023</t>
        </is>
      </c>
      <c r="I50" s="17" t="inlineStr">
        <is>
          <t>iStar is a general-purpose goal-based modelling language used to model requirements at early and late phases of software development. It has been used in industrial and academic projects. Often the language is extended to incorporate new constructs related to an application area. The language is currently undergoing standardisation, so several studies have focused on the analysis of iStar variatio</t>
        </is>
      </c>
      <c r="J50" s="17" t="inlineStr">
        <is>
          <t>Include</t>
        </is>
      </c>
      <c r="K50" s="17" t="inlineStr">
        <is>
          <t>Include</t>
        </is>
      </c>
      <c r="L50" s="17" t="inlineStr">
        <is>
          <t>Include</t>
        </is>
      </c>
      <c r="M50" s="17" t="inlineStr"/>
    </row>
    <row r="51" ht="15" customHeight="1" s="12">
      <c r="A51" s="17" t="n">
        <v>49</v>
      </c>
      <c r="B51" s="17" t="inlineStr">
        <is>
          <t>ScienceDirect</t>
        </is>
      </c>
      <c r="C51" s="17" t="inlineStr">
        <is>
          <t>Thabiso Matsaba</t>
        </is>
      </c>
      <c r="D51" s="17" t="inlineStr">
        <is>
          <t>Commit-time defect prediction using one-class classification</t>
        </is>
      </c>
      <c r="E51" s="17" t="inlineStr">
        <is>
          <t>Shehab, Mohammed A.; Khreich, Wael; Hamou-Lhadj, Abdelwahab; Sedki, Issam</t>
        </is>
      </c>
      <c r="F51" s="17" t="n">
        <v>2024</v>
      </c>
      <c r="G51" s="17" t="inlineStr">
        <is>
          <t>Journal of Systems and Software</t>
        </is>
      </c>
      <c r="H51" s="17" t="inlineStr">
        <is>
          <t>https://doi.org/10.1016/j.jss.2023.111914</t>
        </is>
      </c>
      <c r="I51" s="17" t="inlineStr">
        <is>
          <t xml:space="preserve">Existing Just-In-Time Software Defect Prediction methods suffer from the data imbalance problem, where the majority class (normal commits) significantly outnumbers the minority class (buggy commits). This results in a higher probability of misclassification. Various data balancing techniques have been proposed to address this challenge with varying degrees of success. In this study, we propose an </t>
        </is>
      </c>
      <c r="J51" s="17" t="inlineStr">
        <is>
          <t>Include</t>
        </is>
      </c>
      <c r="K51" s="17" t="inlineStr">
        <is>
          <t>Include</t>
        </is>
      </c>
      <c r="L51" s="17" t="inlineStr">
        <is>
          <t>Include</t>
        </is>
      </c>
      <c r="M51" s="17" t="inlineStr"/>
    </row>
    <row r="52" ht="15" customHeight="1" s="12">
      <c r="A52" s="17" t="n">
        <v>50</v>
      </c>
      <c r="B52" s="17" t="inlineStr">
        <is>
          <t>ScienceDirect</t>
        </is>
      </c>
      <c r="C52" s="17" t="inlineStr">
        <is>
          <t>Thabiso Matsaba</t>
        </is>
      </c>
      <c r="D52" s="17" t="inlineStr">
        <is>
          <t>Automated engineering of domain-specific metamorphic testing environments</t>
        </is>
      </c>
      <c r="E52" s="17" t="inlineStr">
        <is>
          <t>Gómez-Abajo, Pablo; Cañizares, Pablo C.; Núñez, Alberto; Guerra, Esther; de Lara, Juan</t>
        </is>
      </c>
      <c r="F52" s="17" t="n">
        <v>2023</v>
      </c>
      <c r="G52" s="17" t="inlineStr">
        <is>
          <t>Information and Software Technology</t>
        </is>
      </c>
      <c r="H52" s="17" t="inlineStr">
        <is>
          <t>https://doi.org/10.1016/j.infsof.2023.107164</t>
        </is>
      </c>
      <c r="I52" s="17" t="inlineStr">
        <is>
          <t>Context:
Testing is essential to improve the correctness of software systems. Metamorphic testing (MT) is an approach especially suited when the system under test lacks oracles, or they are expensive to compute. However, building an MT environment for a particular domain (e.g., cloud simulation, model transformation, machine learning) requires substantial effort.
Objective:
Our goal is to facilita</t>
        </is>
      </c>
      <c r="J52" s="17" t="inlineStr">
        <is>
          <t>Include</t>
        </is>
      </c>
      <c r="K52" s="17" t="inlineStr">
        <is>
          <t>Include</t>
        </is>
      </c>
      <c r="L52" s="17" t="inlineStr">
        <is>
          <t>Include</t>
        </is>
      </c>
      <c r="M52" s="17" t="inlineStr"/>
    </row>
    <row r="53" ht="15" customHeight="1" s="12">
      <c r="A53" s="17" t="n">
        <v>51</v>
      </c>
      <c r="B53" s="17" t="inlineStr">
        <is>
          <t>ScienceDirect</t>
        </is>
      </c>
      <c r="C53" s="17" t="inlineStr">
        <is>
          <t>Thabiso Matsaba</t>
        </is>
      </c>
      <c r="D53" s="17" t="inlineStr">
        <is>
          <t>Architectural support for software performance in continuous software engineering: A systematic mapping study</t>
        </is>
      </c>
      <c r="E53" s="17" t="inlineStr">
        <is>
          <t>Eramo, Romina; Tucci, Michele; Di Pompeo, Daniele; Cortellessa, Vittorio; Di Marco, Antinisca; Taibi, Davide</t>
        </is>
      </c>
      <c r="F53" s="17" t="n">
        <v>2024</v>
      </c>
      <c r="G53" s="17" t="inlineStr">
        <is>
          <t>Journal of Systems and Software</t>
        </is>
      </c>
      <c r="H53" s="17" t="inlineStr">
        <is>
          <t>https://doi.org/10.1016/j.jss.2023.111833</t>
        </is>
      </c>
      <c r="I53" s="17" t="inlineStr">
        <is>
          <t>The continuous software engineering paradigm is gaining popularity in modern development practices, where the interleaving of design and runtime activities is induced by the continuous evolution of software systems. In this context, performance assessment is not easy, but recent studies have shown that architectural models evolving with the software can support this goal. In this paper, we present</t>
        </is>
      </c>
      <c r="J53" s="17" t="inlineStr">
        <is>
          <t>Include</t>
        </is>
      </c>
      <c r="K53" s="17" t="inlineStr">
        <is>
          <t>Include</t>
        </is>
      </c>
      <c r="L53" s="17" t="inlineStr">
        <is>
          <t>Include</t>
        </is>
      </c>
      <c r="M53" s="17" t="inlineStr"/>
    </row>
    <row r="54" ht="15" customHeight="1" s="12">
      <c r="A54" s="17" t="n">
        <v>52</v>
      </c>
      <c r="B54" s="17" t="inlineStr">
        <is>
          <t>ScienceDirect</t>
        </is>
      </c>
      <c r="C54" s="17" t="inlineStr">
        <is>
          <t>Thabiso Matsaba</t>
        </is>
      </c>
      <c r="D54" s="17" t="inlineStr">
        <is>
          <t>ACCESS: Assurance Case Centric Engineering of Safety–critical Systems</t>
        </is>
      </c>
      <c r="E54" s="17" t="inlineStr">
        <is>
          <t>Wei, Ran; Foster, Simon; Mei, Haitao; Yan, Fang; Yang, Ruizhe; Habli, Ibrahim; O’Halloran, Colin; Tudor, Nick; Kelly, Tim; Nemouchi, Yakoub</t>
        </is>
      </c>
      <c r="F54" s="17" t="n">
        <v>2024</v>
      </c>
      <c r="G54" s="17" t="inlineStr">
        <is>
          <t>Journal of Systems and Software</t>
        </is>
      </c>
      <c r="H54" s="17" t="inlineStr">
        <is>
          <t>https://doi.org/10.1016/j.jss.2024.112034</t>
        </is>
      </c>
      <c r="I54" s="17" t="inlineStr">
        <is>
          <t>Assurance cases are used to communicate and assess confidence in critical system properties such as safety and security. Historically, assurance cases have been manually created documents, which are evaluated by system stakeholders through lengthy and complicated processes. In recent years, model-based system assurance approaches have gained popularity to improve the efficiency and quality of syst</t>
        </is>
      </c>
      <c r="J54" s="17" t="inlineStr">
        <is>
          <t>Include</t>
        </is>
      </c>
      <c r="K54" s="17" t="inlineStr">
        <is>
          <t>Include</t>
        </is>
      </c>
      <c r="L54" s="17" t="inlineStr">
        <is>
          <t>Include</t>
        </is>
      </c>
      <c r="M54" s="17" t="inlineStr"/>
    </row>
    <row r="55" ht="15" customHeight="1" s="12">
      <c r="A55" s="17" t="n">
        <v>53</v>
      </c>
      <c r="B55" s="17" t="inlineStr">
        <is>
          <t>ScienceDirect</t>
        </is>
      </c>
      <c r="C55" s="17" t="inlineStr">
        <is>
          <t>Thabiso Matsaba</t>
        </is>
      </c>
      <c r="D55" s="17" t="inlineStr">
        <is>
          <t>Towards the automated extraction and refactoring of NoSQL schemas from application code</t>
        </is>
      </c>
      <c r="E55" s="17" t="inlineStr">
        <is>
          <t>Fernandez-Candel, Carlos J.; Cleve, Anthony; Garcia-Molina, Jesus J.</t>
        </is>
      </c>
      <c r="F55" s="17" t="n">
        <v>2026</v>
      </c>
      <c r="G55" s="17" t="inlineStr">
        <is>
          <t>Journal of Systems and Software</t>
        </is>
      </c>
      <c r="H55" s="17" t="inlineStr">
        <is>
          <t>https://doi.org/10.1016/j.jss.2026.112787</t>
        </is>
      </c>
      <c r="I55" s="17" t="inlineStr">
        <is>
          <t>Most NoSQL systems adopt a schema-on-read approach to promote flexibility and agility: the structure of the stored data is not constrained by predefined schemas. However, the absence of explicit schema declarations does not imply the absence of schemas themselves. In practice, schemas are implicit in both the application code and the stored data, and are essential for building tools such as data m</t>
        </is>
      </c>
      <c r="J55" s="17" t="inlineStr">
        <is>
          <t>Include</t>
        </is>
      </c>
      <c r="K55" s="17" t="inlineStr">
        <is>
          <t>Include</t>
        </is>
      </c>
      <c r="L55" s="17" t="inlineStr">
        <is>
          <t>Include</t>
        </is>
      </c>
      <c r="M55" s="17" t="inlineStr"/>
    </row>
    <row r="56" ht="15" customHeight="1" s="12">
      <c r="A56" s="17" t="n">
        <v>54</v>
      </c>
      <c r="B56" s="17" t="inlineStr">
        <is>
          <t>ScienceDirect</t>
        </is>
      </c>
      <c r="C56" s="17" t="inlineStr">
        <is>
          <t>Thabiso Matsaba</t>
        </is>
      </c>
      <c r="D56" s="17" t="inlineStr">
        <is>
          <t>Model based system assurance using the structured assurance case metamodel</t>
        </is>
      </c>
      <c r="E56" s="17" t="inlineStr">
        <is>
          <t>Wei, Ran; Kelly, Tim P.; Dai, Xiaotian; Zhao, Shuai; Hawkins, Richard</t>
        </is>
      </c>
      <c r="F56" s="17" t="n">
        <v>2019</v>
      </c>
      <c r="G56" s="17" t="inlineStr">
        <is>
          <t>Journal of Systems and Software</t>
        </is>
      </c>
      <c r="H56" s="17" t="inlineStr">
        <is>
          <t>https://doi.org/10.1016/j.jss.2019.05.013</t>
        </is>
      </c>
      <c r="I56" s="17" t="inlineStr">
        <is>
          <t>Assurance cases are used to demonstrate confidence in system properties of interest (e.g. safety and/or security). A number of system assurance approaches are adopted by industries in the safety-critical domain. However, the task of constructing assurance cases remains a manual, lenghty and informal process. The Structured Assurance Case Metamodel (SACM) is a standard specified by the Object Manag</t>
        </is>
      </c>
      <c r="J56" s="17" t="inlineStr">
        <is>
          <t>Include</t>
        </is>
      </c>
      <c r="K56" s="17" t="inlineStr">
        <is>
          <t>Include</t>
        </is>
      </c>
      <c r="L56" s="17" t="inlineStr">
        <is>
          <t>Include</t>
        </is>
      </c>
      <c r="M56" s="17" t="inlineStr"/>
    </row>
    <row r="57" ht="15" customHeight="1" s="12">
      <c r="A57" s="17" t="n">
        <v>55</v>
      </c>
      <c r="B57" s="17" t="inlineStr">
        <is>
          <t>ScienceDirect</t>
        </is>
      </c>
      <c r="C57" s="17" t="inlineStr">
        <is>
          <t>Thabiso Matsaba</t>
        </is>
      </c>
      <c r="D57" s="17" t="inlineStr">
        <is>
          <t>Using deep temporal convolutional networks to just-in-time forecast technical debt principal</t>
        </is>
      </c>
      <c r="E57" s="17" t="inlineStr">
        <is>
          <t>Ardimento, Pasquale; Aversano, Lerina; Bernardi, Mario Luca; Cimitile, Marta; Iammarino, Martina</t>
        </is>
      </c>
      <c r="F57" s="17" t="n">
        <v>2022</v>
      </c>
      <c r="G57" s="17" t="inlineStr">
        <is>
          <t>Journal of Systems and Software</t>
        </is>
      </c>
      <c r="H57" s="17" t="inlineStr">
        <is>
          <t>https://doi.org/10.1016/j.jss.2022.111481</t>
        </is>
      </c>
      <c r="I57" s="17" t="inlineStr">
        <is>
          <t xml:space="preserve">Technical debt is a widely used metaphor to summarize all the consequences of poorly written code. Managing technical debt is important for software developers to allow adequate planning for software maintenance and improvement activities, such as refactoring and preventing system degradation. Several studies in the literature investigate the identification of technical debt and its consequences. </t>
        </is>
      </c>
      <c r="J57" s="17" t="inlineStr">
        <is>
          <t>Include</t>
        </is>
      </c>
      <c r="K57" s="17" t="inlineStr">
        <is>
          <t>Include</t>
        </is>
      </c>
      <c r="L57" s="17" t="inlineStr">
        <is>
          <t>Include</t>
        </is>
      </c>
      <c r="M57" s="17" t="inlineStr"/>
    </row>
    <row r="58" ht="15" customHeight="1" s="12">
      <c r="A58" s="17" t="n">
        <v>56</v>
      </c>
      <c r="B58" s="17" t="inlineStr">
        <is>
          <t>ScienceDirect</t>
        </is>
      </c>
      <c r="C58" s="17" t="inlineStr">
        <is>
          <t>Thabiso Matsaba</t>
        </is>
      </c>
      <c r="D58" s="17" t="inlineStr">
        <is>
          <t>A systematic review on security and safety of self-adaptive systems</t>
        </is>
      </c>
      <c r="E58" s="17" t="inlineStr">
        <is>
          <t>Pekaric, Irdin; Groner, Raffaela; Witte, Thomas; Adigun, Jubril Gbolahan; Raschke, Alexander; Felderer, Michael; Tichy, Matthias</t>
        </is>
      </c>
      <c r="F58" s="17" t="n">
        <v>2023</v>
      </c>
      <c r="G58" s="17" t="inlineStr">
        <is>
          <t>Journal of Systems and Software</t>
        </is>
      </c>
      <c r="H58" s="17" t="inlineStr">
        <is>
          <t>https://doi.org/10.1016/j.jss.2023.111716</t>
        </is>
      </c>
      <c r="I58" s="17" t="inlineStr">
        <is>
          <t xml:space="preserve">Context:
Cyber–physical systems (CPS) are increasingly self-adaptive, i.e. they have the ability to introspect and change their behavior. This self-adaptation process must be considered when modeling the safety and security aspects of the system.
Objective:
This study collects and compares security attacks and safety hazards on self-adaptive systems (SAS) described in the literature. In addition, </t>
        </is>
      </c>
      <c r="J58" s="17" t="inlineStr">
        <is>
          <t>Include</t>
        </is>
      </c>
      <c r="K58" s="17" t="inlineStr">
        <is>
          <t>Include</t>
        </is>
      </c>
      <c r="L58" s="17" t="inlineStr">
        <is>
          <t>Include</t>
        </is>
      </c>
      <c r="M58" s="17" t="inlineStr"/>
    </row>
    <row r="59" ht="15" customHeight="1" s="12">
      <c r="A59" s="17" t="n">
        <v>57</v>
      </c>
      <c r="B59" s="17" t="inlineStr">
        <is>
          <t>ScienceDirect</t>
        </is>
      </c>
      <c r="C59" s="17" t="inlineStr">
        <is>
          <t>Thabiso Matsaba</t>
        </is>
      </c>
      <c r="D59" s="17" t="inlineStr">
        <is>
          <t>The state of the art on design patterns: A systematic mapping of the literature</t>
        </is>
      </c>
      <c r="E59" s="17" t="inlineStr">
        <is>
          <t>Bafandeh Mayvan, B.; Rasoolzadegan, A.; Ghavidel Yazdi, Z.</t>
        </is>
      </c>
      <c r="F59" s="17" t="n">
        <v>2017</v>
      </c>
      <c r="G59" s="17" t="inlineStr">
        <is>
          <t>Journal of Systems and Software</t>
        </is>
      </c>
      <c r="H59" s="17" t="inlineStr">
        <is>
          <t>https://doi.org/10.1016/j.jss.2016.11.030</t>
        </is>
      </c>
      <c r="I59" s="17" t="inlineStr">
        <is>
          <t>Design patterns are widely used by software developers to build complex systems. Hence, they have been investigated by many researchers in recent decades. This leads to the emergence of various topics in the design patterns field. The objective of this paper is to present an overview of the research efforts on design patterns for those researchers who seek to enter this area. The main contribution</t>
        </is>
      </c>
      <c r="J59" s="17" t="inlineStr">
        <is>
          <t>Include</t>
        </is>
      </c>
      <c r="K59" s="17" t="inlineStr">
        <is>
          <t>Include</t>
        </is>
      </c>
      <c r="L59" s="17" t="inlineStr">
        <is>
          <t>Include</t>
        </is>
      </c>
      <c r="M59" s="17" t="inlineStr"/>
    </row>
    <row r="60" ht="15" customHeight="1" s="12">
      <c r="A60" s="17" t="n">
        <v>58</v>
      </c>
      <c r="B60" s="17" t="inlineStr">
        <is>
          <t>ScienceDirect</t>
        </is>
      </c>
      <c r="C60" s="17" t="inlineStr">
        <is>
          <t>Thabiso Matsaba</t>
        </is>
      </c>
      <c r="D60" s="17" t="inlineStr">
        <is>
          <t>Requirements-driven database evolution: A systematic literature review</t>
        </is>
      </c>
      <c r="E60" s="17" t="inlineStr">
        <is>
          <t>Litavská, Hana; Suchánek, Marek; Kroha, Petr</t>
        </is>
      </c>
      <c r="F60" s="17" t="n">
        <v>2026</v>
      </c>
      <c r="G60" s="17" t="inlineStr">
        <is>
          <t>Information and Software Technology</t>
        </is>
      </c>
      <c r="H60" s="17" t="inlineStr">
        <is>
          <t>https://doi.org/10.1016/j.infsof.2026.108276</t>
        </is>
      </c>
      <c r="I60" s="17" t="inlineStr">
        <is>
          <t>Context:
Database evolution and management are often complex and error-prone processes, largely driven by the need to adapt to changing requirements.
Objective:
This study aimed to collect information on current research in database design and evolution, examine the approaches used, categorize the environments that existing solutions target, along with their inputs, and evaluate whether the existi</t>
        </is>
      </c>
      <c r="J60" s="17" t="inlineStr">
        <is>
          <t>Include</t>
        </is>
      </c>
      <c r="K60" s="17" t="inlineStr">
        <is>
          <t>Include</t>
        </is>
      </c>
      <c r="L60" s="17" t="inlineStr">
        <is>
          <t>Include</t>
        </is>
      </c>
      <c r="M60" s="17" t="inlineStr"/>
    </row>
    <row r="61" ht="15" customHeight="1" s="12">
      <c r="A61" s="17" t="n">
        <v>59</v>
      </c>
      <c r="B61" s="17" t="inlineStr">
        <is>
          <t>ScienceDirect</t>
        </is>
      </c>
      <c r="C61" s="17" t="inlineStr">
        <is>
          <t>Thabiso Matsaba</t>
        </is>
      </c>
      <c r="D61" s="17" t="inlineStr">
        <is>
          <t>Automated inference of likely metamorphic relations for model transformations</t>
        </is>
      </c>
      <c r="E61" s="17" t="inlineStr">
        <is>
          <t>Troya, Javier; Segura, Sergio; Ruiz-Cortés, Antonio</t>
        </is>
      </c>
      <c r="F61" s="17" t="n">
        <v>2018</v>
      </c>
      <c r="G61" s="17" t="inlineStr">
        <is>
          <t>Journal of Systems and Software</t>
        </is>
      </c>
      <c r="H61" s="17" t="inlineStr">
        <is>
          <t>https://doi.org/10.1016/j.jss.2017.05.043</t>
        </is>
      </c>
      <c r="I61" s="17" t="inlineStr">
        <is>
          <t>Model transformations play a cornerstone role in Model-Driven Engineering (MDE) as they provide the essential mechanisms for manipulating and transforming models. Checking whether the output of a model transformation is correct is a manual and error-prone task, referred to as the oracle problem. Metamorphic testing alleviates the oracle problem by exploiting the relations among different inputs an</t>
        </is>
      </c>
      <c r="J61" s="17" t="inlineStr">
        <is>
          <t>Include</t>
        </is>
      </c>
      <c r="K61" s="17" t="inlineStr">
        <is>
          <t>Include</t>
        </is>
      </c>
      <c r="L61" s="17" t="inlineStr">
        <is>
          <t>Include</t>
        </is>
      </c>
      <c r="M61" s="17" t="inlineStr"/>
    </row>
    <row r="62" ht="15" customHeight="1" s="12">
      <c r="A62" s="17" t="n">
        <v>60</v>
      </c>
      <c r="B62" s="17" t="inlineStr">
        <is>
          <t>ScienceDirect</t>
        </is>
      </c>
      <c r="C62" s="17" t="inlineStr">
        <is>
          <t>Thabiso Matsaba</t>
        </is>
      </c>
      <c r="D62" s="17" t="inlineStr">
        <is>
          <t>Software traceability in the automotive domain: Challenges and solutions</t>
        </is>
      </c>
      <c r="E62" s="17" t="inlineStr">
        <is>
          <t>Maro, Salome; Steghöfer, Jan-Philipp; Staron, Miroslaw</t>
        </is>
      </c>
      <c r="F62" s="17" t="n">
        <v>2018</v>
      </c>
      <c r="G62" s="17" t="inlineStr">
        <is>
          <t>Journal of Systems and Software</t>
        </is>
      </c>
      <c r="H62" s="17" t="inlineStr">
        <is>
          <t>https://doi.org/10.1016/j.jss.2018.03.060</t>
        </is>
      </c>
      <c r="I62" s="17" t="inlineStr">
        <is>
          <t>In the automotive domain, the development of all safety-critical systems has to comply with safety standards such as ISO 26262. These standards require established traceability, the ability to relate artifacts created during development of a system, to ensure resulting systems are well-tested and therefore safe. This paper contrasts general traceability challenges and solutions with those specific</t>
        </is>
      </c>
      <c r="J62" s="17" t="inlineStr">
        <is>
          <t>Include</t>
        </is>
      </c>
      <c r="K62" s="17" t="inlineStr">
        <is>
          <t>Include</t>
        </is>
      </c>
      <c r="L62" s="17" t="inlineStr">
        <is>
          <t>Include</t>
        </is>
      </c>
      <c r="M62" s="17" t="inlineStr"/>
    </row>
    <row r="63" ht="15" customHeight="1" s="12">
      <c r="A63" s="17" t="n">
        <v>61</v>
      </c>
      <c r="B63" s="17" t="inlineStr">
        <is>
          <t>ScienceDirect</t>
        </is>
      </c>
      <c r="C63" s="17" t="inlineStr">
        <is>
          <t>Thabiso Matsaba</t>
        </is>
      </c>
      <c r="D63" s="17" t="inlineStr">
        <is>
          <t>A model-based solution for automated (Re-)engineering of task-oriented chatbots</t>
        </is>
      </c>
      <c r="E63" s="17" t="inlineStr">
        <is>
          <t>Pérez-Soler, Sara; Guerra, Esther; de Lara, Juan</t>
        </is>
      </c>
      <c r="F63" s="17" t="n">
        <v>2026</v>
      </c>
      <c r="G63" s="17" t="inlineStr">
        <is>
          <t>Journal of Systems and Software</t>
        </is>
      </c>
      <c r="H63" s="17" t="inlineStr">
        <is>
          <t>https://doi.org/10.1016/j.jss.2025.112600</t>
        </is>
      </c>
      <c r="I63" s="17" t="inlineStr">
        <is>
          <t xml:space="preserve">Chatbots are popular to access all sorts of software services via natural language conversation. The increasing demand for task-oriented chatbots has triggered the proposal of many tools for their construction, like Dialogflow, Lex, Rasa, or Watson. However, selecting the most appropriate one is difficult; the conceptual design behind a chatbot may become buried under the tool technicalities; and </t>
        </is>
      </c>
      <c r="J63" s="17" t="inlineStr">
        <is>
          <t>Include</t>
        </is>
      </c>
      <c r="K63" s="17" t="inlineStr">
        <is>
          <t>Include</t>
        </is>
      </c>
      <c r="L63" s="17" t="inlineStr">
        <is>
          <t>Include</t>
        </is>
      </c>
      <c r="M63" s="17" t="inlineStr"/>
    </row>
    <row r="64" ht="15" customHeight="1" s="12">
      <c r="A64" s="17" t="n">
        <v>62</v>
      </c>
      <c r="B64" s="17" t="inlineStr">
        <is>
          <t>ScienceDirect</t>
        </is>
      </c>
      <c r="C64" s="17" t="inlineStr">
        <is>
          <t>Thabiso Matsaba</t>
        </is>
      </c>
      <c r="D64" s="17" t="inlineStr">
        <is>
          <t>A family of experiments to generate graphical user interfaces from BPMN models with stereotypes</t>
        </is>
      </c>
      <c r="E64" s="17" t="inlineStr">
        <is>
          <t>Díaz, Eduardo; Panach, José Ignacio; Rueda, Silvia; Distante, Damiano</t>
        </is>
      </c>
      <c r="F64" s="17" t="n">
        <v>2021</v>
      </c>
      <c r="G64" s="17" t="inlineStr">
        <is>
          <t>Journal of Systems and Software</t>
        </is>
      </c>
      <c r="H64" s="17" t="inlineStr">
        <is>
          <t>https://doi.org/10.1016/j.jss.2020.110883</t>
        </is>
      </c>
      <c r="I64" s="17" t="inlineStr">
        <is>
          <t>Context: A significant gap separates Business Process Model and Notation (BPMN) models representing processes from the design of Graphical User Interfaces (GUIs).
Objective:
This paper reports on a family of experiments to validate a method to automatically generate GUIs from BPMN models using stereotypes complemented with UML class primitives, and transformation rules.
Method:
We conducted two re</t>
        </is>
      </c>
      <c r="J64" s="17" t="inlineStr">
        <is>
          <t>Include</t>
        </is>
      </c>
      <c r="K64" s="17" t="inlineStr">
        <is>
          <t>Include</t>
        </is>
      </c>
      <c r="L64" s="17" t="inlineStr">
        <is>
          <t>Include</t>
        </is>
      </c>
      <c r="M64" s="17" t="inlineStr"/>
    </row>
    <row r="65" ht="15" customHeight="1" s="12">
      <c r="A65" s="17" t="n">
        <v>63</v>
      </c>
      <c r="B65" s="17" t="inlineStr">
        <is>
          <t>ScienceDirect</t>
        </is>
      </c>
      <c r="C65" s="17" t="inlineStr">
        <is>
          <t>Thabiso Matsaba</t>
        </is>
      </c>
      <c r="D65" s="17" t="inlineStr">
        <is>
          <t>Model transformation and property preservation in rigorous software development: A systematic literature review</t>
        </is>
      </c>
      <c r="E65" s="17" t="inlineStr">
        <is>
          <t>Jadoon, Gullelala; ter Beek, Maurice H.; Ferrari, Alessio</t>
        </is>
      </c>
      <c r="F65" s="17" t="n">
        <v>2025</v>
      </c>
      <c r="G65" s="17" t="inlineStr">
        <is>
          <t>Journal of Systems and Software</t>
        </is>
      </c>
      <c r="H65" s="17" t="inlineStr">
        <is>
          <t>https://doi.org/10.1016/j.jss.2025.112508</t>
        </is>
      </c>
      <c r="I65" s="17" t="inlineStr">
        <is>
          <t>Rigorous software development involves using highly structured methods and processes in software and system engineering to ensure that the developed products are correct, reliable, and robust. In this context, model-driven development (MDD) has emerged as a development paradigm that emphasizes designing software systems by means of graphical or textual models at different levels of abstraction, wh</t>
        </is>
      </c>
      <c r="J65" s="17" t="inlineStr">
        <is>
          <t>Include</t>
        </is>
      </c>
      <c r="K65" s="17" t="inlineStr">
        <is>
          <t>Include</t>
        </is>
      </c>
      <c r="L65" s="17" t="inlineStr">
        <is>
          <t>Include</t>
        </is>
      </c>
      <c r="M65" s="17" t="inlineStr"/>
    </row>
    <row r="66" ht="15" customHeight="1" s="12">
      <c r="A66" s="17" t="n">
        <v>64</v>
      </c>
      <c r="B66" s="17" t="inlineStr">
        <is>
          <t>ScienceDirect</t>
        </is>
      </c>
      <c r="C66" s="17" t="inlineStr">
        <is>
          <t>Thabiso Matsaba</t>
        </is>
      </c>
      <c r="D66" s="17" t="inlineStr">
        <is>
          <t>Investigating automated change analysis in FinTech regulations</t>
        </is>
      </c>
      <c r="E66" s="17" t="inlineStr">
        <is>
          <t>Elahidoost, Parisa; Villamizar, Hugo; Angermeir, Florian; Streit, Jonathan; Mendez, Daniel; Unterkalmsteiner, Michael; Gorschek, Tony</t>
        </is>
      </c>
      <c r="F66" s="17" t="n">
        <v>2026</v>
      </c>
      <c r="G66" s="17" t="inlineStr">
        <is>
          <t>Information and Software Technology</t>
        </is>
      </c>
      <c r="H66" s="17" t="inlineStr">
        <is>
          <t>https://doi.org/10.1016/j.infsof.2026.108144</t>
        </is>
      </c>
      <c r="I66" s="17" t="inlineStr">
        <is>
          <t>Context:
Software systems in regulated domains must continually adapt to legal changes, yet practitioners often handle updates manually with limited support, making compliance work costly and error prone. Recent advances in LLMs prompt the question of how automation can reliably assist this process.
Objectives:
We aim to (1) characterize the nature of regulatory changes and derive a systematic tax</t>
        </is>
      </c>
      <c r="J66" s="17" t="inlineStr">
        <is>
          <t>Include</t>
        </is>
      </c>
      <c r="K66" s="17" t="inlineStr">
        <is>
          <t>Include</t>
        </is>
      </c>
      <c r="L66" s="17" t="inlineStr">
        <is>
          <t>Include</t>
        </is>
      </c>
      <c r="M66" s="17" t="inlineStr"/>
    </row>
    <row r="67" ht="15" customHeight="1" s="12">
      <c r="A67" s="17" t="n">
        <v>65</v>
      </c>
      <c r="B67" s="17" t="inlineStr">
        <is>
          <t>ScienceDirect</t>
        </is>
      </c>
      <c r="C67" s="17" t="inlineStr">
        <is>
          <t>Thabiso Matsaba</t>
        </is>
      </c>
      <c r="D67" s="17" t="inlineStr">
        <is>
          <t>MAS-ML 2.0: Supporting the modelling of multi-agent systems with different agent architectures</t>
        </is>
      </c>
      <c r="E67" s="17" t="inlineStr">
        <is>
          <t>Gonçalves, Enyo José Tavares; Cortés, Mariela I.; Campos, Gustavo Augusto Lima; Lopes, Yrleyjander S.; Freire, Emmanuel S.S.; da Silva, Viviane Torres</t>
        </is>
      </c>
      <c r="F67" s="17" t="n">
        <v>2015</v>
      </c>
      <c r="G67" s="17" t="inlineStr">
        <is>
          <t>Journal of Systems and Software</t>
        </is>
      </c>
      <c r="H67" s="17" t="inlineStr">
        <is>
          <t>https://doi.org/10.1016/j.jss.2015.06.008</t>
        </is>
      </c>
      <c r="I67" s="17" t="inlineStr">
        <is>
          <t>Multi-agent systems (MAS) involve a wide variety of agents that interact with each other to achieve their goals. Usually each agent has a particular internal architecture defining its main structure that gives support to the interaction among the entities of MAS. Many modelling languages have been proposed in recent years to represent the internal architectures of such agents, for instance the UML</t>
        </is>
      </c>
      <c r="J67" s="17" t="inlineStr">
        <is>
          <t>Include</t>
        </is>
      </c>
      <c r="K67" s="17" t="inlineStr">
        <is>
          <t>Include</t>
        </is>
      </c>
      <c r="L67" s="17" t="inlineStr">
        <is>
          <t>Include</t>
        </is>
      </c>
      <c r="M67" s="17" t="inlineStr"/>
    </row>
    <row r="68" ht="15" customHeight="1" s="12">
      <c r="A68" s="17" t="n">
        <v>66</v>
      </c>
      <c r="B68" s="17" t="inlineStr">
        <is>
          <t>ScienceDirect</t>
        </is>
      </c>
      <c r="C68" s="17" t="inlineStr">
        <is>
          <t>Thabiso Matsaba</t>
        </is>
      </c>
      <c r="D68" s="17" t="inlineStr">
        <is>
          <t>Software architectures for robotic systems: A systematic mapping study</t>
        </is>
      </c>
      <c r="E68" s="17" t="inlineStr">
        <is>
          <t>Ahmad, Aakash; Babar, Muhammad Ali</t>
        </is>
      </c>
      <c r="F68" s="17" t="n">
        <v>2016</v>
      </c>
      <c r="G68" s="17" t="inlineStr">
        <is>
          <t>Journal of Systems and Software</t>
        </is>
      </c>
      <c r="H68" s="17" t="inlineStr">
        <is>
          <t>https://doi.org/10.1016/j.jss.2016.08.039</t>
        </is>
      </c>
      <c r="I68" s="17" t="inlineStr">
        <is>
          <t xml:space="preserve">Context
Several research efforts have been targeted to support architecture centric development and evolution of software for robotic systems for the last two decades.
Objective
We aimed to systematically identify and classify the existing solutions, research progress and directions that influence architecture-driven modeling, development and evolution of robotic software.
Research Method
We have </t>
        </is>
      </c>
      <c r="J68" s="17" t="inlineStr">
        <is>
          <t>Include</t>
        </is>
      </c>
      <c r="K68" s="17" t="inlineStr">
        <is>
          <t>Include</t>
        </is>
      </c>
      <c r="L68" s="17" t="inlineStr">
        <is>
          <t>Include</t>
        </is>
      </c>
      <c r="M68" s="17" t="inlineStr"/>
    </row>
    <row r="69" ht="15" customHeight="1" s="12">
      <c r="A69" s="17" t="n">
        <v>67</v>
      </c>
      <c r="B69" s="17" t="inlineStr">
        <is>
          <t>ScienceDirect</t>
        </is>
      </c>
      <c r="C69" s="17" t="inlineStr">
        <is>
          <t>Thabiso Matsaba</t>
        </is>
      </c>
      <c r="D69" s="17" t="inlineStr">
        <is>
          <t>Software architecture for quantum computing systems — A systematic review</t>
        </is>
      </c>
      <c r="E69" s="17" t="inlineStr">
        <is>
          <t>Khan, Arif Ali; Ahmad, Aakash; Waseem, Muhammad; Liang, Peng; Fahmideh, Mahdi; Mikkonen, Tommi; Abrahamsson, Pekka</t>
        </is>
      </c>
      <c r="F69" s="17" t="n">
        <v>2023</v>
      </c>
      <c r="G69" s="17" t="inlineStr">
        <is>
          <t>Journal of Systems and Software</t>
        </is>
      </c>
      <c r="H69" s="17" t="inlineStr">
        <is>
          <t>https://doi.org/10.1016/j.jss.2023.111682</t>
        </is>
      </c>
      <c r="I69" s="17" t="inlineStr">
        <is>
          <t xml:space="preserve">Quantum computing systems rely on the principles of quantum mechanics to perform a multitude of computationally challenging tasks more efficiently than their classical counterparts. The architecture of software-intensive systems can empower architects who can leverage architecture-centric processes, practices, description languages to model, develop, and evolve quantum computing software (quantum </t>
        </is>
      </c>
      <c r="J69" s="17" t="inlineStr">
        <is>
          <t>Include</t>
        </is>
      </c>
      <c r="K69" s="17" t="inlineStr">
        <is>
          <t>Include</t>
        </is>
      </c>
      <c r="L69" s="17" t="inlineStr">
        <is>
          <t>Include</t>
        </is>
      </c>
      <c r="M69" s="17" t="inlineStr"/>
    </row>
    <row r="70" ht="15" customHeight="1" s="12">
      <c r="A70" s="17" t="n">
        <v>68</v>
      </c>
      <c r="B70" s="17" t="inlineStr">
        <is>
          <t>ScienceDirect</t>
        </is>
      </c>
      <c r="C70" s="17" t="inlineStr">
        <is>
          <t>Thabiso Matsaba</t>
        </is>
      </c>
      <c r="D70" s="17" t="inlineStr">
        <is>
          <t>On the engineering of robust microservice architectures through anti-pattern recognition</t>
        </is>
      </c>
      <c r="E70" s="17" t="inlineStr">
        <is>
          <t>Mohammadi, Neda; Rasoolzadegan, Abbas</t>
        </is>
      </c>
      <c r="F70" s="17" t="n">
        <v>2026</v>
      </c>
      <c r="G70" s="17" t="inlineStr">
        <is>
          <t>Journal of Systems and Software</t>
        </is>
      </c>
      <c r="H70" s="17" t="inlineStr">
        <is>
          <t>https://doi.org/10.1016/j.jss.2026.112951</t>
        </is>
      </c>
      <c r="I70" s="17" t="inlineStr">
        <is>
          <t>Microservice architecture has become one of the most widely adopted approaches in the design of modern software systems due to its support for the independent development, deployment, and scalability of system components. This architecture plays a significant role in enhancing system flexibility and facilitating DevOps processes. However, the absence of standardized design guidelines, the inherent</t>
        </is>
      </c>
      <c r="J70" s="17" t="inlineStr">
        <is>
          <t>Include</t>
        </is>
      </c>
      <c r="K70" s="17" t="inlineStr">
        <is>
          <t>Include</t>
        </is>
      </c>
      <c r="L70" s="17" t="inlineStr">
        <is>
          <t>Include</t>
        </is>
      </c>
      <c r="M70" s="17" t="inlineStr"/>
    </row>
    <row r="71" ht="15" customHeight="1" s="12">
      <c r="A71" s="17" t="n">
        <v>69</v>
      </c>
      <c r="B71" s="17" t="inlineStr">
        <is>
          <t>ScienceDirect</t>
        </is>
      </c>
      <c r="C71" s="17" t="inlineStr">
        <is>
          <t>Thabiso Matsaba</t>
        </is>
      </c>
      <c r="D71" s="17" t="inlineStr">
        <is>
          <t>Retriever: A view-based approach to reverse engineering software architecture models</t>
        </is>
      </c>
      <c r="E71" s="17" t="inlineStr">
        <is>
          <t>Kirschner, Yves R.; Gstür, Moritz; Sağlam, Timur; Weber, Sebastian; Koziolek, Anne</t>
        </is>
      </c>
      <c r="F71" s="17" t="n">
        <v>2025</v>
      </c>
      <c r="G71" s="17" t="inlineStr">
        <is>
          <t>Journal of Systems and Software</t>
        </is>
      </c>
      <c r="H71" s="17" t="inlineStr">
        <is>
          <t>https://doi.org/10.1016/j.jss.2024.112277</t>
        </is>
      </c>
      <c r="I71" s="17" t="inlineStr">
        <is>
          <t>Software systems, which have become an integral part of our daily lives, are constantly evolving and growing in complexity. The challenge of understanding and managing these systems has led to a shift towards automated extraction of models from software artifacts. However, extracting architectural models for web service or microservice systems is challenging due to the heterogeneity of formats, la</t>
        </is>
      </c>
      <c r="J71" s="17" t="inlineStr">
        <is>
          <t>Include</t>
        </is>
      </c>
      <c r="K71" s="17" t="inlineStr">
        <is>
          <t>Include</t>
        </is>
      </c>
      <c r="L71" s="17" t="inlineStr">
        <is>
          <t>Include</t>
        </is>
      </c>
      <c r="M71" s="17" t="inlineStr"/>
    </row>
    <row r="72" ht="15" customHeight="1" s="12">
      <c r="A72" s="17" t="n">
        <v>70</v>
      </c>
      <c r="B72" s="17" t="inlineStr">
        <is>
          <t>ScienceDirect</t>
        </is>
      </c>
      <c r="C72" s="17" t="inlineStr">
        <is>
          <t>Thabiso Matsaba</t>
        </is>
      </c>
      <c r="D72" s="17" t="inlineStr">
        <is>
          <t>Architecting ML-enabled systems: Challenges, best practices, and design decisions</t>
        </is>
      </c>
      <c r="E72" s="17" t="inlineStr">
        <is>
          <t>Nazir, Roger; Bucaioni, Alessio; Pelliccione, Patrizio</t>
        </is>
      </c>
      <c r="F72" s="17" t="n">
        <v>2024</v>
      </c>
      <c r="G72" s="17" t="inlineStr">
        <is>
          <t>Journal of Systems and Software</t>
        </is>
      </c>
      <c r="H72" s="17" t="inlineStr">
        <is>
          <t>https://doi.org/10.1016/j.jss.2023.111860</t>
        </is>
      </c>
      <c r="I72" s="17" t="inlineStr">
        <is>
          <t>Context:
Machine learning is increasingly used in a wide set of applications ranging from recommendation engines to autonomous systems through business intelligence and smart assistants. Designing and developing machine learning systems is a complex process that can be eased by leveraging effective design decisions tackling the most important challenges and by having a good system and software arc</t>
        </is>
      </c>
      <c r="J72" s="17" t="inlineStr">
        <is>
          <t>Include</t>
        </is>
      </c>
      <c r="K72" s="17" t="inlineStr">
        <is>
          <t>Include</t>
        </is>
      </c>
      <c r="L72" s="17" t="inlineStr">
        <is>
          <t>Include</t>
        </is>
      </c>
      <c r="M72" s="17" t="inlineStr"/>
    </row>
    <row r="73" ht="15" customHeight="1" s="12">
      <c r="A73" s="17" t="n">
        <v>71</v>
      </c>
      <c r="B73" s="17" t="inlineStr">
        <is>
          <t>ScienceDirect</t>
        </is>
      </c>
      <c r="C73" s="17" t="inlineStr">
        <is>
          <t>Thabiso Matsaba</t>
        </is>
      </c>
      <c r="D73" s="17" t="inlineStr">
        <is>
          <t>Testing bidirectional model transformation using metamorphic testing</t>
        </is>
      </c>
      <c r="E73" s="17" t="inlineStr">
        <is>
          <t>He, Xiao; Chen, Xing; Cai, Sibo; Zhang, Ying; Huang, Gang</t>
        </is>
      </c>
      <c r="F73" s="17" t="n">
        <v>2018</v>
      </c>
      <c r="G73" s="17" t="inlineStr">
        <is>
          <t>Information and Software Technology</t>
        </is>
      </c>
      <c r="H73" s="17" t="inlineStr">
        <is>
          <t>https://doi.org/10.1016/j.infsof.2018.07.010</t>
        </is>
      </c>
      <c r="I73" s="17" t="inlineStr">
        <is>
          <t>Context
In model-based software development, bidirectional model transformation (BX) provides a fundamental solution to model synchronization that can retain the consistency among models. Similar to conventional programs, a BX program may also contain bugs. Accordingly, a BX program must be tested prior to being used in practice. A challenging problem of testing BX programs is to construct test or</t>
        </is>
      </c>
      <c r="J73" s="17" t="inlineStr">
        <is>
          <t>Include</t>
        </is>
      </c>
      <c r="K73" s="17" t="inlineStr">
        <is>
          <t>Include</t>
        </is>
      </c>
      <c r="L73" s="17" t="inlineStr">
        <is>
          <t>Include</t>
        </is>
      </c>
      <c r="M73" s="17" t="inlineStr"/>
    </row>
    <row r="74" ht="15" customHeight="1" s="12">
      <c r="A74" s="17" t="n">
        <v>72</v>
      </c>
      <c r="B74" s="17" t="inlineStr">
        <is>
          <t>ScienceDirect</t>
        </is>
      </c>
      <c r="C74" s="17" t="inlineStr">
        <is>
          <t>Thabiso Matsaba</t>
        </is>
      </c>
      <c r="D74" s="17" t="inlineStr">
        <is>
          <t>Understanding the landscape of software modelling assistants for MDSE tools: A systematic mapping</t>
        </is>
      </c>
      <c r="E74" s="17" t="inlineStr">
        <is>
          <t>Mosquera, David; Ruiz, Marcela; Pastor, Oscar; Spielberger, Jürgen</t>
        </is>
      </c>
      <c r="F74" s="17" t="n">
        <v>2024</v>
      </c>
      <c r="G74" s="17" t="inlineStr">
        <is>
          <t>Information and Software Technology</t>
        </is>
      </c>
      <c r="H74" s="17" t="inlineStr">
        <is>
          <t>https://doi.org/10.1016/j.infsof.2024.107492</t>
        </is>
      </c>
      <c r="I74" s="17" t="inlineStr">
        <is>
          <t>Context
Model Driven Software Engineering (MDSE) and low-code/no-code software development tools promise to increase quality and productivity by modelling instead of coding software. One of the major advantages of modelling software is the increased possibility of involving diverse stakeholders since it removes the barrier of being IT experts to actively participate in software production processe</t>
        </is>
      </c>
      <c r="J74" s="17" t="inlineStr">
        <is>
          <t>Include</t>
        </is>
      </c>
      <c r="K74" s="17" t="inlineStr">
        <is>
          <t>Include</t>
        </is>
      </c>
      <c r="L74" s="17" t="inlineStr">
        <is>
          <t>Include</t>
        </is>
      </c>
      <c r="M74" s="17" t="inlineStr"/>
    </row>
    <row r="75" ht="15" customHeight="1" s="12">
      <c r="A75" s="17" t="n">
        <v>73</v>
      </c>
      <c r="B75" s="17" t="inlineStr">
        <is>
          <t>ScienceDirect</t>
        </is>
      </c>
      <c r="C75" s="17" t="inlineStr">
        <is>
          <t>Thabiso Matsaba</t>
        </is>
      </c>
      <c r="D75" s="17" t="inlineStr">
        <is>
          <t>Extracting REST resource models from procedure-oriented service interfaces</t>
        </is>
      </c>
      <c r="E75" s="17" t="inlineStr">
        <is>
          <t>Athanasopoulos, Michael; Kontogiannis, Kostas</t>
        </is>
      </c>
      <c r="F75" s="17" t="n">
        <v>2015</v>
      </c>
      <c r="G75" s="17" t="inlineStr">
        <is>
          <t>Journal of Systems and Software</t>
        </is>
      </c>
      <c r="H75" s="17" t="inlineStr">
        <is>
          <t>https://doi.org/10.1016/j.jss.2014.10.038</t>
        </is>
      </c>
      <c r="I75" s="17" t="inlineStr">
        <is>
          <t xml:space="preserve">During the past decade a number of procedure-oriented protocols and standards have emerged for making service-offering systems available on the Web. The WS-* stack of protocols is the most prevalent example. However, this procedure and message-oriented approach has not aligned with the true potential of the Web's own architectural principles, such as the uniform identification and manipulation of </t>
        </is>
      </c>
      <c r="J75" s="17" t="inlineStr">
        <is>
          <t>Include</t>
        </is>
      </c>
      <c r="K75" s="17" t="inlineStr">
        <is>
          <t>Include</t>
        </is>
      </c>
      <c r="L75" s="17" t="inlineStr">
        <is>
          <t>Include</t>
        </is>
      </c>
      <c r="M75" s="17" t="inlineStr"/>
    </row>
    <row r="76" ht="15" customHeight="1" s="12">
      <c r="A76" s="17" t="n">
        <v>74</v>
      </c>
      <c r="B76" s="17" t="inlineStr">
        <is>
          <t>ScienceDirect</t>
        </is>
      </c>
      <c r="C76" s="17" t="inlineStr">
        <is>
          <t>Thabiso Matsaba</t>
        </is>
      </c>
      <c r="D76" s="17" t="inlineStr">
        <is>
          <t>Facilitating the co-evolution of semantic descriptions in standards and models</t>
        </is>
      </c>
      <c r="E76" s="17" t="inlineStr">
        <is>
          <t>Makedonski, Philip; Grabowski, Jens</t>
        </is>
      </c>
      <c r="F76" s="17" t="n">
        <v>2022</v>
      </c>
      <c r="G76" s="17" t="inlineStr">
        <is>
          <t>Information and Software Technology</t>
        </is>
      </c>
      <c r="H76" s="17" t="inlineStr">
        <is>
          <t>https://doi.org/10.1016/j.infsof.2021.106763</t>
        </is>
      </c>
      <c r="I76" s="17" t="inlineStr">
        <is>
          <t xml:space="preserve">Context:
Standardised specifications for sophisticated technologies are subdivided in multiple documents maintained by different working groups, typically accompanied by models and other formalised artefacts. As the specifications and the models evolve, ensuring their consistency at scale becomes challenging.
Objective:
While previous work developed a methodology for facilitating the co-evolution </t>
        </is>
      </c>
      <c r="J76" s="17" t="inlineStr">
        <is>
          <t>Include</t>
        </is>
      </c>
      <c r="K76" s="17" t="inlineStr">
        <is>
          <t>Include</t>
        </is>
      </c>
      <c r="L76" s="17" t="inlineStr">
        <is>
          <t>Include</t>
        </is>
      </c>
      <c r="M76" s="17" t="inlineStr"/>
    </row>
    <row r="77" ht="15" customHeight="1" s="12">
      <c r="A77" s="17" t="n">
        <v>75</v>
      </c>
      <c r="B77" s="17" t="inlineStr">
        <is>
          <t>ScienceDirect</t>
        </is>
      </c>
      <c r="C77" s="17" t="inlineStr">
        <is>
          <t>Thabiso Matsaba</t>
        </is>
      </c>
      <c r="D77" s="17" t="inlineStr">
        <is>
          <t>A generic approach to model generation operations</t>
        </is>
      </c>
      <c r="E77" s="17" t="inlineStr">
        <is>
          <t>Kleiner, Mathias; Didonet Del Fabro, Marcos</t>
        </is>
      </c>
      <c r="F77" s="17" t="n">
        <v>2018</v>
      </c>
      <c r="G77" s="17" t="inlineStr">
        <is>
          <t>Journal of Systems and Software</t>
        </is>
      </c>
      <c r="H77" s="17" t="inlineStr">
        <is>
          <t>https://doi.org/10.1016/j.jss.2018.04.053</t>
        </is>
      </c>
      <c r="I77" s="17" t="inlineStr">
        <is>
          <t>Model generation operations are important artifacts in MDE applications. These approaches can be used for model verification, model finding, and others. In many scenarios, model transformations can as well be represented by a model generation operation. This often comes with the advantage of being bidirectional and supporting increments. However, most part of model generation approaches do not tar</t>
        </is>
      </c>
      <c r="J77" s="17" t="inlineStr">
        <is>
          <t>Include</t>
        </is>
      </c>
      <c r="K77" s="17" t="inlineStr">
        <is>
          <t>Include</t>
        </is>
      </c>
      <c r="L77" s="17" t="inlineStr">
        <is>
          <t>Include</t>
        </is>
      </c>
      <c r="M77" s="17" t="inlineStr"/>
    </row>
    <row r="78" ht="15" customHeight="1" s="12">
      <c r="A78" s="17" t="n">
        <v>76</v>
      </c>
      <c r="B78" s="17" t="inlineStr">
        <is>
          <t>ScienceDirect</t>
        </is>
      </c>
      <c r="C78" s="17" t="inlineStr">
        <is>
          <t>Thabiso Matsaba</t>
        </is>
      </c>
      <c r="D78" s="17" t="inlineStr">
        <is>
          <t>The impact of tailoring criteria on agile practices adoption: A survey with novice agile practitioners in Brazil</t>
        </is>
      </c>
      <c r="E78" s="17" t="inlineStr">
        <is>
          <t>Campanelli, Amadeu Silveira; Camilo, Ronaldo Darwich; Parreiras, Fernando Silva</t>
        </is>
      </c>
      <c r="F78" s="17" t="n">
        <v>2018</v>
      </c>
      <c r="G78" s="17" t="inlineStr">
        <is>
          <t>Journal of Systems and Software</t>
        </is>
      </c>
      <c r="H78" s="17" t="inlineStr">
        <is>
          <t>https://doi.org/10.1016/j.jss.2017.12.012</t>
        </is>
      </c>
      <c r="I78" s="17" t="inlineStr">
        <is>
          <t xml:space="preserve">The software development industry adopts agile methods in different ways by considering contextual requirements. To fulfill organizational needs, adoption strategies consider agile methods tailoring. However, tailoring according to the context of the organization remains a problem to be solved. Literature on criteria for adopting software development methods exists, but not specifically for agile </t>
        </is>
      </c>
      <c r="J78" s="17" t="inlineStr">
        <is>
          <t>Include</t>
        </is>
      </c>
      <c r="K78" s="17" t="inlineStr">
        <is>
          <t>Include</t>
        </is>
      </c>
      <c r="L78" s="17" t="inlineStr">
        <is>
          <t>Include</t>
        </is>
      </c>
      <c r="M78" s="17" t="inlineStr"/>
    </row>
    <row r="79" ht="15" customHeight="1" s="12">
      <c r="A79" s="17" t="n">
        <v>77</v>
      </c>
      <c r="B79" s="17" t="inlineStr">
        <is>
          <t>ScienceDirect</t>
        </is>
      </c>
      <c r="C79" s="17" t="inlineStr">
        <is>
          <t>Thabiso Matsaba</t>
        </is>
      </c>
      <c r="D79" s="17" t="inlineStr">
        <is>
          <t>Architectural conformance checking for KDM-represented systems</t>
        </is>
      </c>
      <c r="E79" s="17" t="inlineStr">
        <is>
          <t>Landi, André de S.; Martín, Daniel San; Santos, Bruno M.; Cunha, Warteruzannan S.; Durelli, Rafael S.; Camargo, Valter V.</t>
        </is>
      </c>
      <c r="F79" s="17" t="n">
        <v>2022</v>
      </c>
      <c r="G79" s="17" t="inlineStr">
        <is>
          <t>Journal of Systems and Software</t>
        </is>
      </c>
      <c r="H79" s="17" t="inlineStr">
        <is>
          <t>https://doi.org/10.1016/j.jss.2021.111116</t>
        </is>
      </c>
      <c r="I79" s="17" t="inlineStr">
        <is>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t>
        </is>
      </c>
      <c r="J79" s="17" t="inlineStr">
        <is>
          <t>Include</t>
        </is>
      </c>
      <c r="K79" s="17" t="inlineStr">
        <is>
          <t>Include</t>
        </is>
      </c>
      <c r="L79" s="17" t="inlineStr">
        <is>
          <t>Include</t>
        </is>
      </c>
      <c r="M79" s="17" t="inlineStr"/>
    </row>
    <row r="80" ht="15" customHeight="1" s="12">
      <c r="A80" s="17" t="n">
        <v>78</v>
      </c>
      <c r="B80" s="17" t="inlineStr">
        <is>
          <t>ScienceDirect</t>
        </is>
      </c>
      <c r="C80" s="17" t="inlineStr">
        <is>
          <t>Thabiso Matsaba</t>
        </is>
      </c>
      <c r="D80" s="17" t="inlineStr">
        <is>
          <t>Personalization goals for run-time adaptation of IoT-based assistance applications for the elderly</t>
        </is>
      </c>
      <c r="E80" s="17" t="inlineStr">
        <is>
          <t>Sabatucci, Luca; Di Napoli, Claudia</t>
        </is>
      </c>
      <c r="F80" s="17" t="n">
        <v>2025</v>
      </c>
      <c r="G80" s="17" t="inlineStr">
        <is>
          <t>Information and Software Technology</t>
        </is>
      </c>
      <c r="H80" s="17" t="inlineStr">
        <is>
          <t>https://doi.org/10.1016/j.infsof.2025.107721</t>
        </is>
      </c>
      <c r="I80" s="17" t="inlineStr">
        <is>
          <t xml:space="preserve">Context:
the increasing demand for Ambient Assisted Living (AAL) applications has led to the need for personalized assistive tasks that can adapt to individual users’ needs.
Objectives:
we aim to balance design-time personalization with techniques of run-time adaptation for designing and executing assistive AAL applications, personalized to both users’ specific needs and environmental conditions.
</t>
        </is>
      </c>
      <c r="J80" s="17" t="inlineStr">
        <is>
          <t>Include</t>
        </is>
      </c>
      <c r="K80" s="17" t="inlineStr">
        <is>
          <t>Include</t>
        </is>
      </c>
      <c r="L80" s="17" t="inlineStr">
        <is>
          <t>Include</t>
        </is>
      </c>
      <c r="M80" s="17" t="inlineStr"/>
    </row>
    <row r="81" ht="15" customHeight="1" s="12">
      <c r="A81" s="17" t="n">
        <v>79</v>
      </c>
      <c r="B81" s="17" t="inlineStr">
        <is>
          <t>ScienceDirect</t>
        </is>
      </c>
      <c r="C81" s="17" t="inlineStr">
        <is>
          <t>Thabiso Matsaba</t>
        </is>
      </c>
      <c r="D81" s="17" t="inlineStr">
        <is>
          <t>Handling conflicts in consistency management of multi-level models in collaborative Digital Twins modelling environments</t>
        </is>
      </c>
      <c r="E81" s="17" t="inlineStr">
        <is>
          <t>Fu, Yuhong; Grossmann, Georg; Kaur, Karamjit; Selway, Matt; Stumptner, Markus</t>
        </is>
      </c>
      <c r="F81" s="17" t="n">
        <v>2026</v>
      </c>
      <c r="G81" s="17" t="inlineStr">
        <is>
          <t>Information and Software Technology</t>
        </is>
      </c>
      <c r="H81" s="17" t="inlineStr">
        <is>
          <t>https://doi.org/10.1016/j.infsof.2026.108237</t>
        </is>
      </c>
      <c r="I81" s="17" t="inlineStr">
        <is>
          <t>Context:
Digital Twins are real-time digital counterparts of physical systems that enable continuous monitoring, simulation, and decision-making. Their effectiveness relies on the systematic design of Digital Twin models, including well-defined modelling structures, abstraction levels and consistency mechanisms, which provide a reliable foundation for collaboration and long-term maintainability. M</t>
        </is>
      </c>
      <c r="J81" s="17" t="inlineStr">
        <is>
          <t>Include</t>
        </is>
      </c>
      <c r="K81" s="17" t="inlineStr">
        <is>
          <t>Include</t>
        </is>
      </c>
      <c r="L81" s="17" t="inlineStr">
        <is>
          <t>Include</t>
        </is>
      </c>
      <c r="M81" s="17" t="inlineStr"/>
    </row>
    <row r="82" ht="15" customHeight="1" s="12">
      <c r="A82" s="17" t="n">
        <v>80</v>
      </c>
      <c r="B82" s="17" t="inlineStr">
        <is>
          <t>ScienceDirect</t>
        </is>
      </c>
      <c r="C82" s="17" t="inlineStr">
        <is>
          <t>Thabiso Matsaba</t>
        </is>
      </c>
      <c r="D82" s="17" t="inlineStr">
        <is>
          <t>GPTSniffer: A CodeBERT-based classifier to detect source code written by ChatGPT</t>
        </is>
      </c>
      <c r="E82" s="17" t="inlineStr">
        <is>
          <t>Nguyen, Phuong T.; Di Rocco, Juri; Di Sipio, Claudio; Rubei, Riccardo; Di Ruscio, Davide; Di Penta, Massimiliano</t>
        </is>
      </c>
      <c r="F82" s="17" t="n">
        <v>2024</v>
      </c>
      <c r="G82" s="17" t="inlineStr">
        <is>
          <t>Journal of Systems and Software</t>
        </is>
      </c>
      <c r="H82" s="17" t="inlineStr">
        <is>
          <t>https://doi.org/10.1016/j.jss.2024.112059</t>
        </is>
      </c>
      <c r="I82" s="17" t="inlineStr">
        <is>
          <t>Since its launch in November 2022, ChatGPT has gained popularity among users, especially programmers who use it to solve development issues. However, while offering a practical solution to programming problems, ChatGPT should be used primarily as a supporting tool (e.g., in software education) rather than as a replacement for humans. Thus, detecting automatically generated source code by ChatGPT i</t>
        </is>
      </c>
      <c r="J82" s="17" t="inlineStr">
        <is>
          <t>Include</t>
        </is>
      </c>
      <c r="K82" s="17" t="inlineStr">
        <is>
          <t>Include</t>
        </is>
      </c>
      <c r="L82" s="17" t="inlineStr">
        <is>
          <t>Include</t>
        </is>
      </c>
      <c r="M82" s="17" t="inlineStr"/>
    </row>
    <row r="83" ht="15" customHeight="1" s="12">
      <c r="A83" s="17" t="n">
        <v>81</v>
      </c>
      <c r="B83" s="17" t="inlineStr">
        <is>
          <t>ScienceDirect</t>
        </is>
      </c>
      <c r="C83" s="17" t="inlineStr">
        <is>
          <t>Thabiso Matsaba</t>
        </is>
      </c>
      <c r="D83" s="17" t="inlineStr">
        <is>
          <t>Mapping the structure and evolution of software testing research over the past three decades</t>
        </is>
      </c>
      <c r="E83" s="17" t="inlineStr">
        <is>
          <t>Salahirad, Alireza; Gay, Gregory; Mohammadi, Ehsan</t>
        </is>
      </c>
      <c r="F83" s="17" t="n">
        <v>2023</v>
      </c>
      <c r="G83" s="17" t="inlineStr">
        <is>
          <t>Journal of Systems and Software</t>
        </is>
      </c>
      <c r="H83" s="17" t="inlineStr">
        <is>
          <t>https://doi.org/10.1016/j.jss.2022.111518</t>
        </is>
      </c>
      <c r="I83" s="17" t="inlineStr">
        <is>
          <t>Background:
The field of software testing is growing and rapidly-evolving.
Aims:
Based on keywords assigned to publications, we seek to identify predominant research topics and understand how they are connected and have evolved.
Methods:
We apply co-word analysis to map the topology of testing research as a network where author-assigned keywords are connected by edges indicating co-occurrence in p</t>
        </is>
      </c>
      <c r="J83" s="17" t="inlineStr">
        <is>
          <t>Include</t>
        </is>
      </c>
      <c r="K83" s="17" t="inlineStr">
        <is>
          <t>Include</t>
        </is>
      </c>
      <c r="L83" s="17" t="inlineStr">
        <is>
          <t>Include</t>
        </is>
      </c>
      <c r="M83" s="17" t="inlineStr"/>
    </row>
    <row r="84" ht="15" customHeight="1" s="12">
      <c r="A84" s="17" t="n">
        <v>82</v>
      </c>
      <c r="B84" s="17" t="inlineStr">
        <is>
          <t>ScienceDirect</t>
        </is>
      </c>
      <c r="C84" s="17" t="inlineStr">
        <is>
          <t>Thabiso Matsaba</t>
        </is>
      </c>
      <c r="D84" s="17" t="inlineStr">
        <is>
          <t>SemuFuzz: An efficient fuzzing approach for deep learning libraries based on semantic representation</t>
        </is>
      </c>
      <c r="E84" s="17" t="inlineStr">
        <is>
          <t>Chen, Zhuoyi; Chen, Jinfu; Cai, Saihua; Chen, Jingyi; Gu, Wenjie</t>
        </is>
      </c>
      <c r="F84" s="17" t="n">
        <v>2026</v>
      </c>
      <c r="G84" s="17" t="inlineStr">
        <is>
          <t>Journal of Systems and Software</t>
        </is>
      </c>
      <c r="H84" s="17" t="inlineStr">
        <is>
          <t>https://doi.org/10.1016/j.jss.2026.112999</t>
        </is>
      </c>
      <c r="I84" s="17" t="inlineStr">
        <is>
          <t xml:space="preserve">Deep learning libraries form the foundational architecture of modern artificial intelligence systems, supporting applications in fields such as computer vision, natural language processing, and software engineering. However, their massive APIs and high-dimensional input spaces make them vulnerable to serious vulnerabilities such as buffer overflows and illegal memory accesses, jeopardizing system </t>
        </is>
      </c>
      <c r="J84" s="17" t="inlineStr">
        <is>
          <t>Include</t>
        </is>
      </c>
      <c r="K84" s="17" t="inlineStr">
        <is>
          <t>Include</t>
        </is>
      </c>
      <c r="L84" s="17" t="inlineStr">
        <is>
          <t>Include</t>
        </is>
      </c>
      <c r="M84" s="17" t="inlineStr"/>
    </row>
    <row r="85" ht="15" customHeight="1" s="12">
      <c r="A85" s="17" t="n">
        <v>83</v>
      </c>
      <c r="B85" s="17" t="inlineStr">
        <is>
          <t>ScienceDirect</t>
        </is>
      </c>
      <c r="C85" s="17" t="inlineStr">
        <is>
          <t>Thabiso Matsaba</t>
        </is>
      </c>
      <c r="D85" s="17" t="inlineStr">
        <is>
          <t>Extracting SBVR business vocabularies and business rules from UML use case diagrams</t>
        </is>
      </c>
      <c r="E85" s="17" t="inlineStr">
        <is>
          <t>Skersys, Tomas; Danenas, Paulius; Butleris, Rimantas</t>
        </is>
      </c>
      <c r="F85" s="17" t="n">
        <v>2018</v>
      </c>
      <c r="G85" s="17" t="inlineStr">
        <is>
          <t>Journal of Systems and Software</t>
        </is>
      </c>
      <c r="H85" s="17" t="inlineStr">
        <is>
          <t>https://doi.org/10.1016/j.jss.2018.03.061</t>
        </is>
      </c>
      <c r="I85" s="17" t="inlineStr">
        <is>
          <t>In model-driven information systems engineering, model transformations reside at the very core of this paradigm. Indeed, model transformations (in particular, model-to-model, or M2M) are a must-have feature of any modern model-driven approach supported by CASE technology. Model transformations are intended to raise quality of the models under development, and also speed-up the modeling itself by b</t>
        </is>
      </c>
      <c r="J85" s="17" t="inlineStr">
        <is>
          <t>Include</t>
        </is>
      </c>
      <c r="K85" s="17" t="inlineStr">
        <is>
          <t>Include</t>
        </is>
      </c>
      <c r="L85" s="17" t="inlineStr">
        <is>
          <t>Include</t>
        </is>
      </c>
      <c r="M85" s="17" t="inlineStr"/>
    </row>
    <row r="86" ht="15" customHeight="1" s="12">
      <c r="A86" s="17" t="n">
        <v>84</v>
      </c>
      <c r="B86" s="17" t="inlineStr">
        <is>
          <t>ScienceDirect</t>
        </is>
      </c>
      <c r="C86" s="17" t="inlineStr">
        <is>
          <t>Thabiso Matsaba</t>
        </is>
      </c>
      <c r="D86" s="17" t="inlineStr">
        <is>
          <t>GRuM — A flexible model-driven runtime monitoring framework and its application to automated aerial and ground vehicles</t>
        </is>
      </c>
      <c r="E86" s="17" t="inlineStr">
        <is>
          <t>Vierhauser, Michael; Garmendia, Antonio; Stadler, Marco; Wimmer, Manuel; Cleland-Huang, Jane</t>
        </is>
      </c>
      <c r="F86" s="17" t="n">
        <v>2023</v>
      </c>
      <c r="G86" s="17" t="inlineStr">
        <is>
          <t>Journal of Systems and Software</t>
        </is>
      </c>
      <c r="H86" s="17" t="inlineStr">
        <is>
          <t>https://doi.org/10.1016/j.jss.2023.111733</t>
        </is>
      </c>
      <c r="I86" s="17" t="inlineStr">
        <is>
          <t xml:space="preserve">Runtime monitoring is critical for ensuring safe operation and for enabling self-adaptive behavior of Cyber-Physical Systems (CPS). Monitors are established by identifying runtime properties of interest, creating probes to instrument the system, and defining constraints to be checked at runtime. For many systems, implementing and setting up a monitoring platform can be tedious and time-consuming, </t>
        </is>
      </c>
      <c r="J86" s="17" t="inlineStr">
        <is>
          <t>Include</t>
        </is>
      </c>
      <c r="K86" s="17" t="inlineStr">
        <is>
          <t>Include</t>
        </is>
      </c>
      <c r="L86" s="17" t="inlineStr">
        <is>
          <t>Include</t>
        </is>
      </c>
      <c r="M86" s="17" t="inlineStr"/>
    </row>
    <row r="87" ht="15" customHeight="1" s="12">
      <c r="A87" s="17" t="n">
        <v>85</v>
      </c>
      <c r="B87" s="17" t="inlineStr">
        <is>
          <t>ScienceDirect</t>
        </is>
      </c>
      <c r="C87" s="17" t="inlineStr">
        <is>
          <t>Thabiso Matsaba</t>
        </is>
      </c>
      <c r="D87" s="17" t="inlineStr">
        <is>
          <t>Verifying contracts among software components: An ontology-based approach</t>
        </is>
      </c>
      <c r="E87" s="17" t="inlineStr">
        <is>
          <t>Castillo-Barrera, Francisco-Edgar; Duran-Limon, Hector A.</t>
        </is>
      </c>
      <c r="F87" s="17" t="n">
        <v>2023</v>
      </c>
      <c r="G87" s="17" t="inlineStr">
        <is>
          <t>Information and Software Technology</t>
        </is>
      </c>
      <c r="H87" s="17" t="inlineStr">
        <is>
          <t>https://doi.org/10.1016/j.infsof.2023.107282</t>
        </is>
      </c>
      <c r="I87" s="17" t="inlineStr">
        <is>
          <t>Context:
The goal of Component-Based Software Engineering (CBSE) is the development of software systems in terms of an assembly of pre-fabricated software components. One of the main aims of CBSE is to increase software reuse whereby a software component becomes part of different software systems. Verification is an important task that ensures contract conformance among components. However, curren</t>
        </is>
      </c>
      <c r="J87" s="17" t="inlineStr">
        <is>
          <t>Include</t>
        </is>
      </c>
      <c r="K87" s="17" t="inlineStr">
        <is>
          <t>Include</t>
        </is>
      </c>
      <c r="L87" s="17" t="inlineStr">
        <is>
          <t>Include</t>
        </is>
      </c>
      <c r="M87" s="17" t="inlineStr"/>
    </row>
    <row r="88" ht="15" customHeight="1" s="12">
      <c r="A88" s="17" t="n">
        <v>86</v>
      </c>
      <c r="B88" s="17" t="inlineStr">
        <is>
          <t>ScienceDirect</t>
        </is>
      </c>
      <c r="C88" s="17" t="inlineStr">
        <is>
          <t>Thabiso Matsaba</t>
        </is>
      </c>
      <c r="D88" s="17" t="inlineStr">
        <is>
          <t>Modeling, analyzing and predicting security cascading attacks in smart buildings systems-of-systems</t>
        </is>
      </c>
      <c r="E88" s="17" t="inlineStr">
        <is>
          <t>Hachem, Jamal EL; Chiprianov, Vanea; Babar, Muhammad Ali; Khalil, Tarek AL; Aniorte, Philippe</t>
        </is>
      </c>
      <c r="F88" s="17" t="n">
        <v>2020</v>
      </c>
      <c r="G88" s="17" t="inlineStr">
        <is>
          <t>Journal of Systems and Software</t>
        </is>
      </c>
      <c r="H88" s="17" t="inlineStr">
        <is>
          <t>https://doi.org/10.1016/j.jss.2019.110484</t>
        </is>
      </c>
      <c r="I88" s="17" t="inlineStr">
        <is>
          <t>Software systems intelligence and complexity have been continuously increasing to deliver more and more features to support business critical and mission critical processes in numerous domains such as defense, health-care, and smart cities. Contemporary software-based solutions are composed of several software systems, that form System-of-Systems (SoS). SoS differentiating characteristics, such as</t>
        </is>
      </c>
      <c r="J88" s="17" t="inlineStr">
        <is>
          <t>Include</t>
        </is>
      </c>
      <c r="K88" s="17" t="inlineStr">
        <is>
          <t>Include</t>
        </is>
      </c>
      <c r="L88" s="17" t="inlineStr">
        <is>
          <t>Include</t>
        </is>
      </c>
      <c r="M88" s="17" t="inlineStr"/>
    </row>
    <row r="89" ht="15" customHeight="1" s="12">
      <c r="A89" s="17" t="n">
        <v>87</v>
      </c>
      <c r="B89" s="17" t="inlineStr">
        <is>
          <t>ScienceDirect</t>
        </is>
      </c>
      <c r="C89" s="17" t="inlineStr">
        <is>
          <t>Thabiso Matsaba</t>
        </is>
      </c>
      <c r="D89" s="17" t="inlineStr">
        <is>
          <t>Optimization methods for model-implemented fault injection in cyber–physical systems: A Systematic Literature Review</t>
        </is>
      </c>
      <c r="E89" s="17" t="inlineStr">
        <is>
          <t>Moradi, Mehrdad; Fabarisov, Tagir; Kilincceker, Onur; Challenger, Moharram; Denil, Joachim</t>
        </is>
      </c>
      <c r="F89" s="17" t="n">
        <v>2026</v>
      </c>
      <c r="G89" s="17" t="inlineStr">
        <is>
          <t>Journal of Systems and Software</t>
        </is>
      </c>
      <c r="H89" s="17" t="inlineStr">
        <is>
          <t>https://doi.org/10.1016/j.jss.2026.112957</t>
        </is>
      </c>
      <c r="I89" s="17" t="inlineStr">
        <is>
          <t>Fault injection techniques are broadly used for dependability analysis of cyber–physical systems; however, they need to be optimized in terms of fault coverage and performance due to the enormous fault space. In this paper, we provide a systematic literature review of existing methods for model-implemented fault injection. Our main research questions investigate (1) the goals of performing model-i</t>
        </is>
      </c>
      <c r="J89" s="17" t="inlineStr">
        <is>
          <t>Include</t>
        </is>
      </c>
      <c r="K89" s="17" t="inlineStr">
        <is>
          <t>Include</t>
        </is>
      </c>
      <c r="L89" s="17" t="inlineStr">
        <is>
          <t>Include</t>
        </is>
      </c>
      <c r="M89" s="17" t="inlineStr"/>
    </row>
    <row r="90" ht="15" customHeight="1" s="12">
      <c r="A90" s="17" t="n">
        <v>88</v>
      </c>
      <c r="B90" s="17" t="inlineStr">
        <is>
          <t>ScienceDirect</t>
        </is>
      </c>
      <c r="C90" s="17" t="inlineStr">
        <is>
          <t>Thabiso Matsaba</t>
        </is>
      </c>
      <c r="D90" s="17" t="inlineStr">
        <is>
          <t>Developing software systems to Big Data platform based on MapReduce model: An approach based on Model Driven Engineering</t>
        </is>
      </c>
      <c r="E90" s="17" t="inlineStr">
        <is>
          <t>Osvaldo, S. Sousa; Lopes, Denivaldo; Silva, Aristófanes C.; Abdelouahab, Zair</t>
        </is>
      </c>
      <c r="F90" s="17" t="n">
        <v>2017</v>
      </c>
      <c r="G90" s="17" t="inlineStr">
        <is>
          <t>Information and Software Technology</t>
        </is>
      </c>
      <c r="H90" s="17" t="inlineStr">
        <is>
          <t>https://doi.org/10.1016/j.infsof.2017.07.006</t>
        </is>
      </c>
      <c r="I90" s="17" t="inlineStr">
        <is>
          <t>Context: The need to analyze a large volume and variety of data for the purpose of extracting information has been promoting investments in Big Data, e.g., for storage, analysis and, more recently, methodologies and approaches for software system development for Big Data platforms. The application of software engineering for Big Data is recent and emerging, so in the literature we find a number of</t>
        </is>
      </c>
      <c r="J90" s="17" t="inlineStr">
        <is>
          <t>Include</t>
        </is>
      </c>
      <c r="K90" s="17" t="inlineStr">
        <is>
          <t>Include</t>
        </is>
      </c>
      <c r="L90" s="17" t="inlineStr">
        <is>
          <t>Include</t>
        </is>
      </c>
      <c r="M90" s="17" t="inlineStr"/>
    </row>
    <row r="91" ht="15" customHeight="1" s="12">
      <c r="A91" s="17" t="n">
        <v>89</v>
      </c>
      <c r="B91" s="17" t="inlineStr">
        <is>
          <t>ScienceDirect</t>
        </is>
      </c>
      <c r="C91" s="17" t="inlineStr">
        <is>
          <t>Thabiso Matsaba</t>
        </is>
      </c>
      <c r="D91" s="17" t="inlineStr">
        <is>
          <t>Finding faults: A scoping study of fault diagnostics for Industrial Cyber–Physical Systems</t>
        </is>
      </c>
      <c r="E91" s="17" t="inlineStr">
        <is>
          <t>Dowdeswell, Barry; Sinha, Roopak; MacDonell, Stephen G.</t>
        </is>
      </c>
      <c r="F91" s="17" t="n">
        <v>2020</v>
      </c>
      <c r="G91" s="17" t="inlineStr">
        <is>
          <t>Journal of Systems and Software</t>
        </is>
      </c>
      <c r="H91" s="17" t="inlineStr">
        <is>
          <t>https://doi.org/10.1016/j.jss.2020.110638</t>
        </is>
      </c>
      <c r="I91" s="17" t="inlineStr">
        <is>
          <t xml:space="preserve">Context:
As Industrial Cyber–Physical Systems (ICPS) become more connected and widely-distributed, often operating in safety-critical environments, we require innovative approaches to detect and diagnose the faults that occur in them.
Objective:
We profile fault identification and diagnosis techniques employed in the aerospace, automotive, and industrial control domains. Each of these sectors has </t>
        </is>
      </c>
      <c r="J91" s="17" t="inlineStr">
        <is>
          <t>Include</t>
        </is>
      </c>
      <c r="K91" s="17" t="inlineStr">
        <is>
          <t>Include</t>
        </is>
      </c>
      <c r="L91" s="17" t="inlineStr">
        <is>
          <t>Include</t>
        </is>
      </c>
      <c r="M91" s="17" t="inlineStr"/>
    </row>
    <row r="92" ht="15" customHeight="1" s="12">
      <c r="A92" s="17" t="n">
        <v>90</v>
      </c>
      <c r="B92" s="17" t="inlineStr">
        <is>
          <t>ScienceDirect</t>
        </is>
      </c>
      <c r="C92" s="17" t="inlineStr">
        <is>
          <t>Thabiso Matsaba</t>
        </is>
      </c>
      <c r="D92" s="17" t="inlineStr">
        <is>
          <t>A data-driven decision model for selecting ML models in research software</t>
        </is>
      </c>
      <c r="E92" s="17" t="inlineStr">
        <is>
          <t>Baninemeh, Elena; Steffens, Lex; Jansen, Slinger; Farshidi, Siamak</t>
        </is>
      </c>
      <c r="F92" s="17" t="n">
        <v>2026</v>
      </c>
      <c r="G92" s="17" t="inlineStr">
        <is>
          <t>Journal of Systems and Software</t>
        </is>
      </c>
      <c r="H92" s="17" t="inlineStr">
        <is>
          <t>https://doi.org/10.1016/j.jss.2026.112821</t>
        </is>
      </c>
      <c r="I92" s="17" t="inlineStr">
        <is>
          <t>Context: The process of selecting machine learning models is complex for research software engineers, requiring careful consideration of factors like trainability and comprehensibility to ensure long-term usability and success. Objective: This study aims to develop and evaluate a data-driven decision model that supports research software engineers in systematically selecting suitable ML models for</t>
        </is>
      </c>
      <c r="J92" s="17" t="inlineStr">
        <is>
          <t>Include</t>
        </is>
      </c>
      <c r="K92" s="17" t="inlineStr">
        <is>
          <t>Include</t>
        </is>
      </c>
      <c r="L92" s="17" t="inlineStr">
        <is>
          <t>Include</t>
        </is>
      </c>
      <c r="M92" s="17" t="inlineStr"/>
    </row>
    <row r="93" ht="15" customHeight="1" s="12">
      <c r="A93" s="17" t="n">
        <v>91</v>
      </c>
      <c r="B93" s="17" t="inlineStr">
        <is>
          <t>ScienceDirect</t>
        </is>
      </c>
      <c r="C93" s="17" t="inlineStr">
        <is>
          <t>Thabiso Matsaba</t>
        </is>
      </c>
      <c r="D93" s="17" t="inlineStr">
        <is>
          <t>Developing Mobile Applications Via Model Driven Development: A Systematic Literature Review</t>
        </is>
      </c>
      <c r="E93" s="17" t="inlineStr">
        <is>
          <t>Shamsujjoha, Md.; Grundy, John; Li, Li; Khalajzadeh, Hourieh; Lu, Qinghua</t>
        </is>
      </c>
      <c r="F93" s="17" t="n">
        <v>2021</v>
      </c>
      <c r="G93" s="17" t="inlineStr">
        <is>
          <t>Information and Software Technology</t>
        </is>
      </c>
      <c r="H93" s="17" t="inlineStr">
        <is>
          <t>https://doi.org/10.1016/j.infsof.2021.106693</t>
        </is>
      </c>
      <c r="I93" s="17" t="inlineStr">
        <is>
          <t>Context:
Mobile applications (known as “apps”) usage continues to rapidly increase, with many new apps being developed and deployed. However, developing a mobile app is challenging due to its dependencies on devices, technologies, platforms, and deadlines to reach the market. One potential approach is to use Model Driven Development (MDD) techniques that simplify the app development process, reduc</t>
        </is>
      </c>
      <c r="J93" s="17" t="inlineStr">
        <is>
          <t>Include</t>
        </is>
      </c>
      <c r="K93" s="17" t="inlineStr">
        <is>
          <t>Include</t>
        </is>
      </c>
      <c r="L93" s="17" t="inlineStr">
        <is>
          <t>Include</t>
        </is>
      </c>
      <c r="M93" s="17" t="inlineStr"/>
    </row>
    <row r="94" ht="15" customHeight="1" s="12">
      <c r="A94" s="17" t="n">
        <v>92</v>
      </c>
      <c r="B94" s="17" t="inlineStr">
        <is>
          <t>ScienceDirect</t>
        </is>
      </c>
      <c r="C94" s="17" t="inlineStr">
        <is>
          <t>Thabiso Matsaba</t>
        </is>
      </c>
      <c r="D94" s="17" t="inlineStr">
        <is>
          <t>A conceptual and architectural characterization of antifragile systems</t>
        </is>
      </c>
      <c r="E94" s="17" t="inlineStr">
        <is>
          <t>Grassi, Vincenzo; Mirandola, Raffaela; Perez-Palacin, Diego</t>
        </is>
      </c>
      <c r="F94" s="17" t="n">
        <v>2024</v>
      </c>
      <c r="G94" s="17" t="inlineStr">
        <is>
          <t>Journal of Systems and Software</t>
        </is>
      </c>
      <c r="H94" s="17" t="inlineStr">
        <is>
          <t>https://doi.org/10.1016/j.jss.2024.112051</t>
        </is>
      </c>
      <c r="I94" s="17" t="inlineStr">
        <is>
          <t>Antifragility is one of the terms that have recently emerged with the aim of indicating a direction that should be pursued toward the objective of designing Information and Communications Technology systems that remain trustworthy despite their dynamic and evolving operating context. We present a characterization of antifragility, aiming to clarify from a conceptual viewpoint the implications of i</t>
        </is>
      </c>
      <c r="J94" s="17" t="inlineStr">
        <is>
          <t>Include</t>
        </is>
      </c>
      <c r="K94" s="17" t="inlineStr">
        <is>
          <t>Include</t>
        </is>
      </c>
      <c r="L94" s="17" t="inlineStr">
        <is>
          <t>Include</t>
        </is>
      </c>
      <c r="M94" s="17" t="inlineStr"/>
    </row>
    <row r="95" ht="15" customHeight="1" s="12">
      <c r="A95" s="17" t="n">
        <v>93</v>
      </c>
      <c r="B95" s="17" t="inlineStr">
        <is>
          <t>ScienceDirect</t>
        </is>
      </c>
      <c r="C95" s="17" t="inlineStr">
        <is>
          <t>Thabiso Matsaba</t>
        </is>
      </c>
      <c r="D95" s="17" t="inlineStr">
        <is>
          <t>Model-based safety analysis of requirement specifications</t>
        </is>
      </c>
      <c r="E95" s="17" t="inlineStr">
        <is>
          <t>Mokos, Konstantinos; Katsaros, Panagiotis; Bohn, Preben</t>
        </is>
      </c>
      <c r="F95" s="17" t="n">
        <v>2025</v>
      </c>
      <c r="G95" s="17" t="inlineStr">
        <is>
          <t>Journal of Systems and Software</t>
        </is>
      </c>
      <c r="H95" s="17" t="inlineStr">
        <is>
          <t>https://doi.org/10.1016/j.jss.2024.112231</t>
        </is>
      </c>
      <c r="I95" s="17" t="inlineStr">
        <is>
          <t>Model-based design primarily aims to establish a communication framework throughout a system’s design. Moreover, models with formal semantics allow verification based on rigorous methods, including the analysis of system safety. However, building formal models is a tedious manual process and cannot be easily applied to real problems. A key gap that hinders automation of model development is that t</t>
        </is>
      </c>
      <c r="J95" s="17" t="inlineStr">
        <is>
          <t>Include</t>
        </is>
      </c>
      <c r="K95" s="17" t="inlineStr">
        <is>
          <t>Include</t>
        </is>
      </c>
      <c r="L95" s="17" t="inlineStr">
        <is>
          <t>Include</t>
        </is>
      </c>
      <c r="M95" s="17" t="inlineStr"/>
    </row>
    <row r="96" ht="15" customHeight="1" s="12">
      <c r="A96" s="17" t="n">
        <v>94</v>
      </c>
      <c r="B96" s="17" t="inlineStr">
        <is>
          <t>ScienceDirect</t>
        </is>
      </c>
      <c r="C96" s="17" t="inlineStr">
        <is>
          <t>Thabiso Matsaba</t>
        </is>
      </c>
      <c r="D96" s="17" t="inlineStr">
        <is>
          <t>Runtime composition in dynamic system of systems: A systematic review of challenges, solutions, tools, and evaluation methods</t>
        </is>
      </c>
      <c r="E96" s="17" t="inlineStr">
        <is>
          <t>Ashfaq, Muhammad; Sadik, Ahmed R.; Das, Teerath; Waseem, Muhammad; Mäkitalo, Niko; Mikkonen, Tommi</t>
        </is>
      </c>
      <c r="F96" s="17" t="n">
        <v>2026</v>
      </c>
      <c r="G96" s="17" t="inlineStr">
        <is>
          <t>Journal of Systems and Software</t>
        </is>
      </c>
      <c r="H96" s="17" t="inlineStr">
        <is>
          <t>https://doi.org/10.1016/j.jss.2025.112661</t>
        </is>
      </c>
      <c r="I96" s="17" t="inlineStr">
        <is>
          <t>Context:Modern Systems of Systems (SoSs) increasingly operate in dynamic environments (e.g., smart cities, autonomous vehicles) where runtime composition—the on-the-fly discovery, integration, and coordination of constituent systems (CSs)—is crucial for adaptability. Despite growing interest, the literature lacks a cohesive synthesis of runtime composition in dynamic SoSs. Objective:This study syn</t>
        </is>
      </c>
      <c r="J96" s="17" t="inlineStr">
        <is>
          <t>Include</t>
        </is>
      </c>
      <c r="K96" s="17" t="inlineStr">
        <is>
          <t>Include</t>
        </is>
      </c>
      <c r="L96" s="17" t="inlineStr">
        <is>
          <t>Include</t>
        </is>
      </c>
      <c r="M96" s="17" t="inlineStr"/>
    </row>
    <row r="97" ht="15" customHeight="1" s="12">
      <c r="A97" s="17" t="n">
        <v>95</v>
      </c>
      <c r="B97" s="17" t="inlineStr">
        <is>
          <t>ScienceDirect</t>
        </is>
      </c>
      <c r="C97" s="17" t="inlineStr">
        <is>
          <t>Thabiso Matsaba</t>
        </is>
      </c>
      <c r="D97" s="17" t="inlineStr">
        <is>
          <t>Supporting meta-model-based language evolution and rapid prototyping with automated grammar transformation</t>
        </is>
      </c>
      <c r="E97" s="17" t="inlineStr">
        <is>
          <t>Zhang, Weixing; Holtmann, Jörg; Strüber, Daniel; Hebig, Regina; Steghöfer, Jan-Philipp</t>
        </is>
      </c>
      <c r="F97" s="17" t="n">
        <v>2024</v>
      </c>
      <c r="G97" s="17" t="inlineStr">
        <is>
          <t>Journal of Systems and Software</t>
        </is>
      </c>
      <c r="H97" s="17" t="inlineStr">
        <is>
          <t>https://doi.org/10.1016/j.jss.2024.112069</t>
        </is>
      </c>
      <c r="I97" s="17" t="inlineStr">
        <is>
          <t>In model-driven engineering, developing a textual domain-specific language (DSL) involves constructing a meta-model, which defines an underlying abstract syntax, and a grammar, which defines the concrete syntax for the DSL. We consider a scenario in which the meta-model is manually maintained, which is common in various contexts, such as blended modeling, in which several concrete syntaxes co-exis</t>
        </is>
      </c>
      <c r="J97" s="17" t="inlineStr">
        <is>
          <t>Include</t>
        </is>
      </c>
      <c r="K97" s="17" t="inlineStr">
        <is>
          <t>Include</t>
        </is>
      </c>
      <c r="L97" s="17" t="inlineStr">
        <is>
          <t>Include</t>
        </is>
      </c>
      <c r="M97" s="17" t="inlineStr"/>
    </row>
    <row r="98" ht="15" customHeight="1" s="12">
      <c r="A98" s="17" t="n">
        <v>96</v>
      </c>
      <c r="B98" s="17" t="inlineStr">
        <is>
          <t>ScienceDirect</t>
        </is>
      </c>
      <c r="C98" s="17" t="inlineStr">
        <is>
          <t>Thabiso Matsaba</t>
        </is>
      </c>
      <c r="D98" s="17" t="inlineStr">
        <is>
          <t>An architectural perspective on MLOps: Structures, processes, tools, and stakeholders</t>
        </is>
      </c>
      <c r="E98" s="17" t="inlineStr">
        <is>
          <t>Amou Najafabadi, Faezeh; Bogner, Justus; Gerostathopoulos, Ilias; Lago, Patricia</t>
        </is>
      </c>
      <c r="F98" s="17" t="n">
        <v>2026</v>
      </c>
      <c r="G98" s="17" t="inlineStr">
        <is>
          <t>Information and Software Technology</t>
        </is>
      </c>
      <c r="H98" s="17" t="inlineStr">
        <is>
          <t>https://doi.org/10.1016/j.infsof.2026.108029</t>
        </is>
      </c>
      <c r="I98" s="17" t="inlineStr">
        <is>
          <t>Context:
Despite the increasing adoption of Machine Learning Operations (MLOps), teams still encounter challenges in effectively applying this paradigm to their projects. While numerous MLOps tools exist, consolidated knowledge to inform architecture design is still lacking.
Objective:
In response, our goal is to provide a comprehensive overview of MLOps architectures from a structural and process</t>
        </is>
      </c>
      <c r="J98" s="17" t="inlineStr">
        <is>
          <t>Include</t>
        </is>
      </c>
      <c r="K98" s="17" t="inlineStr">
        <is>
          <t>Include</t>
        </is>
      </c>
      <c r="L98" s="17" t="inlineStr">
        <is>
          <t>Include</t>
        </is>
      </c>
      <c r="M98" s="17" t="inlineStr"/>
    </row>
    <row r="99" ht="15" customHeight="1" s="12">
      <c r="A99" s="17" t="n">
        <v>97</v>
      </c>
      <c r="B99" s="17" t="inlineStr">
        <is>
          <t>ScienceDirect</t>
        </is>
      </c>
      <c r="C99" s="17" t="inlineStr">
        <is>
          <t>Thabiso Matsaba</t>
        </is>
      </c>
      <c r="D99" s="17" t="inlineStr">
        <is>
          <t>Evolving models in Model-Driven Engineering: State-of-the-art and future challenges</t>
        </is>
      </c>
      <c r="E99" s="17" t="inlineStr">
        <is>
          <t>Paige, Richard F.; Matragkas, Nicholas; Rose, Louis M.</t>
        </is>
      </c>
      <c r="F99" s="17" t="n">
        <v>2016</v>
      </c>
      <c r="G99" s="17" t="inlineStr">
        <is>
          <t>Journal of Systems and Software</t>
        </is>
      </c>
      <c r="H99" s="17" t="inlineStr">
        <is>
          <t>https://doi.org/10.1016/j.jss.2015.08.047</t>
        </is>
      </c>
      <c r="I99" s="17" t="inlineStr">
        <is>
          <t xml:space="preserve">The artefacts used in Model-Driven Engineering (MDE) evolve as a matter of course: models are modified and updated as part of the engineering process; metamodels change as a result of domain analysis and standardisation efforts; and the operations applied to models change as engineering requirements change. MDE artefacts are inter-related, and simultaneously constrain each other, making evolution </t>
        </is>
      </c>
      <c r="J99" s="17" t="inlineStr">
        <is>
          <t>Include</t>
        </is>
      </c>
      <c r="K99" s="17" t="inlineStr">
        <is>
          <t>Include</t>
        </is>
      </c>
      <c r="L99" s="17" t="inlineStr">
        <is>
          <t>Include</t>
        </is>
      </c>
      <c r="M99" s="17" t="inlineStr"/>
    </row>
    <row r="100" ht="15" customHeight="1" s="12">
      <c r="A100" s="17" t="n">
        <v>98</v>
      </c>
      <c r="B100" s="17" t="inlineStr">
        <is>
          <t>ScienceDirect</t>
        </is>
      </c>
      <c r="C100" s="17" t="inlineStr">
        <is>
          <t>Thabiso Matsaba</t>
        </is>
      </c>
      <c r="D100" s="17" t="inlineStr">
        <is>
          <t>A systematic literature review on model-based requirements engineering</t>
        </is>
      </c>
      <c r="E100" s="17" t="inlineStr">
        <is>
          <t>Zhao, Zhongpei; Zhou, Zhengshu</t>
        </is>
      </c>
      <c r="F100" s="17" t="n">
        <v>2026</v>
      </c>
      <c r="G100" s="17" t="inlineStr">
        <is>
          <t>Journal of Systems and Software</t>
        </is>
      </c>
      <c r="H100" s="17" t="inlineStr">
        <is>
          <t>https://doi.org/10.1016/j.jss.2026.112836</t>
        </is>
      </c>
      <c r="I100" s="17" t="inlineStr">
        <is>
          <t>Over the past decade and a half, significant methodological and technological advancements have been made in Model-Based Requirements Engineering (MBRE). This study conducts a survey to investigate the evolutionary trends in MBRE research from 2010 to 2025, with a focus on five critical dimensions: modeling methodologies, requirements engineering activities, quality assurance mechanisms, applicati</t>
        </is>
      </c>
      <c r="J100" s="17" t="inlineStr">
        <is>
          <t>Include</t>
        </is>
      </c>
      <c r="K100" s="17" t="inlineStr">
        <is>
          <t>Include</t>
        </is>
      </c>
      <c r="L100" s="17" t="inlineStr">
        <is>
          <t>Include</t>
        </is>
      </c>
      <c r="M100" s="17" t="inlineStr"/>
    </row>
    <row r="101" ht="15" customHeight="1" s="12">
      <c r="A101" s="17" t="n">
        <v>99</v>
      </c>
      <c r="B101" s="17" t="inlineStr">
        <is>
          <t>ScienceDirect</t>
        </is>
      </c>
      <c r="C101" s="17" t="inlineStr">
        <is>
          <t>Thabiso Matsaba</t>
        </is>
      </c>
      <c r="D101" s="17" t="inlineStr">
        <is>
          <t>Specifying uncertainty in use case models</t>
        </is>
      </c>
      <c r="E101" s="17" t="inlineStr">
        <is>
          <t>Zhang, Man; Yue, Tao; Ali, Shaukat; Selic, Bran; Okariz, Oscar; Norgre, Roland; Intxausti, Karmele</t>
        </is>
      </c>
      <c r="F101" s="17" t="n">
        <v>2018</v>
      </c>
      <c r="G101" s="17" t="inlineStr">
        <is>
          <t>Journal of Systems and Software</t>
        </is>
      </c>
      <c r="H101" s="17" t="inlineStr">
        <is>
          <t>https://doi.org/10.1016/j.jss.2018.06.075</t>
        </is>
      </c>
      <c r="I101" s="17" t="inlineStr">
        <is>
          <t>Context
Latent uncertainty in the context of software-intensive systems (e.g., Cyber-Physical Systems (CPSs)) demands explicit attention right from the start of development. Use case modeling—a commonly used method for specifying requirements in practice, should also be extended for explicitly specifying uncertainty.
Objective
Since uncertainty is a common phenomenon in requirements engineering, i</t>
        </is>
      </c>
      <c r="J101" s="17" t="inlineStr">
        <is>
          <t>Include</t>
        </is>
      </c>
      <c r="K101" s="17" t="inlineStr">
        <is>
          <t>Include</t>
        </is>
      </c>
      <c r="L101" s="17" t="inlineStr">
        <is>
          <t>Include</t>
        </is>
      </c>
      <c r="M101" s="17" t="inlineStr"/>
    </row>
    <row r="102" ht="15" customHeight="1" s="12">
      <c r="A102" s="17" t="n">
        <v>100</v>
      </c>
      <c r="B102" s="17" t="inlineStr">
        <is>
          <t>ScienceDirect</t>
        </is>
      </c>
      <c r="C102" s="17" t="inlineStr">
        <is>
          <t>Thabiso Matsaba</t>
        </is>
      </c>
      <c r="D102" s="17" t="inlineStr">
        <is>
          <t>Performance comparison of query-based techniques for anti-pattern detection</t>
        </is>
      </c>
      <c r="E102" s="17" t="inlineStr">
        <is>
          <t>Ujhelyi, Zoltán; Szőke, Gábor; Horváth, Ákos; Csiszár, Norbert István; Vidács, László; Varró, Dániel; Ferenc, Rudolf</t>
        </is>
      </c>
      <c r="F102" s="17" t="n">
        <v>2015</v>
      </c>
      <c r="G102" s="17" t="inlineStr">
        <is>
          <t>Information and Software Technology</t>
        </is>
      </c>
      <c r="H102" s="17" t="inlineStr">
        <is>
          <t>https://doi.org/10.1016/j.infsof.2015.01.003</t>
        </is>
      </c>
      <c r="I102" s="17" t="inlineStr">
        <is>
          <t>Context
Program queries play an important role in several software evolution tasks like program comprehension, impact analysis, or the automated identification of anti-patterns for complex refactoring operations. A central artifact of these tasks is the reverse engineered program model built up from the source code (usually an Abstract Semantic Graph, ASG), which is traditionally post-processed by</t>
        </is>
      </c>
      <c r="J102" s="17" t="inlineStr">
        <is>
          <t>Include</t>
        </is>
      </c>
      <c r="K102" s="17" t="inlineStr">
        <is>
          <t>Include</t>
        </is>
      </c>
      <c r="L102" s="17" t="inlineStr">
        <is>
          <t>Include</t>
        </is>
      </c>
      <c r="M102" s="17" t="inlineStr"/>
    </row>
    <row r="103" ht="15" customHeight="1" s="12">
      <c r="A103" s="17" t="n">
        <v>101</v>
      </c>
      <c r="B103" s="17" t="inlineStr">
        <is>
          <t>ScienceDirect</t>
        </is>
      </c>
      <c r="C103" s="17" t="inlineStr">
        <is>
          <t>Thabiso Matsaba</t>
        </is>
      </c>
      <c r="D103" s="17" t="inlineStr">
        <is>
          <t>Structured policy modeling and context-aware generation for multi-jurisdictional compliance in global software systems</t>
        </is>
      </c>
      <c r="E103" s="17" t="inlineStr">
        <is>
          <t>Zhuang, Zhixian; Lee, Xiaodong; Zhang, Aiyao; Wei, Jiuqi; Fu, Yufan; Peng, Botao</t>
        </is>
      </c>
      <c r="F103" s="17" t="n">
        <v>2026</v>
      </c>
      <c r="G103" s="17" t="inlineStr">
        <is>
          <t>Information and Software Technology</t>
        </is>
      </c>
      <c r="H103" s="17" t="inlineStr">
        <is>
          <t>https://doi.org/10.1016/j.infsof.2026.108041</t>
        </is>
      </c>
      <c r="I103" s="17" t="inlineStr">
        <is>
          <t xml:space="preserve">Context:
Legal compliance is increasingly vital in software systems that process personal data across jurisdictions, yet ensuring adherence to diverse regulatory requirements remains challenging throughout the development lifecycle.
Objective:
We aim to develop a modular framework that enables automated, context-aware compliance policy generation and seamless integration into software engineering </t>
        </is>
      </c>
      <c r="J103" s="17" t="inlineStr">
        <is>
          <t>Include</t>
        </is>
      </c>
      <c r="K103" s="17" t="inlineStr">
        <is>
          <t>Include</t>
        </is>
      </c>
      <c r="L103" s="17" t="inlineStr">
        <is>
          <t>Include</t>
        </is>
      </c>
      <c r="M103" s="17" t="inlineStr"/>
    </row>
    <row r="104" ht="15" customHeight="1" s="12">
      <c r="A104" s="17" t="n">
        <v>102</v>
      </c>
      <c r="B104" s="17" t="inlineStr">
        <is>
          <t>ScienceDirect</t>
        </is>
      </c>
      <c r="C104" s="17" t="inlineStr">
        <is>
          <t>Thabiso Matsaba</t>
        </is>
      </c>
      <c r="D104" s="17" t="inlineStr">
        <is>
          <t>A method to generate reusable safety case argument-fragments from compositional safety analysis</t>
        </is>
      </c>
      <c r="E104" s="17" t="inlineStr">
        <is>
          <t>Šljivo, Irfan; Gallina, Barbara; Carlson, Jan; Hansson, Hans; Puri, Stefano</t>
        </is>
      </c>
      <c r="F104" s="17" t="n">
        <v>2017</v>
      </c>
      <c r="G104" s="17" t="inlineStr">
        <is>
          <t>Journal of Systems and Software</t>
        </is>
      </c>
      <c r="H104" s="17" t="inlineStr">
        <is>
          <t>https://doi.org/10.1016/j.jss.2016.07.034</t>
        </is>
      </c>
      <c r="I104" s="17" t="inlineStr">
        <is>
          <t>Safety-critical systems usually need to be accompanied by an explained and well-founded body of evidence to show that the system is acceptably safe. While reuse within such systems covers mainly code, reusing accompanying safety artefacts is limited due to a wide range of context dependencies that need to be satisfied for safety evidence to be valid in a different context. Currently, the most comm</t>
        </is>
      </c>
      <c r="J104" s="17" t="inlineStr">
        <is>
          <t>Include</t>
        </is>
      </c>
      <c r="K104" s="17" t="inlineStr">
        <is>
          <t>Include</t>
        </is>
      </c>
      <c r="L104" s="17" t="inlineStr">
        <is>
          <t>Include</t>
        </is>
      </c>
      <c r="M104" s="17" t="inlineStr"/>
    </row>
    <row r="105" ht="15" customHeight="1" s="12">
      <c r="A105" s="17" t="n">
        <v>103</v>
      </c>
      <c r="B105" s="17" t="inlineStr">
        <is>
          <t>ScienceDirect</t>
        </is>
      </c>
      <c r="C105" s="17" t="inlineStr">
        <is>
          <t>Thabiso Matsaba</t>
        </is>
      </c>
      <c r="D105" s="17" t="inlineStr">
        <is>
          <t>Understanding the issues, their causes and solutions in microservices systems: An empirical study</t>
        </is>
      </c>
      <c r="E105" s="17" t="inlineStr">
        <is>
          <t>Waseem, Muhammad; Liang, Peng; Ahmad, Aakash; Khan, Arif Ali; Shahin, Mojtaba; Nasab, Ali Rezaei; Mikkonen, Tommi; Abrahamsson, Pekka</t>
        </is>
      </c>
      <c r="F105" s="17" t="n">
        <v>2026</v>
      </c>
      <c r="G105" s="17" t="inlineStr">
        <is>
          <t>Journal of Systems and Software</t>
        </is>
      </c>
      <c r="H105" s="17" t="inlineStr">
        <is>
          <t>https://doi.org/10.1016/j.jss.2026.112828</t>
        </is>
      </c>
      <c r="I105" s="17" t="inlineStr">
        <is>
          <t>Many small to large organizations have adopted the Microservices Architecture (MSA) style to develop and deliver their core businesses. Despite the popularity of MSA in the software industry, there is a limited evidence-based and thorough understanding of the types of issues (e.g., errors, faults, failures, and bugs) that microservices system developers experience, the causes of the issues, and th</t>
        </is>
      </c>
      <c r="J105" s="17" t="inlineStr">
        <is>
          <t>Include</t>
        </is>
      </c>
      <c r="K105" s="17" t="inlineStr">
        <is>
          <t>Include</t>
        </is>
      </c>
      <c r="L105" s="17" t="inlineStr">
        <is>
          <t>Include</t>
        </is>
      </c>
      <c r="M105" s="17" t="inlineStr"/>
    </row>
    <row r="106" ht="15" customHeight="1" s="12">
      <c r="A106" s="17" t="n">
        <v>104</v>
      </c>
      <c r="B106" s="17" t="inlineStr">
        <is>
          <t>ScienceDirect</t>
        </is>
      </c>
      <c r="C106" s="17" t="inlineStr">
        <is>
          <t>Thabiso Matsaba</t>
        </is>
      </c>
      <c r="D106" s="17" t="inlineStr">
        <is>
          <t>Software product families from a phylogenetics perspective for video game content generation</t>
        </is>
      </c>
      <c r="E106" s="17" t="inlineStr">
        <is>
          <t>Navarro, Samuel; Chueca, Jorge; Blasco, Daniel; Cetina, Carlos; Font, Jaime</t>
        </is>
      </c>
      <c r="F106" s="17" t="n">
        <v>2026</v>
      </c>
      <c r="G106" s="17" t="inlineStr">
        <is>
          <t>Journal of Systems and Software</t>
        </is>
      </c>
      <c r="H106" s="17" t="inlineStr">
        <is>
          <t>https://doi.org/10.1016/j.jss.2025.112649</t>
        </is>
      </c>
      <c r="I106" s="17" t="inlineStr">
        <is>
          <t>A Software Product Family comprises similar products within a defined scope that share common characteristics, often due to reuse techniques applied during development. This paper introduces two approaches that apply biological insights to map the landscape of a software product family, identifying potential gaps within its scope, and identifying and extracting features from the family, respective</t>
        </is>
      </c>
      <c r="J106" s="17" t="inlineStr">
        <is>
          <t>Include</t>
        </is>
      </c>
      <c r="K106" s="17" t="inlineStr">
        <is>
          <t>Include</t>
        </is>
      </c>
      <c r="L106" s="17" t="inlineStr">
        <is>
          <t>Include</t>
        </is>
      </c>
      <c r="M106" s="17" t="inlineStr"/>
    </row>
    <row r="107" ht="15" customHeight="1" s="12">
      <c r="A107" s="17" t="n">
        <v>105</v>
      </c>
      <c r="B107" s="17" t="inlineStr">
        <is>
          <t>ScienceDirect</t>
        </is>
      </c>
      <c r="C107" s="17" t="inlineStr">
        <is>
          <t>Thabiso Matsaba</t>
        </is>
      </c>
      <c r="D107" s="17" t="inlineStr">
        <is>
          <t>Engineering context-aware systems and applications: A survey</t>
        </is>
      </c>
      <c r="E107" s="17" t="inlineStr">
        <is>
          <t>Alegre, Unai; Augusto, Juan Carlos; Clark, Tony</t>
        </is>
      </c>
      <c r="F107" s="17" t="n">
        <v>2016</v>
      </c>
      <c r="G107" s="17" t="inlineStr">
        <is>
          <t>Journal of Systems and Software</t>
        </is>
      </c>
      <c r="H107" s="17" t="inlineStr">
        <is>
          <t>https://doi.org/10.1016/j.jss.2016.02.010</t>
        </is>
      </c>
      <c r="I107" s="17" t="inlineStr">
        <is>
          <t>Context-awareness is an essential component of systems developed in areas like Intelligent Environments, Pervasive &amp; Ubiquitous Computing and Ambient Intelligence. In these emerging fields, there is a need for computerized systems to have a higher understanding of the situations in which to provide services or functionalities, to adapt accordingly. The literature shows that researchers modify exis</t>
        </is>
      </c>
      <c r="J107" s="17" t="inlineStr">
        <is>
          <t>Include</t>
        </is>
      </c>
      <c r="K107" s="17" t="inlineStr">
        <is>
          <t>Include</t>
        </is>
      </c>
      <c r="L107" s="17" t="inlineStr">
        <is>
          <t>Include</t>
        </is>
      </c>
      <c r="M107" s="17" t="inlineStr"/>
    </row>
    <row r="108" ht="15" customHeight="1" s="12">
      <c r="A108" s="17" t="n">
        <v>106</v>
      </c>
      <c r="B108" s="17" t="inlineStr">
        <is>
          <t>ScienceDirect</t>
        </is>
      </c>
      <c r="C108" s="17" t="inlineStr">
        <is>
          <t>Thabiso Matsaba</t>
        </is>
      </c>
      <c r="D108" s="17" t="inlineStr">
        <is>
          <t>Safety for mobile robotic systems: A systematic mapping study from a software engineering perspective</t>
        </is>
      </c>
      <c r="E108" s="17" t="inlineStr">
        <is>
          <t>Bozhinoski, Darko; Di Ruscio, Davide; Malavolta, Ivano; Pelliccione, Patrizio; Crnkovic, Ivica</t>
        </is>
      </c>
      <c r="F108" s="17" t="n">
        <v>2019</v>
      </c>
      <c r="G108" s="17" t="inlineStr">
        <is>
          <t>Journal of Systems and Software</t>
        </is>
      </c>
      <c r="H108" s="17" t="inlineStr">
        <is>
          <t>https://doi.org/10.1016/j.jss.2019.02.021</t>
        </is>
      </c>
      <c r="I108" s="17" t="inlineStr">
        <is>
          <t>Robotic research is making huge progress. However, existing solutions are facing a number of challenges preventing them from being used in our everyday tasks: (i) robots operate in unknown environments, (ii) robots collaborate with each other and even with humans, and (iii) robots shall never injure people or create damages. Researchers are targeting those challenges from various perspectives, pro</t>
        </is>
      </c>
      <c r="J108" s="17" t="inlineStr">
        <is>
          <t>Include</t>
        </is>
      </c>
      <c r="K108" s="17" t="inlineStr">
        <is>
          <t>Include</t>
        </is>
      </c>
      <c r="L108" s="17" t="inlineStr">
        <is>
          <t>Include</t>
        </is>
      </c>
      <c r="M108" s="17" t="inlineStr"/>
    </row>
    <row r="109" ht="15" customHeight="1" s="12">
      <c r="A109" s="17" t="n">
        <v>107</v>
      </c>
      <c r="B109" s="17" t="inlineStr">
        <is>
          <t>ScienceDirect</t>
        </is>
      </c>
      <c r="C109" s="17" t="inlineStr">
        <is>
          <t>Thabiso Matsaba</t>
        </is>
      </c>
      <c r="D109" s="17" t="inlineStr">
        <is>
          <t>Understanding the challenges and requirements for facilitating iStar learning: An empirical study with iStar learners</t>
        </is>
      </c>
      <c r="E109" s="17" t="inlineStr">
        <is>
          <t>Li, Tong; Zhou, Qixiang; Wang, Yunduo; Xiong, Haonan; Liu, Wenxing; Ge, Ning</t>
        </is>
      </c>
      <c r="F109" s="17" t="n">
        <v>2025</v>
      </c>
      <c r="G109" s="17" t="inlineStr">
        <is>
          <t>Information and Software Technology</t>
        </is>
      </c>
      <c r="H109" s="17" t="inlineStr">
        <is>
          <t>https://doi.org/10.1016/j.infsof.2025.107839</t>
        </is>
      </c>
      <c r="I109" s="17" t="inlineStr">
        <is>
          <t>Context:
As research into the iStar framework continues, more researchers are recognizing its important role in requirements analysis. However, the steep learning curve of the iStar framework hinders widespread adoption in practice. An increasing number of recent studies focus on the practical application of the iStar framework, revealing difficulties in learning and practicing iStar.
Objective:
T</t>
        </is>
      </c>
      <c r="J109" s="17" t="inlineStr">
        <is>
          <t>Include</t>
        </is>
      </c>
      <c r="K109" s="17" t="inlineStr">
        <is>
          <t>Include</t>
        </is>
      </c>
      <c r="L109" s="17" t="inlineStr">
        <is>
          <t>Include</t>
        </is>
      </c>
      <c r="M109" s="17" t="inlineStr"/>
    </row>
    <row r="110" ht="15" customHeight="1" s="12">
      <c r="A110" s="17" t="n">
        <v>108</v>
      </c>
      <c r="B110" s="17" t="inlineStr">
        <is>
          <t>ScienceDirect</t>
        </is>
      </c>
      <c r="C110" s="17" t="inlineStr">
        <is>
          <t>Thabiso Matsaba</t>
        </is>
      </c>
      <c r="D110" s="17" t="inlineStr">
        <is>
          <t>An OSLC-based environment for system-level functional testing of ERTMS/ETCS controllers</t>
        </is>
      </c>
      <c r="E110" s="17" t="inlineStr">
        <is>
          <t>Nardone, Roberto; Marrone, Stefano; Gentile, Ugo; Amato, Aniello; Barberio, Gregorio; Benerecetti, Massimo; De Guglielmo, Renato; Di Martino, Beniamin</t>
        </is>
      </c>
      <c r="F110" s="17" t="n">
        <v>2020</v>
      </c>
      <c r="G110" s="17" t="inlineStr">
        <is>
          <t>Journal of Systems and Software</t>
        </is>
      </c>
      <c r="H110" s="17" t="inlineStr">
        <is>
          <t>https://doi.org/10.1016/j.jss.2019.110478</t>
        </is>
      </c>
      <c r="I110" s="17" t="inlineStr">
        <is>
          <t>Product and application life-cycle management (PLM/ALM) are the processes that govern a product and a software system, respectively, encompassing the creation, deployment and operation of a system from the beginning to the end of its life. As both PLM and ALM require cross-discipline collaboration and cooperation, tools integration and inter-operation are necessary to enable the efficient and effe</t>
        </is>
      </c>
      <c r="J110" s="17" t="inlineStr">
        <is>
          <t>Include</t>
        </is>
      </c>
      <c r="K110" s="17" t="inlineStr">
        <is>
          <t>Include</t>
        </is>
      </c>
      <c r="L110" s="17" t="inlineStr">
        <is>
          <t>Include</t>
        </is>
      </c>
      <c r="M110" s="17" t="inlineStr"/>
    </row>
    <row r="111" ht="15" customHeight="1" s="12">
      <c r="A111" s="17" t="n">
        <v>109</v>
      </c>
      <c r="B111" s="17" t="inlineStr">
        <is>
          <t>ScienceDirect</t>
        </is>
      </c>
      <c r="C111" s="17" t="inlineStr">
        <is>
          <t>Thabiso Matsaba</t>
        </is>
      </c>
      <c r="D111" s="17" t="inlineStr">
        <is>
          <t>Probabilistic program performance analysis with confidence intervals</t>
        </is>
      </c>
      <c r="E111" s="17" t="inlineStr">
        <is>
          <t>Stefanakos, Ioannis; Calinescu, Radu; Gerasimou, Simos</t>
        </is>
      </c>
      <c r="F111" s="17" t="n">
        <v>2023</v>
      </c>
      <c r="G111" s="17" t="inlineStr">
        <is>
          <t>Information and Software Technology</t>
        </is>
      </c>
      <c r="H111" s="17" t="inlineStr">
        <is>
          <t>https://doi.org/10.1016/j.infsof.2022.107143</t>
        </is>
      </c>
      <c r="I111" s="17" t="inlineStr">
        <is>
          <t>Context:
More often than not, the algorithms implemented by software systems continue to operate correctly when executed on different platforms or with different inputs, and can be easily replaced with functionally equivalent ones. However, such changes can have a significant and difficult to predict impact on the software performance, resource use, and other key quality properties.
Objective:
The</t>
        </is>
      </c>
      <c r="J111" s="17" t="inlineStr">
        <is>
          <t>Include</t>
        </is>
      </c>
      <c r="K111" s="17" t="inlineStr">
        <is>
          <t>Include</t>
        </is>
      </c>
      <c r="L111" s="17" t="inlineStr">
        <is>
          <t>Include</t>
        </is>
      </c>
      <c r="M111" s="17" t="inlineStr"/>
    </row>
    <row r="112" ht="15" customHeight="1" s="12">
      <c r="A112" s="17" t="n">
        <v>110</v>
      </c>
      <c r="B112" s="17" t="inlineStr">
        <is>
          <t>ScienceDirect</t>
        </is>
      </c>
      <c r="C112" s="17" t="inlineStr">
        <is>
          <t>Thabiso Matsaba</t>
        </is>
      </c>
      <c r="D112" s="17" t="inlineStr">
        <is>
          <t>AMon: A domain-specific language and framework for adaptive monitoring of Cyber–Physical Systems</t>
        </is>
      </c>
      <c r="E112" s="17" t="inlineStr">
        <is>
          <t>Vierhauser, Michael; Wohlrab, Rebekka; Stadler, Marco; Cleland-Huang, Jane</t>
        </is>
      </c>
      <c r="F112" s="17" t="n">
        <v>2023</v>
      </c>
      <c r="G112" s="17" t="inlineStr">
        <is>
          <t>Journal of Systems and Software</t>
        </is>
      </c>
      <c r="H112" s="17" t="inlineStr">
        <is>
          <t>https://doi.org/10.1016/j.jss.2022.111507</t>
        </is>
      </c>
      <c r="I112" s="17" t="inlineStr">
        <is>
          <t xml:space="preserve">Cyber–Physical Systems (CPS) are increasingly used in safety–critical scenarios where ensuring their correct behavior at runtime becomes a crucial task. Therefore, the behavior of the CPS needs to be monitored at runtime so that violations of requirements can be detected. With the inception of edge devices that facilitate runtime analysis at the edge and the increasingly diverse environments that </t>
        </is>
      </c>
      <c r="J112" s="17" t="inlineStr">
        <is>
          <t>Include</t>
        </is>
      </c>
      <c r="K112" s="17" t="inlineStr">
        <is>
          <t>Include</t>
        </is>
      </c>
      <c r="L112" s="17" t="inlineStr">
        <is>
          <t>Include</t>
        </is>
      </c>
      <c r="M112" s="17" t="inlineStr"/>
    </row>
    <row r="113" ht="15" customHeight="1" s="12">
      <c r="A113" s="17" t="n">
        <v>111</v>
      </c>
      <c r="B113" s="17" t="inlineStr">
        <is>
          <t>ScienceDirect</t>
        </is>
      </c>
      <c r="C113" s="17" t="inlineStr">
        <is>
          <t>Thabiso Matsaba</t>
        </is>
      </c>
      <c r="D113" s="17" t="inlineStr">
        <is>
          <t>The Symposium on Search-Based Software Engineering: Past, Present and Future</t>
        </is>
      </c>
      <c r="E113" s="17" t="inlineStr">
        <is>
          <t>Colanzi, Thelma Elita; Assunção, Wesley K.G.; Vergilio, Silvia R.; Farah, Paulo Roberto; Guizzo, Giovani</t>
        </is>
      </c>
      <c r="F113" s="17" t="n">
        <v>2020</v>
      </c>
      <c r="G113" s="17" t="inlineStr">
        <is>
          <t>Information and Software Technology</t>
        </is>
      </c>
      <c r="H113" s="17" t="inlineStr">
        <is>
          <t>https://doi.org/10.1016/j.infsof.2020.106372</t>
        </is>
      </c>
      <c r="I113" s="17" t="inlineStr">
        <is>
          <t>Context
Search-Based Software Engineering (SBSE) is the research field where Software Engineering (SE) problems are modelled as search problems to be solved by search-based techniques. The Symposium on Search Based Software Engineering (SSBSE) is the premier event on SBSE, which had its 11th edition in 2019.
Objective
In order to better understand the characteristics and evolution of papers publis</t>
        </is>
      </c>
      <c r="J113" s="17" t="inlineStr">
        <is>
          <t>Include</t>
        </is>
      </c>
      <c r="K113" s="17" t="inlineStr">
        <is>
          <t>Include</t>
        </is>
      </c>
      <c r="L113" s="17" t="inlineStr">
        <is>
          <t>Include</t>
        </is>
      </c>
      <c r="M113" s="17" t="inlineStr"/>
    </row>
    <row r="114" ht="15" customHeight="1" s="12">
      <c r="A114" s="17" t="n">
        <v>112</v>
      </c>
      <c r="B114" s="17" t="inlineStr">
        <is>
          <t>ScienceDirect</t>
        </is>
      </c>
      <c r="C114" s="17" t="inlineStr">
        <is>
          <t>Thabiso Matsaba</t>
        </is>
      </c>
      <c r="D114" s="17" t="inlineStr">
        <is>
          <t>Deriving architectural models from requirements specifications: A systematic mapping study</t>
        </is>
      </c>
      <c r="E114" s="17" t="inlineStr">
        <is>
          <t>Souza, Eric; Moreira, Ana; Goulão, Miguel</t>
        </is>
      </c>
      <c r="F114" s="17" t="n">
        <v>2019</v>
      </c>
      <c r="G114" s="17" t="inlineStr">
        <is>
          <t>Information and Software Technology</t>
        </is>
      </c>
      <c r="H114" s="17" t="inlineStr">
        <is>
          <t>https://doi.org/10.1016/j.infsof.2019.01.004</t>
        </is>
      </c>
      <c r="I114" s="17" t="inlineStr">
        <is>
          <t>Context
Software architecture design creates and documents the high-level structure of a software system. Such structure, expressed in architectural models, comprises software elements, relations among them, and properties of these elements and relations. Existing software architecture methods offer ways to derive architectural models from requirements specifications. These models must balance dif</t>
        </is>
      </c>
      <c r="J114" s="17" t="inlineStr">
        <is>
          <t>Include</t>
        </is>
      </c>
      <c r="K114" s="17" t="inlineStr">
        <is>
          <t>Include</t>
        </is>
      </c>
      <c r="L114" s="17" t="inlineStr">
        <is>
          <t>Include</t>
        </is>
      </c>
      <c r="M114" s="17" t="inlineStr"/>
    </row>
    <row r="115" ht="15" customHeight="1" s="12">
      <c r="A115" s="17" t="n">
        <v>113</v>
      </c>
      <c r="B115" s="17" t="inlineStr">
        <is>
          <t>ScienceDirect</t>
        </is>
      </c>
      <c r="C115" s="17" t="inlineStr">
        <is>
          <t>Thabiso Matsaba</t>
        </is>
      </c>
      <c r="D115" s="17" t="inlineStr">
        <is>
          <t>CrossRec: Supporting software developers by recommending third-party libraries</t>
        </is>
      </c>
      <c r="E115" s="17" t="inlineStr">
        <is>
          <t>Nguyen, Phuong T.; Di Rocco, Juri; Di Ruscio, Davide; Di Penta, Massimiliano</t>
        </is>
      </c>
      <c r="F115" s="17" t="n">
        <v>2020</v>
      </c>
      <c r="G115" s="17" t="inlineStr">
        <is>
          <t>Journal of Systems and Software</t>
        </is>
      </c>
      <c r="H115" s="17" t="inlineStr">
        <is>
          <t>https://doi.org/10.1016/j.jss.2019.110460</t>
        </is>
      </c>
      <c r="I115" s="17" t="inlineStr">
        <is>
          <t>When creating a new software system, or when evolving an existing one, developers do not reinvent the wheel but, rather, seek available libraries that suit their purpose. In such a context, open source software repositories contain rich resources that can provide developers with helpful advice to support their tasks. However, the heterogeneity of resources and the dependencies among them are the m</t>
        </is>
      </c>
      <c r="J115" s="17" t="inlineStr">
        <is>
          <t>Include</t>
        </is>
      </c>
      <c r="K115" s="17" t="inlineStr">
        <is>
          <t>Include</t>
        </is>
      </c>
      <c r="L115" s="17" t="inlineStr">
        <is>
          <t>Include</t>
        </is>
      </c>
      <c r="M115" s="17" t="inlineStr"/>
    </row>
    <row r="116" ht="15" customHeight="1" s="12">
      <c r="A116" s="17" t="n">
        <v>114</v>
      </c>
      <c r="B116" s="17" t="inlineStr">
        <is>
          <t>ScienceDirect</t>
        </is>
      </c>
      <c r="C116" s="17" t="inlineStr">
        <is>
          <t>Thabiso Matsaba</t>
        </is>
      </c>
      <c r="D116" s="17" t="inlineStr">
        <is>
          <t>Interactive semi-automated specification mining for debugging: An experience report</t>
        </is>
      </c>
      <c r="E116" s="17" t="inlineStr">
        <is>
          <t>Mashhadi, Mohammad Jafar; Siddiqui, Taha R.; Hemmati, Hadi; Loewen, Howard</t>
        </is>
      </c>
      <c r="F116" s="17" t="n">
        <v>2019</v>
      </c>
      <c r="G116" s="17" t="inlineStr">
        <is>
          <t>Information and Software Technology</t>
        </is>
      </c>
      <c r="H116" s="17" t="inlineStr">
        <is>
          <t>https://doi.org/10.1016/j.infsof.2019.05.002</t>
        </is>
      </c>
      <c r="I116" s="17" t="inlineStr">
        <is>
          <t>Context
Specification mining techniques are typically used to extract the specification of a software in the absence of (up-to-date) specification documents. This is useful for program comprehension, testing, and anomaly detection. However, specification mining can also potentially be used for debugging, where a faulty behavior is abstracted to give developers a context about the bug and help them</t>
        </is>
      </c>
      <c r="J116" s="17" t="inlineStr">
        <is>
          <t>Include</t>
        </is>
      </c>
      <c r="K116" s="17" t="inlineStr">
        <is>
          <t>Include</t>
        </is>
      </c>
      <c r="L116" s="17" t="inlineStr">
        <is>
          <t>Include</t>
        </is>
      </c>
      <c r="M116" s="17" t="inlineStr"/>
    </row>
    <row r="117" ht="15" customHeight="1" s="12">
      <c r="A117" s="17" t="n">
        <v>115</v>
      </c>
      <c r="B117" s="17" t="inlineStr">
        <is>
          <t>ScienceDirect</t>
        </is>
      </c>
      <c r="C117" s="17" t="inlineStr">
        <is>
          <t>Thabiso Matsaba</t>
        </is>
      </c>
      <c r="D117" s="17" t="inlineStr">
        <is>
          <t>A meta-model for software protections and reverse engineering attacks</t>
        </is>
      </c>
      <c r="E117" s="17" t="inlineStr">
        <is>
          <t>Basile, Cataldo; Canavese, Daniele; Regano, Leonardo; Falcarin, Paolo; Sutter, Bjorn De</t>
        </is>
      </c>
      <c r="F117" s="17" t="n">
        <v>2019</v>
      </c>
      <c r="G117" s="17" t="inlineStr">
        <is>
          <t>Journal of Systems and Software</t>
        </is>
      </c>
      <c r="H117" s="17" t="inlineStr">
        <is>
          <t>https://doi.org/10.1016/j.jss.2018.12.025</t>
        </is>
      </c>
      <c r="I117" s="17" t="inlineStr">
        <is>
          <t>Software protection techniques are used to protect valuable software assets against man-at-the-end attacks. Those attacks include reverse engineering to steal confidential assets, and tampering to break the software’s integrity in unauthorized ways. While their ultimate aims are the original assets, attackers also target the protections along their attack path. To allow both humans and tools to re</t>
        </is>
      </c>
      <c r="J117" s="17" t="inlineStr">
        <is>
          <t>Include</t>
        </is>
      </c>
      <c r="K117" s="17" t="inlineStr">
        <is>
          <t>Include</t>
        </is>
      </c>
      <c r="L117" s="17" t="inlineStr">
        <is>
          <t>Include</t>
        </is>
      </c>
      <c r="M117" s="17" t="inlineStr"/>
    </row>
    <row r="118" ht="15" customHeight="1" s="12">
      <c r="A118" s="17" t="n">
        <v>116</v>
      </c>
      <c r="B118" s="17" t="inlineStr">
        <is>
          <t>ScienceDirect</t>
        </is>
      </c>
      <c r="C118" s="17" t="inlineStr">
        <is>
          <t>Thabiso Matsaba</t>
        </is>
      </c>
      <c r="D118" s="17" t="inlineStr">
        <is>
          <t>A survey of many-objective optimisation in search-based software engineering</t>
        </is>
      </c>
      <c r="E118" s="17" t="inlineStr">
        <is>
          <t>Ramírez, Aurora; Romero, José Raúl; Ventura, Sebastián</t>
        </is>
      </c>
      <c r="F118" s="17" t="n">
        <v>2019</v>
      </c>
      <c r="G118" s="17" t="inlineStr">
        <is>
          <t>Journal of Systems and Software</t>
        </is>
      </c>
      <c r="H118" s="17" t="inlineStr">
        <is>
          <t>https://doi.org/10.1016/j.jss.2018.12.015</t>
        </is>
      </c>
      <c r="I118" s="17" t="inlineStr">
        <is>
          <t>Search-based software engineering (SBSE) is changing the way traditional software engineering (SE) activities are carried out by reformulating them as optimisation problems. The natural evolution of SBSE is bringing new challenges, such as the need of a large number of objectives to formally represent the many decision criteria involved in the resolution of SE tasks. This suggests that SBSE is mov</t>
        </is>
      </c>
      <c r="J118" s="17" t="inlineStr">
        <is>
          <t>Include</t>
        </is>
      </c>
      <c r="K118" s="17" t="inlineStr">
        <is>
          <t>Include</t>
        </is>
      </c>
      <c r="L118" s="17" t="inlineStr">
        <is>
          <t>Include</t>
        </is>
      </c>
      <c r="M118" s="17" t="inlineStr"/>
    </row>
    <row r="119" ht="15" customHeight="1" s="12">
      <c r="A119" s="17" t="n">
        <v>117</v>
      </c>
      <c r="B119" s="17" t="inlineStr">
        <is>
          <t>ScienceDirect</t>
        </is>
      </c>
      <c r="C119" s="17" t="inlineStr">
        <is>
          <t>Thabiso Matsaba</t>
        </is>
      </c>
      <c r="D119" s="17" t="inlineStr">
        <is>
          <t>A framework for modelling tactical decision-making in autonomous systems</t>
        </is>
      </c>
      <c r="E119" s="17" t="inlineStr">
        <is>
          <t>Evertsz, Rick; Thangarajah, John; Yadav, Nitin; Ly, Thanh</t>
        </is>
      </c>
      <c r="F119" s="17" t="n">
        <v>2015</v>
      </c>
      <c r="G119" s="17" t="inlineStr">
        <is>
          <t>Journal of Systems and Software</t>
        </is>
      </c>
      <c r="H119" s="17" t="inlineStr">
        <is>
          <t>https://doi.org/10.1016/j.jss.2015.08.046</t>
        </is>
      </c>
      <c r="I119" s="17" t="inlineStr">
        <is>
          <t>There is an increasing need for autonomous systems that exhibit effective decision-making in unpredictable environments. However, the design of autonomous decision-making systems presents considerable challenges, particularly when they have to achieve their goals within a dynamic context. Tactics designed to handle unexpected environmental change, or attack by an adversary, must balance the need f</t>
        </is>
      </c>
      <c r="J119" s="17" t="inlineStr">
        <is>
          <t>Include</t>
        </is>
      </c>
      <c r="K119" s="17" t="inlineStr">
        <is>
          <t>Include</t>
        </is>
      </c>
      <c r="L119" s="17" t="inlineStr">
        <is>
          <t>Include</t>
        </is>
      </c>
      <c r="M119" s="17" t="inlineStr"/>
    </row>
    <row r="120" ht="15" customHeight="1" s="12">
      <c r="A120" s="17" t="n">
        <v>118</v>
      </c>
      <c r="B120" s="17" t="inlineStr">
        <is>
          <t>ScienceDirect</t>
        </is>
      </c>
      <c r="C120" s="17" t="inlineStr">
        <is>
          <t>Thabiso Matsaba</t>
        </is>
      </c>
      <c r="D120" s="17" t="inlineStr">
        <is>
          <t>Compositional security analysis of dynamic component-based systems</t>
        </is>
      </c>
      <c r="E120" s="17" t="inlineStr">
        <is>
          <t>Skandylas, Charilaos; Khakpour, Narges</t>
        </is>
      </c>
      <c r="F120" s="17" t="n">
        <v>2026</v>
      </c>
      <c r="G120" s="17" t="inlineStr">
        <is>
          <t>Information and Software Technology</t>
        </is>
      </c>
      <c r="H120" s="17" t="inlineStr">
        <is>
          <t>https://doi.org/10.1016/j.infsof.2025.108002</t>
        </is>
      </c>
      <c r="I120" s="17" t="inlineStr">
        <is>
          <t>Context:
To reason about and enforce security in dynamic software systems, automated analysis and verification approaches are required. However, such approaches often encounter scalability issues, particularly when employed for runtime analysis, which is necessary in software systems with dynamically changing architectures, such as self-adaptive systems.
Objective:
In this work, we propose an auto</t>
        </is>
      </c>
      <c r="J120" s="17" t="inlineStr">
        <is>
          <t>Include</t>
        </is>
      </c>
      <c r="K120" s="17" t="inlineStr">
        <is>
          <t>Include</t>
        </is>
      </c>
      <c r="L120" s="17" t="inlineStr">
        <is>
          <t>Include</t>
        </is>
      </c>
      <c r="M120" s="17" t="inlineStr"/>
    </row>
    <row r="121" ht="15" customHeight="1" s="12">
      <c r="A121" s="17" t="n">
        <v>119</v>
      </c>
      <c r="B121" s="17" t="inlineStr">
        <is>
          <t>ScienceDirect</t>
        </is>
      </c>
      <c r="C121" s="17" t="inlineStr">
        <is>
          <t>Thabiso Matsaba</t>
        </is>
      </c>
      <c r="D121" s="17" t="inlineStr">
        <is>
          <t>A systematic review on the engineering of software for ubiquitous systems</t>
        </is>
      </c>
      <c r="E121" s="17" t="inlineStr">
        <is>
          <t>Sánchez Guinea, Alejandro; Nain, Grégory; Le Traon, Yves</t>
        </is>
      </c>
      <c r="F121" s="17" t="n">
        <v>2016</v>
      </c>
      <c r="G121" s="17" t="inlineStr">
        <is>
          <t>Journal of Systems and Software</t>
        </is>
      </c>
      <c r="H121" s="17" t="inlineStr">
        <is>
          <t>https://doi.org/10.1016/j.jss.2016.05.024</t>
        </is>
      </c>
      <c r="I121" s="17" t="inlineStr">
        <is>
          <t>Context: Software engineering for ubiquitous systems has experienced an important and rapid growth, however the vast research corpus makes it difficult to obtain valuable information from it. Objective: To identify, evaluate, and synthesize research about the most relevant approaches addressing the different phases of the software development life cycle for ubiquitous systems. Method: We conducted</t>
        </is>
      </c>
      <c r="J121" s="17" t="inlineStr">
        <is>
          <t>Include</t>
        </is>
      </c>
      <c r="K121" s="17" t="inlineStr">
        <is>
          <t>Include</t>
        </is>
      </c>
      <c r="L121" s="17" t="inlineStr">
        <is>
          <t>Include</t>
        </is>
      </c>
      <c r="M121" s="17" t="inlineStr"/>
    </row>
    <row r="122" ht="15" customHeight="1" s="12">
      <c r="A122" s="17" t="n">
        <v>120</v>
      </c>
      <c r="B122" s="17" t="inlineStr">
        <is>
          <t>ScienceDirect</t>
        </is>
      </c>
      <c r="C122" s="17" t="inlineStr">
        <is>
          <t>Thabiso Matsaba</t>
        </is>
      </c>
      <c r="D122" s="17" t="inlineStr">
        <is>
          <t>A systematic literature review on methods that handle multiple quality attributes in architecture-based self-adaptive systems</t>
        </is>
      </c>
      <c r="E122" s="17" t="inlineStr">
        <is>
          <t>Mahdavi-Hezavehi, Sara; Durelli, Vinicius H.S.; Weyns, Danny; Avgeriou, Paris</t>
        </is>
      </c>
      <c r="F122" s="17" t="n">
        <v>2017</v>
      </c>
      <c r="G122" s="17" t="inlineStr">
        <is>
          <t>Information and Software Technology</t>
        </is>
      </c>
      <c r="H122" s="17" t="inlineStr">
        <is>
          <t>https://doi.org/10.1016/j.infsof.2017.03.013</t>
        </is>
      </c>
      <c r="I122" s="17" t="inlineStr">
        <is>
          <t>Context
Handling multiple quality attributes (QAs) in the domain of self-adaptive systems is an understudied research area. One well-known approach to engineer adaptive software systems and fulfill QAs of the system is architecture-based self-adaptation. In order to develop models that capture the required knowledge of the QAs of interest, and to investigate how these models can be employed at run</t>
        </is>
      </c>
      <c r="J122" s="17" t="inlineStr">
        <is>
          <t>Include</t>
        </is>
      </c>
      <c r="K122" s="17" t="inlineStr">
        <is>
          <t>Include</t>
        </is>
      </c>
      <c r="L122" s="17" t="inlineStr">
        <is>
          <t>Include</t>
        </is>
      </c>
      <c r="M122" s="17" t="inlineStr"/>
    </row>
    <row r="123" ht="15" customHeight="1" s="12">
      <c r="A123" s="17" t="n">
        <v>121</v>
      </c>
      <c r="B123" s="17" t="inlineStr">
        <is>
          <t>ScienceDirect</t>
        </is>
      </c>
      <c r="C123" s="17" t="inlineStr">
        <is>
          <t>Thabiso Matsaba</t>
        </is>
      </c>
      <c r="D123" s="17" t="inlineStr">
        <is>
          <t>Predicting resource consumption of Kubernetes container systems using resource models</t>
        </is>
      </c>
      <c r="E123" s="17" t="inlineStr">
        <is>
          <t>Turin, Gianluca; Borgarelli, Andrea; Donetti, Simone; Damiani, Ferruccio; Johnsen, Einar Broch; Tapia Tarifa, S. Lizeth</t>
        </is>
      </c>
      <c r="F123" s="17" t="n">
        <v>2023</v>
      </c>
      <c r="G123" s="17" t="inlineStr">
        <is>
          <t>Journal of Systems and Software</t>
        </is>
      </c>
      <c r="H123" s="17" t="inlineStr">
        <is>
          <t>https://doi.org/10.1016/j.jss.2023.111750</t>
        </is>
      </c>
      <c r="I123" s="17" t="inlineStr">
        <is>
          <t>Cloud computing has radically changed the way organizations operate their Software by allowing them to achieve high availability of services at affordable cost. Containerized microservices is an enabling technology for this change, and advanced container orchestration platforms such as Kubernetes are used for service management. Despite the flourishing ecosystem of monitoring tools for such orches</t>
        </is>
      </c>
      <c r="J123" s="17" t="inlineStr">
        <is>
          <t>Include</t>
        </is>
      </c>
      <c r="K123" s="17" t="inlineStr">
        <is>
          <t>Include</t>
        </is>
      </c>
      <c r="L123" s="17" t="inlineStr">
        <is>
          <t>Include</t>
        </is>
      </c>
      <c r="M123" s="17" t="inlineStr"/>
    </row>
    <row r="124" ht="15" customHeight="1" s="12">
      <c r="A124" s="17" t="n">
        <v>122</v>
      </c>
      <c r="B124" s="17" t="inlineStr">
        <is>
          <t>ScienceDirect</t>
        </is>
      </c>
      <c r="C124" s="17" t="inlineStr">
        <is>
          <t>Thabiso Matsaba</t>
        </is>
      </c>
      <c r="D124" s="17" t="inlineStr">
        <is>
          <t>MeMo: Automatically identifying metamorphic relations in Javadoc comments for test automation</t>
        </is>
      </c>
      <c r="E124" s="17" t="inlineStr">
        <is>
          <t>Blasi, Arianna; Gorla, Alessandra; Ernst, Michael D.; Pezzè, Mauro; Carzaniga, Antonio</t>
        </is>
      </c>
      <c r="F124" s="17" t="n">
        <v>2021</v>
      </c>
      <c r="G124" s="17" t="inlineStr">
        <is>
          <t>Journal of Systems and Software</t>
        </is>
      </c>
      <c r="H124" s="17" t="inlineStr">
        <is>
          <t>https://doi.org/10.1016/j.jss.2021.111041</t>
        </is>
      </c>
      <c r="I124" s="17" t="inlineStr">
        <is>
          <t>Software testing depends on effective oracles. Implicit oracles, such as checks for program crashes, are widely applicable but narrow in scope. Oracles based on formal specifications can reveal application-specific failures, but specifications are expensive to obtain and maintain. Metamorphic oracles are somewhere in-between. They test equivalence among different procedures to detect semantic fail</t>
        </is>
      </c>
      <c r="J124" s="17" t="inlineStr">
        <is>
          <t>Include</t>
        </is>
      </c>
      <c r="K124" s="17" t="inlineStr">
        <is>
          <t>Include</t>
        </is>
      </c>
      <c r="L124" s="17" t="inlineStr">
        <is>
          <t>Include</t>
        </is>
      </c>
      <c r="M124" s="17" t="inlineStr"/>
    </row>
    <row r="125" ht="15" customHeight="1" s="12">
      <c r="A125" s="17" t="n">
        <v>123</v>
      </c>
      <c r="B125" s="17" t="inlineStr">
        <is>
          <t>ScienceDirect</t>
        </is>
      </c>
      <c r="C125" s="17" t="inlineStr">
        <is>
          <t>Thabiso Matsaba</t>
        </is>
      </c>
      <c r="D125" s="17" t="inlineStr">
        <is>
          <t>Model-based test suite generation for graph transformation system using model simulation and search-based techniques</t>
        </is>
      </c>
      <c r="E125" s="17" t="inlineStr">
        <is>
          <t>Kalaee, Akram; Rafe, Vahid</t>
        </is>
      </c>
      <c r="F125" s="17" t="n">
        <v>2019</v>
      </c>
      <c r="G125" s="17" t="inlineStr">
        <is>
          <t>Information and Software Technology</t>
        </is>
      </c>
      <c r="H125" s="17" t="inlineStr">
        <is>
          <t>https://doi.org/10.1016/j.infsof.2018.12.001</t>
        </is>
      </c>
      <c r="I125" s="17" t="inlineStr">
        <is>
          <t>Context
Test generation by model checking is a useful technique in model-based testing that allows automatic generation of test cases from models by utilizing the counter-examples/witnesses produced through a model checker. However, generating redundant test cases and state space explosion problem are two major obstacles to transfer this technique into industrial practice.
Objective
An idea to cop</t>
        </is>
      </c>
      <c r="J125" s="17" t="inlineStr">
        <is>
          <t>Include</t>
        </is>
      </c>
      <c r="K125" s="17" t="inlineStr">
        <is>
          <t>Include</t>
        </is>
      </c>
      <c r="L125" s="17" t="inlineStr">
        <is>
          <t>Include</t>
        </is>
      </c>
      <c r="M125" s="17" t="inlineStr"/>
    </row>
    <row r="126" ht="15" customHeight="1" s="12">
      <c r="A126" s="17" t="n">
        <v>124</v>
      </c>
      <c r="B126" s="17" t="inlineStr">
        <is>
          <t>ScienceDirect</t>
        </is>
      </c>
      <c r="C126" s="17" t="inlineStr">
        <is>
          <t>Thabiso Matsaba</t>
        </is>
      </c>
      <c r="D126" s="17" t="inlineStr">
        <is>
          <t>Landscaping systematic mapping studies in software engineering: A tertiary study</t>
        </is>
      </c>
      <c r="E126" s="17" t="inlineStr">
        <is>
          <t>Khan, Muhammad Uzair; Sherin, Salman; Iqbal, Muhammad Zohaib; Zahid, Rubab</t>
        </is>
      </c>
      <c r="F126" s="17" t="n">
        <v>2019</v>
      </c>
      <c r="G126" s="17" t="inlineStr">
        <is>
          <t>Journal of Systems and Software</t>
        </is>
      </c>
      <c r="H126" s="17" t="inlineStr">
        <is>
          <t>https://doi.org/10.1016/j.jss.2018.12.018</t>
        </is>
      </c>
      <c r="I126" s="17" t="inlineStr">
        <is>
          <t>Context
A number of Systematic Mapping Studies (SMSs) that cover Software Engineering (SE) are reported in literature. Tertiary studies synthesize the secondary studies to provide a holistic view of an area.
Objectives
We synthesize SMSs in SE to provide insights into existing SE areas and to investigate the trends and quality of SMSs.
Methodology
We use Systematic Literature Review protocol to an</t>
        </is>
      </c>
      <c r="J126" s="17" t="inlineStr">
        <is>
          <t>Include</t>
        </is>
      </c>
      <c r="K126" s="17" t="inlineStr">
        <is>
          <t>Include</t>
        </is>
      </c>
      <c r="L126" s="17" t="inlineStr">
        <is>
          <t>Include</t>
        </is>
      </c>
      <c r="M126" s="17" t="inlineStr"/>
    </row>
    <row r="127" ht="15" customHeight="1" s="12">
      <c r="A127" s="17" t="n">
        <v>125</v>
      </c>
      <c r="B127" s="17" t="inlineStr">
        <is>
          <t>ScienceDirect</t>
        </is>
      </c>
      <c r="C127" s="17" t="inlineStr">
        <is>
          <t>Thabiso Matsaba</t>
        </is>
      </c>
      <c r="D127" s="17" t="inlineStr">
        <is>
          <t>A taxonomy of service identification approaches for legacy software systems modernization</t>
        </is>
      </c>
      <c r="E127" s="17" t="inlineStr">
        <is>
          <t>Abdellatif, Manel; Shatnawi, Anas; Mili, Hafedh; Moha, Naouel; Boussaidi, Ghizlane El; Hecht, Geoffrey; Privat, Jean; Guéhéneuc, Yann-Gaël</t>
        </is>
      </c>
      <c r="F127" s="17" t="n">
        <v>2021</v>
      </c>
      <c r="G127" s="17" t="inlineStr">
        <is>
          <t>Journal of Systems and Software</t>
        </is>
      </c>
      <c r="H127" s="17" t="inlineStr">
        <is>
          <t>https://doi.org/10.1016/j.jss.2020.110868</t>
        </is>
      </c>
      <c r="I127" s="17" t="inlineStr">
        <is>
          <t>The success of modernizing legacy software systems to Service-Oriented Architecture (SOA) depends on Service Identification Approaches (SIAs), which identify reusable functionalities that could become services. The literature describes several SIAs. However, the selection of an identification approach that is suitable for a practitioner is difficult because it depends on several factors, including</t>
        </is>
      </c>
      <c r="J127" s="17" t="inlineStr">
        <is>
          <t>Include</t>
        </is>
      </c>
      <c r="K127" s="17" t="inlineStr">
        <is>
          <t>Include</t>
        </is>
      </c>
      <c r="L127" s="17" t="inlineStr">
        <is>
          <t>Include</t>
        </is>
      </c>
      <c r="M127" s="17" t="inlineStr"/>
    </row>
    <row r="128" ht="15" customHeight="1" s="12">
      <c r="A128" s="17" t="n">
        <v>126</v>
      </c>
      <c r="B128" s="17" t="inlineStr">
        <is>
          <t>ScienceDirect</t>
        </is>
      </c>
      <c r="C128" s="17" t="inlineStr">
        <is>
          <t>Thabiso Matsaba</t>
        </is>
      </c>
      <c r="D128" s="17" t="inlineStr">
        <is>
          <t>Catalog and detection techniques of microservice anti-patterns and bad smells: A tertiary study</t>
        </is>
      </c>
      <c r="E128" s="17" t="inlineStr">
        <is>
          <t>Cerny, Tomas; Abdelfattah, Amr S.; Maruf, Abdullah Al; Janes, Andrea; Taibi, Davide</t>
        </is>
      </c>
      <c r="F128" s="17" t="n">
        <v>2023</v>
      </c>
      <c r="G128" s="17" t="inlineStr">
        <is>
          <t>Journal of Systems and Software</t>
        </is>
      </c>
      <c r="H128" s="17" t="inlineStr">
        <is>
          <t>https://doi.org/10.1016/j.jss.2023.111829</t>
        </is>
      </c>
      <c r="I128" s="17" t="inlineStr">
        <is>
          <t>Background:
Various works investigated microservice anti-patterns and bad smells in the past few years. We identified seven secondary publications that summarize these, but they have little overlap in purpose and often use different terms to describe the identified anti-patterns and smells.
Objective:
This work catalogs recurring bad design practices known as anti-patterns and bad smells for micro</t>
        </is>
      </c>
      <c r="J128" s="17" t="inlineStr">
        <is>
          <t>Include</t>
        </is>
      </c>
      <c r="K128" s="17" t="inlineStr">
        <is>
          <t>Include</t>
        </is>
      </c>
      <c r="L128" s="17" t="inlineStr">
        <is>
          <t>Include</t>
        </is>
      </c>
      <c r="M128" s="17" t="inlineStr"/>
    </row>
    <row r="129" ht="15" customHeight="1" s="12">
      <c r="A129" s="17" t="n"/>
      <c r="B129" s="17" t="n"/>
      <c r="C129" s="17" t="n"/>
      <c r="D129" s="17" t="n"/>
      <c r="E129" s="17" t="n"/>
      <c r="F129" s="17" t="n"/>
      <c r="G129" s="17" t="n"/>
      <c r="H129" s="17" t="n"/>
      <c r="I129" s="17" t="n"/>
      <c r="J129" s="17" t="n"/>
      <c r="K129" s="17" t="n"/>
      <c r="L129" s="17" t="n"/>
      <c r="M129" s="17" t="n"/>
    </row>
    <row r="130" ht="15" customHeight="1" s="12">
      <c r="A130" s="17" t="n"/>
      <c r="B130" s="17" t="n"/>
      <c r="C130" s="17" t="n"/>
      <c r="D130" s="17" t="n"/>
      <c r="E130" s="17" t="n"/>
      <c r="F130" s="17" t="n"/>
      <c r="G130" s="17" t="n"/>
      <c r="H130" s="17" t="n"/>
      <c r="I130" s="17" t="n"/>
      <c r="J130" s="17" t="n"/>
      <c r="K130" s="17" t="n"/>
      <c r="L130" s="17" t="n"/>
      <c r="M130" s="17" t="n"/>
    </row>
    <row r="131" ht="15" customHeight="1" s="12">
      <c r="A131" s="17" t="n"/>
      <c r="B131" s="17" t="n"/>
      <c r="C131" s="17" t="n"/>
      <c r="D131" s="17" t="n"/>
      <c r="E131" s="17" t="n"/>
      <c r="F131" s="17" t="n"/>
      <c r="G131" s="17" t="n"/>
      <c r="H131" s="17" t="n"/>
      <c r="I131" s="17" t="n"/>
      <c r="J131" s="17" t="n"/>
      <c r="K131" s="17" t="n"/>
      <c r="L131" s="17" t="n"/>
      <c r="M131" s="17" t="n"/>
    </row>
    <row r="132" ht="15" customHeight="1" s="12">
      <c r="A132" s="17" t="n"/>
      <c r="B132" s="17" t="n"/>
      <c r="C132" s="17" t="n"/>
      <c r="D132" s="17" t="n"/>
      <c r="E132" s="17" t="n"/>
      <c r="F132" s="17" t="n"/>
      <c r="G132" s="17" t="n"/>
      <c r="H132" s="17" t="n"/>
      <c r="I132" s="17" t="n"/>
      <c r="J132" s="17" t="n"/>
      <c r="K132" s="17" t="n"/>
      <c r="L132" s="17" t="n"/>
      <c r="M132" s="17" t="n"/>
    </row>
    <row r="133" ht="15" customHeight="1" s="12">
      <c r="A133" s="17" t="n"/>
      <c r="B133" s="17" t="n"/>
      <c r="C133" s="17" t="n"/>
      <c r="D133" s="17" t="n"/>
      <c r="E133" s="17" t="n"/>
      <c r="F133" s="17" t="n"/>
      <c r="G133" s="17" t="n"/>
      <c r="H133" s="17" t="n"/>
      <c r="I133" s="17" t="n"/>
      <c r="J133" s="17" t="n"/>
      <c r="K133" s="17" t="n"/>
      <c r="L133" s="17" t="n"/>
      <c r="M133" s="17" t="n"/>
    </row>
    <row r="134" ht="15" customHeight="1" s="12">
      <c r="A134" s="17" t="n"/>
      <c r="B134" s="17" t="n"/>
      <c r="C134" s="17" t="n"/>
      <c r="D134" s="17" t="n"/>
      <c r="E134" s="17" t="n"/>
      <c r="F134" s="17" t="n"/>
      <c r="G134" s="17" t="n"/>
      <c r="H134" s="17" t="n"/>
      <c r="I134" s="17" t="n"/>
      <c r="J134" s="17" t="n"/>
      <c r="K134" s="17" t="n"/>
      <c r="L134" s="17" t="n"/>
      <c r="M134" s="17" t="n"/>
    </row>
    <row r="135" ht="15" customHeight="1" s="12">
      <c r="A135" s="17" t="n"/>
      <c r="B135" s="17" t="n"/>
      <c r="C135" s="17" t="n"/>
      <c r="D135" s="17" t="n"/>
      <c r="E135" s="17" t="n"/>
      <c r="F135" s="17" t="n"/>
      <c r="G135" s="17" t="n"/>
      <c r="H135" s="17" t="n"/>
      <c r="I135" s="17" t="n"/>
      <c r="J135" s="17" t="n"/>
      <c r="K135" s="17" t="n"/>
      <c r="L135" s="17" t="n"/>
      <c r="M135" s="17" t="n"/>
    </row>
    <row r="136" ht="15" customHeight="1" s="12">
      <c r="A136" s="17" t="n"/>
      <c r="B136" s="17" t="n"/>
      <c r="C136" s="17" t="n"/>
      <c r="D136" s="17" t="n"/>
      <c r="E136" s="17" t="n"/>
      <c r="F136" s="17" t="n"/>
      <c r="G136" s="17" t="n"/>
      <c r="H136" s="17" t="n"/>
      <c r="I136" s="17" t="n"/>
      <c r="J136" s="17" t="n"/>
      <c r="K136" s="17" t="n"/>
      <c r="L136" s="17" t="n"/>
      <c r="M136" s="17" t="n"/>
    </row>
    <row r="137" ht="15" customHeight="1" s="12">
      <c r="A137" s="17" t="n"/>
      <c r="B137" s="17" t="n"/>
      <c r="C137" s="17" t="n"/>
      <c r="D137" s="17" t="n"/>
      <c r="E137" s="17" t="n"/>
      <c r="F137" s="17" t="n"/>
      <c r="G137" s="17" t="n"/>
      <c r="H137" s="17" t="n"/>
      <c r="I137" s="17" t="n"/>
      <c r="J137" s="17" t="n"/>
      <c r="K137" s="17" t="n"/>
      <c r="L137" s="17" t="n"/>
      <c r="M137" s="17" t="n"/>
    </row>
    <row r="138" ht="15" customHeight="1" s="12">
      <c r="A138" s="17" t="n"/>
      <c r="B138" s="17" t="n"/>
      <c r="C138" s="17" t="n"/>
      <c r="D138" s="17" t="n"/>
      <c r="E138" s="17" t="n"/>
      <c r="F138" s="17" t="n"/>
      <c r="G138" s="17" t="n"/>
      <c r="H138" s="17" t="n"/>
      <c r="I138" s="17" t="n"/>
      <c r="J138" s="17" t="n"/>
      <c r="K138" s="17" t="n"/>
      <c r="L138" s="17" t="n"/>
      <c r="M138" s="17" t="n"/>
    </row>
    <row r="139" ht="15" customHeight="1" s="12">
      <c r="A139" s="17" t="n"/>
      <c r="B139" s="17" t="n"/>
      <c r="C139" s="17" t="n"/>
      <c r="D139" s="17" t="n"/>
      <c r="E139" s="17" t="n"/>
      <c r="F139" s="17" t="n"/>
      <c r="G139" s="17" t="n"/>
      <c r="H139" s="17" t="n"/>
      <c r="I139" s="17" t="n"/>
      <c r="J139" s="17" t="n"/>
      <c r="K139" s="17" t="n"/>
      <c r="L139" s="17" t="n"/>
      <c r="M139" s="17" t="n"/>
    </row>
    <row r="140" ht="15" customHeight="1" s="12">
      <c r="A140" s="17" t="n"/>
      <c r="B140" s="17" t="n"/>
      <c r="C140" s="17" t="n"/>
      <c r="D140" s="17" t="n"/>
      <c r="E140" s="17" t="n"/>
      <c r="F140" s="17" t="n"/>
      <c r="G140" s="17" t="n"/>
      <c r="H140" s="17" t="n"/>
      <c r="I140" s="17" t="n"/>
      <c r="J140" s="17" t="n"/>
      <c r="K140" s="17" t="n"/>
      <c r="L140" s="17" t="n"/>
      <c r="M140" s="17" t="n"/>
    </row>
    <row r="141" ht="15" customHeight="1" s="12">
      <c r="A141" s="17" t="n"/>
      <c r="B141" s="17" t="n"/>
      <c r="C141" s="17" t="n"/>
      <c r="D141" s="17" t="n"/>
      <c r="E141" s="17" t="n"/>
      <c r="F141" s="17" t="n"/>
      <c r="G141" s="17" t="n"/>
      <c r="H141" s="17" t="n"/>
      <c r="I141" s="17" t="n"/>
      <c r="J141" s="17" t="n"/>
      <c r="K141" s="17" t="n"/>
      <c r="L141" s="17" t="n"/>
      <c r="M141" s="17" t="n"/>
    </row>
    <row r="142" ht="15" customHeight="1" s="12">
      <c r="A142" s="17" t="n"/>
      <c r="B142" s="17" t="n"/>
      <c r="C142" s="17" t="n"/>
      <c r="D142" s="17" t="n"/>
      <c r="E142" s="17" t="n"/>
      <c r="F142" s="17" t="n"/>
      <c r="G142" s="17" t="n"/>
      <c r="H142" s="17" t="n"/>
      <c r="I142" s="17" t="n"/>
      <c r="J142" s="17" t="n"/>
      <c r="K142" s="17" t="n"/>
      <c r="L142" s="17" t="n"/>
      <c r="M142" s="17" t="n"/>
    </row>
    <row r="143" ht="15" customHeight="1" s="12">
      <c r="A143" s="17" t="n"/>
      <c r="B143" s="17" t="n"/>
      <c r="C143" s="17" t="n"/>
      <c r="D143" s="17" t="n"/>
      <c r="E143" s="17" t="n"/>
      <c r="F143" s="17" t="n"/>
      <c r="G143" s="17" t="n"/>
      <c r="H143" s="17" t="n"/>
      <c r="I143" s="17" t="n"/>
      <c r="J143" s="17" t="n"/>
      <c r="K143" s="17" t="n"/>
      <c r="L143" s="17" t="n"/>
      <c r="M143" s="17" t="n"/>
    </row>
    <row r="144" ht="15" customHeight="1" s="12">
      <c r="A144" s="17" t="n"/>
      <c r="B144" s="17" t="n"/>
      <c r="C144" s="17" t="n"/>
      <c r="D144" s="17" t="n"/>
      <c r="E144" s="17" t="n"/>
      <c r="F144" s="17" t="n"/>
      <c r="G144" s="17" t="n"/>
      <c r="H144" s="17" t="n"/>
      <c r="I144" s="17" t="n"/>
      <c r="J144" s="17" t="n"/>
      <c r="K144" s="17" t="n"/>
      <c r="L144" s="17" t="n"/>
      <c r="M144" s="17" t="n"/>
    </row>
    <row r="145" ht="15" customHeight="1" s="12">
      <c r="A145" s="17" t="n"/>
      <c r="B145" s="17" t="n"/>
      <c r="C145" s="17" t="n"/>
      <c r="D145" s="17" t="n"/>
      <c r="E145" s="17" t="n"/>
      <c r="F145" s="17" t="n"/>
      <c r="G145" s="17" t="n"/>
      <c r="H145" s="17" t="n"/>
      <c r="I145" s="17" t="n"/>
      <c r="J145" s="17" t="n"/>
      <c r="K145" s="17" t="n"/>
      <c r="L145" s="17" t="n"/>
      <c r="M145" s="17" t="n"/>
    </row>
    <row r="146" ht="15" customHeight="1" s="12">
      <c r="A146" s="17" t="n"/>
      <c r="B146" s="17" t="n"/>
      <c r="C146" s="17" t="n"/>
      <c r="D146" s="17" t="n"/>
      <c r="E146" s="17" t="n"/>
      <c r="F146" s="17" t="n"/>
      <c r="G146" s="17" t="n"/>
      <c r="H146" s="17" t="n"/>
      <c r="I146" s="17" t="n"/>
      <c r="J146" s="17" t="n"/>
      <c r="K146" s="17" t="n"/>
      <c r="L146" s="17" t="n"/>
      <c r="M146" s="17" t="n"/>
    </row>
    <row r="147" ht="15" customHeight="1" s="12">
      <c r="A147" s="17" t="n"/>
      <c r="B147" s="17" t="n"/>
      <c r="C147" s="17" t="n"/>
      <c r="D147" s="17" t="n"/>
      <c r="E147" s="17" t="n"/>
      <c r="F147" s="17" t="n"/>
      <c r="G147" s="17" t="n"/>
      <c r="H147" s="17" t="n"/>
      <c r="I147" s="17" t="n"/>
      <c r="J147" s="17" t="n"/>
      <c r="K147" s="17" t="n"/>
      <c r="L147" s="17" t="n"/>
      <c r="M147" s="17" t="n"/>
    </row>
    <row r="148" ht="15" customHeight="1" s="12">
      <c r="A148" s="17" t="n"/>
      <c r="B148" s="17" t="n"/>
      <c r="C148" s="17" t="n"/>
      <c r="D148" s="17" t="n"/>
      <c r="E148" s="17" t="n"/>
      <c r="F148" s="17" t="n"/>
      <c r="G148" s="17" t="n"/>
      <c r="H148" s="17" t="n"/>
      <c r="I148" s="17" t="n"/>
      <c r="J148" s="17" t="n"/>
      <c r="K148" s="17" t="n"/>
      <c r="L148" s="17" t="n"/>
      <c r="M148" s="17" t="n"/>
    </row>
    <row r="149" ht="15" customHeight="1" s="12">
      <c r="A149" s="17" t="n"/>
      <c r="B149" s="17" t="n"/>
      <c r="C149" s="17" t="n"/>
      <c r="D149" s="17" t="n"/>
      <c r="E149" s="17" t="n"/>
      <c r="F149" s="17" t="n"/>
      <c r="G149" s="17" t="n"/>
      <c r="H149" s="17" t="n"/>
      <c r="I149" s="17" t="n"/>
      <c r="J149" s="17" t="n"/>
      <c r="K149" s="17" t="n"/>
      <c r="L149" s="17" t="n"/>
      <c r="M149" s="17" t="n"/>
    </row>
    <row r="150" ht="15" customHeight="1" s="12">
      <c r="A150" s="17" t="n"/>
      <c r="B150" s="17" t="n"/>
      <c r="C150" s="17" t="n"/>
      <c r="D150" s="17" t="n"/>
      <c r="E150" s="17" t="n"/>
      <c r="F150" s="17" t="n"/>
      <c r="G150" s="17" t="n"/>
      <c r="H150" s="17" t="n"/>
      <c r="I150" s="17" t="n"/>
      <c r="J150" s="17" t="n"/>
      <c r="K150" s="17" t="n"/>
      <c r="L150" s="17" t="n"/>
      <c r="M150" s="17" t="n"/>
    </row>
    <row r="151" ht="15" customHeight="1" s="12">
      <c r="A151" s="17" t="n"/>
      <c r="B151" s="17" t="n"/>
      <c r="C151" s="17" t="n"/>
      <c r="D151" s="17" t="n"/>
      <c r="E151" s="17" t="n"/>
      <c r="F151" s="17" t="n"/>
      <c r="G151" s="17" t="n"/>
      <c r="H151" s="17" t="n"/>
      <c r="I151" s="17" t="n"/>
      <c r="J151" s="17" t="n"/>
      <c r="K151" s="17" t="n"/>
      <c r="L151" s="17" t="n"/>
      <c r="M151" s="17" t="n"/>
    </row>
    <row r="152" ht="15" customHeight="1" s="12">
      <c r="A152" s="17" t="n"/>
      <c r="B152" s="17" t="n"/>
      <c r="C152" s="17" t="n"/>
      <c r="D152" s="17" t="n"/>
      <c r="E152" s="17" t="n"/>
      <c r="F152" s="17" t="n"/>
      <c r="G152" s="17" t="n"/>
      <c r="H152" s="17" t="n"/>
      <c r="I152" s="17" t="n"/>
      <c r="J152" s="17" t="n"/>
      <c r="K152" s="17" t="n"/>
      <c r="L152" s="17" t="n"/>
      <c r="M152" s="17" t="n"/>
    </row>
    <row r="153" ht="15" customHeight="1" s="12">
      <c r="A153" s="17" t="n"/>
      <c r="B153" s="17" t="n"/>
      <c r="C153" s="17" t="n"/>
      <c r="D153" s="17" t="n"/>
      <c r="E153" s="17" t="n"/>
      <c r="F153" s="17" t="n"/>
      <c r="G153" s="17" t="n"/>
      <c r="H153" s="17" t="n"/>
      <c r="I153" s="17" t="n"/>
      <c r="J153" s="17" t="n"/>
      <c r="K153" s="17" t="n"/>
      <c r="L153" s="17" t="n"/>
      <c r="M153" s="17" t="n"/>
    </row>
    <row r="154" ht="15" customHeight="1" s="12">
      <c r="A154" s="17" t="n"/>
      <c r="B154" s="17" t="n"/>
      <c r="C154" s="17" t="n"/>
      <c r="D154" s="17" t="n"/>
      <c r="E154" s="17" t="n"/>
      <c r="F154" s="17" t="n"/>
      <c r="G154" s="17" t="n"/>
      <c r="H154" s="17" t="n"/>
      <c r="I154" s="17" t="n"/>
      <c r="J154" s="17" t="n"/>
      <c r="K154" s="17" t="n"/>
      <c r="L154" s="17" t="n"/>
      <c r="M154" s="17" t="n"/>
    </row>
    <row r="155" ht="15" customHeight="1" s="12">
      <c r="A155" s="17" t="n"/>
      <c r="B155" s="17" t="n"/>
      <c r="C155" s="17" t="n"/>
      <c r="D155" s="17" t="n"/>
      <c r="E155" s="17" t="n"/>
      <c r="F155" s="17" t="n"/>
      <c r="G155" s="17" t="n"/>
      <c r="H155" s="17" t="n"/>
      <c r="I155" s="17" t="n"/>
      <c r="J155" s="17" t="n"/>
      <c r="K155" s="17" t="n"/>
      <c r="L155" s="17" t="n"/>
      <c r="M155" s="17" t="n"/>
    </row>
    <row r="156" ht="15" customHeight="1" s="12">
      <c r="A156" s="17" t="n"/>
      <c r="B156" s="17" t="n"/>
      <c r="C156" s="17" t="n"/>
      <c r="D156" s="17" t="n"/>
      <c r="E156" s="17" t="n"/>
      <c r="F156" s="17" t="n"/>
      <c r="G156" s="17" t="n"/>
      <c r="H156" s="17" t="n"/>
      <c r="I156" s="17" t="n"/>
      <c r="J156" s="17" t="n"/>
      <c r="K156" s="17" t="n"/>
      <c r="L156" s="17" t="n"/>
      <c r="M156" s="17" t="n"/>
    </row>
    <row r="157" ht="15" customHeight="1" s="12">
      <c r="A157" s="17" t="n"/>
      <c r="B157" s="17" t="n"/>
      <c r="C157" s="17" t="n"/>
      <c r="D157" s="17" t="n"/>
      <c r="E157" s="17" t="n"/>
      <c r="F157" s="17" t="n"/>
      <c r="G157" s="17" t="n"/>
      <c r="H157" s="17" t="n"/>
      <c r="I157" s="17" t="n"/>
      <c r="J157" s="17" t="n"/>
      <c r="K157" s="17" t="n"/>
      <c r="L157" s="17" t="n"/>
      <c r="M157" s="17" t="n"/>
    </row>
    <row r="158" ht="15" customHeight="1" s="12">
      <c r="A158" s="17" t="n"/>
      <c r="B158" s="17" t="n"/>
      <c r="C158" s="17" t="n"/>
      <c r="D158" s="17" t="n"/>
      <c r="E158" s="17" t="n"/>
      <c r="F158" s="17" t="n"/>
      <c r="G158" s="17" t="n"/>
      <c r="H158" s="17" t="n"/>
      <c r="I158" s="17" t="n"/>
      <c r="J158" s="17" t="n"/>
      <c r="K158" s="17" t="n"/>
      <c r="L158" s="17" t="n"/>
      <c r="M158" s="17" t="n"/>
    </row>
    <row r="159" ht="15" customHeight="1" s="12">
      <c r="A159" s="17" t="n"/>
      <c r="B159" s="17" t="n"/>
      <c r="C159" s="17" t="n"/>
      <c r="D159" s="17" t="n"/>
      <c r="E159" s="17" t="n"/>
      <c r="F159" s="17" t="n"/>
      <c r="G159" s="17" t="n"/>
      <c r="H159" s="17" t="n"/>
      <c r="I159" s="17" t="n"/>
      <c r="J159" s="17" t="n"/>
      <c r="K159" s="17" t="n"/>
      <c r="L159" s="17" t="n"/>
      <c r="M159" s="17" t="n"/>
    </row>
    <row r="160" ht="15" customHeight="1" s="12">
      <c r="A160" s="17" t="n"/>
      <c r="B160" s="17" t="n"/>
      <c r="C160" s="17" t="n"/>
      <c r="D160" s="17" t="n"/>
      <c r="E160" s="17" t="n"/>
      <c r="F160" s="17" t="n"/>
      <c r="G160" s="17" t="n"/>
      <c r="H160" s="17" t="n"/>
      <c r="I160" s="17" t="n"/>
      <c r="J160" s="17" t="n"/>
      <c r="K160" s="17" t="n"/>
      <c r="L160" s="17" t="n"/>
      <c r="M160" s="17" t="n"/>
    </row>
    <row r="161" ht="15" customHeight="1" s="12">
      <c r="A161" s="17" t="n"/>
      <c r="B161" s="17" t="n"/>
      <c r="C161" s="17" t="n"/>
      <c r="D161" s="17" t="n"/>
      <c r="E161" s="17" t="n"/>
      <c r="F161" s="17" t="n"/>
      <c r="G161" s="17" t="n"/>
      <c r="H161" s="17" t="n"/>
      <c r="I161" s="17" t="n"/>
      <c r="J161" s="17" t="n"/>
      <c r="K161" s="17" t="n"/>
      <c r="L161" s="17" t="n"/>
      <c r="M161" s="17" t="n"/>
    </row>
    <row r="162" ht="15" customHeight="1" s="12">
      <c r="A162" s="17" t="n"/>
      <c r="B162" s="17" t="n"/>
      <c r="C162" s="17" t="n"/>
      <c r="D162" s="17" t="n"/>
      <c r="E162" s="17" t="n"/>
      <c r="F162" s="17" t="n"/>
      <c r="G162" s="17" t="n"/>
      <c r="H162" s="17" t="n"/>
      <c r="I162" s="17" t="n"/>
      <c r="J162" s="17" t="n"/>
      <c r="K162" s="17" t="n"/>
      <c r="L162" s="17" t="n"/>
      <c r="M162" s="17" t="n"/>
    </row>
    <row r="163" ht="15" customHeight="1" s="12">
      <c r="A163" s="17" t="n"/>
      <c r="B163" s="17" t="n"/>
      <c r="C163" s="17" t="n"/>
      <c r="D163" s="17" t="n"/>
      <c r="E163" s="17" t="n"/>
      <c r="F163" s="17" t="n"/>
      <c r="G163" s="17" t="n"/>
      <c r="H163" s="17" t="n"/>
      <c r="I163" s="17" t="n"/>
      <c r="J163" s="17" t="n"/>
      <c r="K163" s="17" t="n"/>
      <c r="L163" s="17" t="n"/>
      <c r="M163" s="17" t="n"/>
    </row>
    <row r="164" ht="15" customHeight="1" s="12">
      <c r="A164" s="17" t="n"/>
      <c r="B164" s="17" t="n"/>
      <c r="C164" s="17" t="n"/>
      <c r="D164" s="17" t="n"/>
      <c r="E164" s="17" t="n"/>
      <c r="F164" s="17" t="n"/>
      <c r="G164" s="17" t="n"/>
      <c r="H164" s="17" t="n"/>
      <c r="I164" s="17" t="n"/>
      <c r="J164" s="17" t="n"/>
      <c r="K164" s="17" t="n"/>
      <c r="L164" s="17" t="n"/>
      <c r="M164" s="17" t="n"/>
    </row>
    <row r="165" ht="15" customHeight="1" s="12">
      <c r="A165" s="17" t="n"/>
      <c r="B165" s="17" t="n"/>
      <c r="C165" s="17" t="n"/>
      <c r="D165" s="17" t="n"/>
      <c r="E165" s="17" t="n"/>
      <c r="F165" s="17" t="n"/>
      <c r="G165" s="17" t="n"/>
      <c r="H165" s="17" t="n"/>
      <c r="I165" s="17" t="n"/>
      <c r="J165" s="17" t="n"/>
      <c r="K165" s="17" t="n"/>
      <c r="L165" s="17" t="n"/>
      <c r="M165" s="17" t="n"/>
    </row>
    <row r="166" ht="15" customHeight="1" s="12">
      <c r="A166" s="17" t="n"/>
      <c r="B166" s="17" t="n"/>
      <c r="C166" s="17" t="n"/>
      <c r="D166" s="17" t="n"/>
      <c r="E166" s="17" t="n"/>
      <c r="F166" s="17" t="n"/>
      <c r="G166" s="17" t="n"/>
      <c r="H166" s="17" t="n"/>
      <c r="I166" s="17" t="n"/>
      <c r="J166" s="17" t="n"/>
      <c r="K166" s="17" t="n"/>
      <c r="L166" s="17" t="n"/>
      <c r="M166" s="17" t="n"/>
    </row>
    <row r="167" ht="15" customHeight="1" s="12">
      <c r="A167" s="17" t="n"/>
      <c r="B167" s="17" t="n"/>
      <c r="C167" s="17" t="n"/>
      <c r="D167" s="17" t="n"/>
      <c r="E167" s="17" t="n"/>
      <c r="F167" s="17" t="n"/>
      <c r="G167" s="17" t="n"/>
      <c r="H167" s="17" t="n"/>
      <c r="I167" s="17" t="n"/>
      <c r="J167" s="17" t="n"/>
      <c r="K167" s="17" t="n"/>
      <c r="L167" s="17" t="n"/>
      <c r="M167" s="17" t="n"/>
    </row>
    <row r="168" ht="15" customHeight="1" s="12">
      <c r="A168" s="17" t="n"/>
      <c r="B168" s="17" t="n"/>
      <c r="C168" s="17" t="n"/>
      <c r="D168" s="17" t="n"/>
      <c r="E168" s="17" t="n"/>
      <c r="F168" s="17" t="n"/>
      <c r="G168" s="17" t="n"/>
      <c r="H168" s="17" t="n"/>
      <c r="I168" s="17" t="n"/>
      <c r="J168" s="17" t="n"/>
      <c r="K168" s="17" t="n"/>
      <c r="L168" s="17" t="n"/>
      <c r="M168" s="17" t="n"/>
    </row>
    <row r="169" ht="15" customHeight="1" s="12">
      <c r="A169" s="17" t="n"/>
      <c r="B169" s="17" t="n"/>
      <c r="C169" s="17" t="n"/>
      <c r="D169" s="17" t="n"/>
      <c r="E169" s="17" t="n"/>
      <c r="F169" s="17" t="n"/>
      <c r="G169" s="17" t="n"/>
      <c r="H169" s="17" t="n"/>
      <c r="I169" s="17" t="n"/>
      <c r="J169" s="17" t="n"/>
      <c r="K169" s="17" t="n"/>
      <c r="L169" s="17" t="n"/>
      <c r="M169" s="17" t="n"/>
    </row>
    <row r="170" ht="15" customHeight="1" s="12">
      <c r="A170" s="17" t="n"/>
      <c r="B170" s="17" t="n"/>
      <c r="C170" s="17" t="n"/>
      <c r="D170" s="17" t="n"/>
      <c r="E170" s="17" t="n"/>
      <c r="F170" s="17" t="n"/>
      <c r="G170" s="17" t="n"/>
      <c r="H170" s="17" t="n"/>
      <c r="I170" s="17" t="n"/>
      <c r="J170" s="17" t="n"/>
      <c r="K170" s="17" t="n"/>
      <c r="L170" s="17" t="n"/>
      <c r="M170" s="17" t="n"/>
    </row>
    <row r="171" ht="15" customHeight="1" s="12">
      <c r="A171" s="17" t="n"/>
      <c r="B171" s="17" t="n"/>
      <c r="C171" s="17" t="n"/>
      <c r="D171" s="17" t="n"/>
      <c r="E171" s="17" t="n"/>
      <c r="F171" s="17" t="n"/>
      <c r="G171" s="17" t="n"/>
      <c r="H171" s="17" t="n"/>
      <c r="I171" s="17" t="n"/>
      <c r="J171" s="17" t="n"/>
      <c r="K171" s="17" t="n"/>
      <c r="L171" s="17" t="n"/>
      <c r="M171" s="17" t="n"/>
    </row>
    <row r="172" ht="15" customHeight="1" s="12">
      <c r="A172" s="17" t="n"/>
      <c r="B172" s="17" t="n"/>
      <c r="C172" s="17" t="n"/>
      <c r="D172" s="17" t="n"/>
      <c r="E172" s="17" t="n"/>
      <c r="F172" s="17" t="n"/>
      <c r="G172" s="17" t="n"/>
      <c r="H172" s="17" t="n"/>
      <c r="I172" s="17" t="n"/>
      <c r="J172" s="17" t="n"/>
      <c r="K172" s="17" t="n"/>
      <c r="L172" s="17" t="n"/>
      <c r="M172" s="17" t="n"/>
    </row>
    <row r="173" ht="15" customHeight="1" s="12">
      <c r="A173" s="17" t="n"/>
      <c r="B173" s="17" t="n"/>
      <c r="C173" s="17" t="n"/>
      <c r="D173" s="17" t="n"/>
      <c r="E173" s="17" t="n"/>
      <c r="F173" s="17" t="n"/>
      <c r="G173" s="17" t="n"/>
      <c r="H173" s="17" t="n"/>
      <c r="I173" s="17" t="n"/>
      <c r="J173" s="17" t="n"/>
      <c r="K173" s="17" t="n"/>
      <c r="L173" s="17" t="n"/>
      <c r="M173" s="17" t="n"/>
    </row>
    <row r="174" ht="15" customHeight="1" s="12">
      <c r="A174" s="17" t="n"/>
      <c r="B174" s="17" t="n"/>
      <c r="C174" s="17" t="n"/>
      <c r="D174" s="17" t="n"/>
      <c r="E174" s="17" t="n"/>
      <c r="F174" s="17" t="n"/>
      <c r="G174" s="17" t="n"/>
      <c r="H174" s="17" t="n"/>
      <c r="I174" s="17" t="n"/>
      <c r="J174" s="17" t="n"/>
      <c r="K174" s="17" t="n"/>
      <c r="L174" s="17" t="n"/>
      <c r="M174" s="17" t="n"/>
    </row>
    <row r="175" ht="15" customHeight="1" s="12">
      <c r="A175" s="17" t="n"/>
      <c r="B175" s="17" t="n"/>
      <c r="C175" s="17" t="n"/>
      <c r="D175" s="17" t="n"/>
      <c r="E175" s="17" t="n"/>
      <c r="F175" s="17" t="n"/>
      <c r="G175" s="17" t="n"/>
      <c r="H175" s="17" t="n"/>
      <c r="I175" s="17" t="n"/>
      <c r="J175" s="17" t="n"/>
      <c r="K175" s="17" t="n"/>
      <c r="L175" s="17" t="n"/>
      <c r="M175" s="17" t="n"/>
    </row>
    <row r="176" ht="15" customHeight="1" s="12">
      <c r="A176" s="17" t="n"/>
      <c r="B176" s="17" t="n"/>
      <c r="C176" s="17" t="n"/>
      <c r="D176" s="17" t="n"/>
      <c r="E176" s="17" t="n"/>
      <c r="F176" s="17" t="n"/>
      <c r="G176" s="17" t="n"/>
      <c r="H176" s="17" t="n"/>
      <c r="I176" s="17" t="n"/>
      <c r="J176" s="17" t="n"/>
      <c r="K176" s="17" t="n"/>
      <c r="L176" s="17" t="n"/>
      <c r="M176" s="17" t="n"/>
    </row>
    <row r="177" ht="15" customHeight="1" s="12">
      <c r="A177" s="17" t="n"/>
      <c r="B177" s="17" t="n"/>
      <c r="C177" s="17" t="n"/>
      <c r="D177" s="17" t="n"/>
      <c r="E177" s="17" t="n"/>
      <c r="F177" s="17" t="n"/>
      <c r="G177" s="17" t="n"/>
      <c r="H177" s="17" t="n"/>
      <c r="I177" s="17" t="n"/>
      <c r="J177" s="17" t="n"/>
      <c r="K177" s="17" t="n"/>
      <c r="L177" s="17" t="n"/>
      <c r="M177" s="17" t="n"/>
    </row>
    <row r="178" ht="15" customHeight="1" s="12">
      <c r="A178" s="17" t="n"/>
      <c r="B178" s="17" t="n"/>
      <c r="C178" s="17" t="n"/>
      <c r="D178" s="17" t="n"/>
      <c r="E178" s="17" t="n"/>
      <c r="F178" s="17" t="n"/>
      <c r="G178" s="17" t="n"/>
      <c r="H178" s="17" t="n"/>
      <c r="I178" s="17" t="n"/>
      <c r="J178" s="17" t="n"/>
      <c r="K178" s="17" t="n"/>
      <c r="L178" s="17" t="n"/>
      <c r="M178" s="17" t="n"/>
    </row>
    <row r="179" ht="15" customHeight="1" s="12">
      <c r="A179" s="17" t="n"/>
      <c r="B179" s="17" t="n"/>
      <c r="C179" s="17" t="n"/>
      <c r="D179" s="17" t="n"/>
      <c r="E179" s="17" t="n"/>
      <c r="F179" s="17" t="n"/>
      <c r="G179" s="17" t="n"/>
      <c r="H179" s="17" t="n"/>
      <c r="I179" s="17" t="n"/>
      <c r="J179" s="17" t="n"/>
      <c r="K179" s="17" t="n"/>
      <c r="L179" s="17" t="n"/>
      <c r="M179" s="17" t="n"/>
    </row>
    <row r="180" ht="15" customHeight="1" s="12">
      <c r="A180" s="17" t="n"/>
      <c r="B180" s="17" t="n"/>
      <c r="C180" s="17" t="n"/>
      <c r="D180" s="17" t="n"/>
      <c r="E180" s="17" t="n"/>
      <c r="F180" s="17" t="n"/>
      <c r="G180" s="17" t="n"/>
      <c r="H180" s="17" t="n"/>
      <c r="I180" s="17" t="n"/>
      <c r="J180" s="17" t="n"/>
      <c r="K180" s="17" t="n"/>
      <c r="L180" s="17" t="n"/>
      <c r="M180" s="17" t="n"/>
    </row>
    <row r="181" ht="15" customHeight="1" s="12">
      <c r="A181" s="17" t="n"/>
      <c r="B181" s="17" t="n"/>
      <c r="C181" s="17" t="n"/>
      <c r="D181" s="17" t="n"/>
      <c r="E181" s="17" t="n"/>
      <c r="F181" s="17" t="n"/>
      <c r="G181" s="17" t="n"/>
      <c r="H181" s="17" t="n"/>
      <c r="I181" s="17" t="n"/>
      <c r="J181" s="17" t="n"/>
      <c r="K181" s="17" t="n"/>
      <c r="L181" s="17" t="n"/>
      <c r="M181" s="17" t="n"/>
    </row>
    <row r="182" ht="15" customHeight="1" s="12">
      <c r="A182" s="17" t="n"/>
      <c r="B182" s="17" t="n"/>
      <c r="C182" s="17" t="n"/>
      <c r="D182" s="17" t="n"/>
      <c r="E182" s="17" t="n"/>
      <c r="F182" s="17" t="n"/>
      <c r="G182" s="17" t="n"/>
      <c r="H182" s="17" t="n"/>
      <c r="I182" s="17" t="n"/>
      <c r="J182" s="17" t="n"/>
      <c r="K182" s="17" t="n"/>
      <c r="L182" s="17" t="n"/>
      <c r="M182" s="17" t="n"/>
    </row>
    <row r="183" ht="15" customHeight="1" s="12">
      <c r="A183" s="17" t="n"/>
      <c r="B183" s="17" t="n"/>
      <c r="C183" s="17" t="n"/>
      <c r="D183" s="17" t="n"/>
      <c r="E183" s="17" t="n"/>
      <c r="F183" s="17" t="n"/>
      <c r="G183" s="17" t="n"/>
      <c r="H183" s="17" t="n"/>
      <c r="I183" s="17" t="n"/>
      <c r="J183" s="17" t="n"/>
      <c r="K183" s="17" t="n"/>
      <c r="L183" s="17" t="n"/>
      <c r="M183" s="17" t="n"/>
    </row>
    <row r="184" ht="15" customHeight="1" s="12">
      <c r="A184" s="17" t="n"/>
      <c r="B184" s="17" t="n"/>
      <c r="C184" s="17" t="n"/>
      <c r="D184" s="17" t="n"/>
      <c r="E184" s="17" t="n"/>
      <c r="F184" s="17" t="n"/>
      <c r="G184" s="17" t="n"/>
      <c r="H184" s="17" t="n"/>
      <c r="I184" s="17" t="n"/>
      <c r="J184" s="17" t="n"/>
      <c r="K184" s="17" t="n"/>
      <c r="L184" s="17" t="n"/>
      <c r="M184" s="17" t="n"/>
    </row>
    <row r="185" ht="15" customHeight="1" s="12">
      <c r="A185" s="17" t="n"/>
      <c r="B185" s="17" t="n"/>
      <c r="C185" s="17" t="n"/>
      <c r="D185" s="17" t="n"/>
      <c r="E185" s="17" t="n"/>
      <c r="F185" s="17" t="n"/>
      <c r="G185" s="17" t="n"/>
      <c r="H185" s="17" t="n"/>
      <c r="I185" s="17" t="n"/>
      <c r="J185" s="17" t="n"/>
      <c r="K185" s="17" t="n"/>
      <c r="L185" s="17" t="n"/>
      <c r="M185" s="17" t="n"/>
    </row>
    <row r="186" ht="15" customHeight="1" s="12">
      <c r="A186" s="17" t="n"/>
      <c r="B186" s="17" t="n"/>
      <c r="C186" s="17" t="n"/>
      <c r="D186" s="17" t="n"/>
      <c r="E186" s="17" t="n"/>
      <c r="F186" s="17" t="n"/>
      <c r="G186" s="17" t="n"/>
      <c r="H186" s="17" t="n"/>
      <c r="I186" s="17" t="n"/>
      <c r="J186" s="17" t="n"/>
      <c r="K186" s="17" t="n"/>
      <c r="L186" s="17" t="n"/>
      <c r="M186" s="17" t="n"/>
    </row>
    <row r="187" ht="15" customHeight="1" s="12">
      <c r="A187" s="17" t="n"/>
      <c r="B187" s="17" t="n"/>
      <c r="C187" s="17" t="n"/>
      <c r="D187" s="17" t="n"/>
      <c r="E187" s="17" t="n"/>
      <c r="F187" s="17" t="n"/>
      <c r="G187" s="17" t="n"/>
      <c r="H187" s="17" t="n"/>
      <c r="I187" s="17" t="n"/>
      <c r="J187" s="17" t="n"/>
      <c r="K187" s="17" t="n"/>
      <c r="L187" s="17" t="n"/>
      <c r="M187" s="17" t="n"/>
    </row>
    <row r="188" ht="15" customHeight="1" s="12">
      <c r="A188" s="17" t="n"/>
      <c r="B188" s="17" t="n"/>
      <c r="C188" s="17" t="n"/>
      <c r="D188" s="17" t="n"/>
      <c r="E188" s="17" t="n"/>
      <c r="F188" s="17" t="n"/>
      <c r="G188" s="17" t="n"/>
      <c r="H188" s="17" t="n"/>
      <c r="I188" s="17" t="n"/>
      <c r="J188" s="17" t="n"/>
      <c r="K188" s="17" t="n"/>
      <c r="L188" s="17" t="n"/>
      <c r="M188" s="17" t="n"/>
    </row>
    <row r="189" ht="15" customHeight="1" s="12">
      <c r="A189" s="17" t="n"/>
      <c r="B189" s="17" t="n"/>
      <c r="C189" s="17" t="n"/>
      <c r="D189" s="17" t="n"/>
      <c r="E189" s="17" t="n"/>
      <c r="F189" s="17" t="n"/>
      <c r="G189" s="17" t="n"/>
      <c r="H189" s="17" t="n"/>
      <c r="I189" s="17" t="n"/>
      <c r="J189" s="17" t="n"/>
      <c r="K189" s="17" t="n"/>
      <c r="L189" s="17" t="n"/>
      <c r="M189" s="17" t="n"/>
    </row>
    <row r="190" ht="15" customHeight="1" s="12">
      <c r="A190" s="17" t="n"/>
      <c r="B190" s="17" t="n"/>
      <c r="C190" s="17" t="n"/>
      <c r="D190" s="17" t="n"/>
      <c r="E190" s="17" t="n"/>
      <c r="F190" s="17" t="n"/>
      <c r="G190" s="17" t="n"/>
      <c r="H190" s="17" t="n"/>
      <c r="I190" s="17" t="n"/>
      <c r="J190" s="17" t="n"/>
      <c r="K190" s="17" t="n"/>
      <c r="L190" s="17" t="n"/>
      <c r="M190" s="17" t="n"/>
    </row>
    <row r="191" ht="15" customHeight="1" s="12">
      <c r="A191" s="17" t="n"/>
      <c r="B191" s="17" t="n"/>
      <c r="C191" s="17" t="n"/>
      <c r="D191" s="17" t="n"/>
      <c r="E191" s="17" t="n"/>
      <c r="F191" s="17" t="n"/>
      <c r="G191" s="17" t="n"/>
      <c r="H191" s="17" t="n"/>
      <c r="I191" s="17" t="n"/>
      <c r="J191" s="17" t="n"/>
      <c r="K191" s="17" t="n"/>
      <c r="L191" s="17" t="n"/>
      <c r="M191" s="17" t="n"/>
    </row>
    <row r="192" ht="15" customHeight="1" s="12">
      <c r="A192" s="17" t="n"/>
      <c r="B192" s="17" t="n"/>
      <c r="C192" s="17" t="n"/>
      <c r="D192" s="17" t="n"/>
      <c r="E192" s="17" t="n"/>
      <c r="F192" s="17" t="n"/>
      <c r="G192" s="17" t="n"/>
      <c r="H192" s="17" t="n"/>
      <c r="I192" s="17" t="n"/>
      <c r="J192" s="17" t="n"/>
      <c r="K192" s="17" t="n"/>
      <c r="L192" s="17" t="n"/>
      <c r="M192" s="17" t="n"/>
    </row>
    <row r="193" ht="15" customHeight="1" s="12">
      <c r="A193" s="17" t="n"/>
      <c r="B193" s="17" t="n"/>
      <c r="C193" s="17" t="n"/>
      <c r="D193" s="17" t="n"/>
      <c r="E193" s="17" t="n"/>
      <c r="F193" s="17" t="n"/>
      <c r="G193" s="17" t="n"/>
      <c r="H193" s="17" t="n"/>
      <c r="I193" s="17" t="n"/>
      <c r="J193" s="17" t="n"/>
      <c r="K193" s="17" t="n"/>
      <c r="L193" s="17" t="n"/>
      <c r="M193" s="17" t="n"/>
    </row>
    <row r="194" ht="15" customHeight="1" s="12">
      <c r="A194" s="17" t="n"/>
      <c r="B194" s="17" t="n"/>
      <c r="C194" s="17" t="n"/>
      <c r="D194" s="17" t="n"/>
      <c r="E194" s="17" t="n"/>
      <c r="F194" s="17" t="n"/>
      <c r="G194" s="17" t="n"/>
      <c r="H194" s="17" t="n"/>
      <c r="I194" s="17" t="n"/>
      <c r="J194" s="17" t="n"/>
      <c r="K194" s="17" t="n"/>
      <c r="L194" s="17" t="n"/>
      <c r="M194" s="17" t="n"/>
    </row>
    <row r="195" ht="15" customHeight="1" s="12">
      <c r="A195" s="17" t="n"/>
      <c r="B195" s="17" t="n"/>
      <c r="C195" s="17" t="n"/>
      <c r="D195" s="17" t="n"/>
      <c r="E195" s="17" t="n"/>
      <c r="F195" s="17" t="n"/>
      <c r="G195" s="17" t="n"/>
      <c r="H195" s="17" t="n"/>
      <c r="I195" s="17" t="n"/>
      <c r="J195" s="17" t="n"/>
      <c r="K195" s="17" t="n"/>
      <c r="L195" s="17" t="n"/>
      <c r="M195" s="17" t="n"/>
    </row>
    <row r="196" ht="15" customHeight="1" s="12">
      <c r="A196" s="17" t="n"/>
      <c r="B196" s="17" t="n"/>
      <c r="C196" s="17" t="n"/>
      <c r="D196" s="17" t="n"/>
      <c r="E196" s="17" t="n"/>
      <c r="F196" s="17" t="n"/>
      <c r="G196" s="17" t="n"/>
      <c r="H196" s="17" t="n"/>
      <c r="I196" s="17" t="n"/>
      <c r="J196" s="17" t="n"/>
      <c r="K196" s="17" t="n"/>
      <c r="L196" s="17" t="n"/>
      <c r="M196" s="17" t="n"/>
    </row>
    <row r="197" ht="15" customHeight="1" s="12">
      <c r="A197" s="17" t="n"/>
      <c r="B197" s="17" t="n"/>
      <c r="C197" s="17" t="n"/>
      <c r="D197" s="17" t="n"/>
      <c r="E197" s="17" t="n"/>
      <c r="F197" s="17" t="n"/>
      <c r="G197" s="17" t="n"/>
      <c r="H197" s="17" t="n"/>
      <c r="I197" s="17" t="n"/>
      <c r="J197" s="17" t="n"/>
      <c r="K197" s="17" t="n"/>
      <c r="L197" s="17" t="n"/>
      <c r="M197" s="17" t="n"/>
    </row>
    <row r="198" ht="15" customHeight="1" s="12">
      <c r="A198" s="17" t="n"/>
      <c r="B198" s="17" t="n"/>
      <c r="C198" s="17" t="n"/>
      <c r="D198" s="17" t="n"/>
      <c r="E198" s="17" t="n"/>
      <c r="F198" s="17" t="n"/>
      <c r="G198" s="17" t="n"/>
      <c r="H198" s="17" t="n"/>
      <c r="I198" s="17" t="n"/>
      <c r="J198" s="17" t="n"/>
      <c r="K198" s="17" t="n"/>
      <c r="L198" s="17" t="n"/>
      <c r="M198" s="17" t="n"/>
    </row>
    <row r="199" ht="15" customHeight="1" s="12">
      <c r="A199" s="17" t="n"/>
      <c r="B199" s="17" t="n"/>
      <c r="C199" s="17" t="n"/>
      <c r="D199" s="17" t="n"/>
      <c r="E199" s="17" t="n"/>
      <c r="F199" s="17" t="n"/>
      <c r="G199" s="17" t="n"/>
      <c r="H199" s="17" t="n"/>
      <c r="I199" s="17" t="n"/>
      <c r="J199" s="17" t="n"/>
      <c r="K199" s="17" t="n"/>
      <c r="L199" s="17" t="n"/>
      <c r="M199" s="17" t="n"/>
    </row>
    <row r="200" ht="15" customHeight="1" s="12">
      <c r="A200" s="17" t="n"/>
      <c r="B200" s="17" t="n"/>
      <c r="C200" s="17" t="n"/>
      <c r="D200" s="17" t="n"/>
      <c r="E200" s="17" t="n"/>
      <c r="F200" s="17" t="n"/>
      <c r="G200" s="17" t="n"/>
      <c r="H200" s="17" t="n"/>
      <c r="I200" s="17" t="n"/>
      <c r="J200" s="17" t="n"/>
      <c r="K200" s="17" t="n"/>
      <c r="L200" s="17" t="n"/>
      <c r="M200" s="17" t="n"/>
    </row>
    <row r="201" ht="15" customHeight="1" s="12">
      <c r="A201" s="17" t="n"/>
      <c r="B201" s="17" t="n"/>
      <c r="C201" s="17" t="n"/>
      <c r="D201" s="17" t="n"/>
      <c r="E201" s="17" t="n"/>
      <c r="F201" s="17" t="n"/>
      <c r="G201" s="17" t="n"/>
      <c r="H201" s="17" t="n"/>
      <c r="I201" s="17" t="n"/>
      <c r="J201" s="17" t="n"/>
      <c r="K201" s="17" t="n"/>
      <c r="L201" s="17" t="n"/>
      <c r="M201" s="17" t="n"/>
    </row>
    <row r="202" ht="15" customHeight="1" s="12">
      <c r="A202" s="17" t="n"/>
      <c r="B202" s="17" t="n"/>
      <c r="C202" s="17" t="n"/>
      <c r="D202" s="17" t="n"/>
      <c r="E202" s="17" t="n"/>
      <c r="F202" s="17" t="n"/>
      <c r="G202" s="17" t="n"/>
      <c r="H202" s="17" t="n"/>
      <c r="I202" s="17" t="n"/>
      <c r="J202" s="17" t="n"/>
      <c r="K202" s="17" t="n"/>
      <c r="L202" s="17" t="n"/>
      <c r="M202" s="17" t="n"/>
    </row>
    <row r="203" ht="15" customHeight="1" s="12">
      <c r="A203" s="17" t="n"/>
      <c r="B203" s="17" t="n"/>
      <c r="C203" s="17" t="n"/>
      <c r="D203" s="17" t="n"/>
      <c r="E203" s="17" t="n"/>
      <c r="F203" s="17" t="n"/>
      <c r="G203" s="17" t="n"/>
      <c r="H203" s="17" t="n"/>
      <c r="I203" s="17" t="n"/>
      <c r="J203" s="17" t="n"/>
      <c r="K203" s="17" t="n"/>
      <c r="L203" s="17" t="n"/>
      <c r="M203" s="17" t="n"/>
    </row>
    <row r="204" ht="15" customHeight="1" s="12">
      <c r="A204" s="17" t="n"/>
      <c r="B204" s="17" t="n"/>
      <c r="C204" s="17" t="n"/>
      <c r="D204" s="17" t="n"/>
      <c r="E204" s="17" t="n"/>
      <c r="F204" s="17" t="n"/>
      <c r="G204" s="17" t="n"/>
      <c r="H204" s="17" t="n"/>
      <c r="I204" s="17" t="n"/>
      <c r="J204" s="17" t="n"/>
      <c r="K204" s="17" t="n"/>
      <c r="L204" s="17" t="n"/>
      <c r="M204" s="17" t="n"/>
    </row>
    <row r="205" ht="15" customHeight="1" s="12">
      <c r="A205" s="17" t="n"/>
      <c r="B205" s="17" t="n"/>
      <c r="C205" s="17" t="n"/>
      <c r="D205" s="17" t="n"/>
      <c r="E205" s="17" t="n"/>
      <c r="F205" s="17" t="n"/>
      <c r="G205" s="17" t="n"/>
      <c r="H205" s="17" t="n"/>
      <c r="I205" s="17" t="n"/>
      <c r="J205" s="17" t="n"/>
      <c r="K205" s="17" t="n"/>
      <c r="L205" s="17" t="n"/>
      <c r="M205" s="17" t="n"/>
    </row>
    <row r="206" ht="15" customHeight="1" s="12">
      <c r="A206" s="17" t="n"/>
      <c r="B206" s="17" t="n"/>
      <c r="C206" s="17" t="n"/>
      <c r="D206" s="17" t="n"/>
      <c r="E206" s="17" t="n"/>
      <c r="F206" s="17" t="n"/>
      <c r="G206" s="17" t="n"/>
      <c r="H206" s="17" t="n"/>
      <c r="I206" s="17" t="n"/>
      <c r="J206" s="17" t="n"/>
      <c r="K206" s="17" t="n"/>
      <c r="L206" s="17" t="n"/>
      <c r="M206" s="17" t="n"/>
    </row>
    <row r="207" ht="15" customHeight="1" s="12">
      <c r="A207" s="17" t="n"/>
      <c r="B207" s="17" t="n"/>
      <c r="C207" s="17" t="n"/>
      <c r="D207" s="17" t="n"/>
      <c r="E207" s="17" t="n"/>
      <c r="F207" s="17" t="n"/>
      <c r="G207" s="17" t="n"/>
      <c r="H207" s="17" t="n"/>
      <c r="I207" s="17" t="n"/>
      <c r="J207" s="17" t="n"/>
      <c r="K207" s="17" t="n"/>
      <c r="L207" s="17" t="n"/>
      <c r="M207" s="17" t="n"/>
    </row>
    <row r="208" ht="15" customHeight="1" s="12">
      <c r="A208" s="17" t="n"/>
      <c r="B208" s="17" t="n"/>
      <c r="C208" s="17" t="n"/>
      <c r="D208" s="17" t="n"/>
      <c r="E208" s="17" t="n"/>
      <c r="F208" s="17" t="n"/>
      <c r="G208" s="17" t="n"/>
      <c r="H208" s="17" t="n"/>
      <c r="I208" s="17" t="n"/>
      <c r="J208" s="17" t="n"/>
      <c r="K208" s="17" t="n"/>
      <c r="L208" s="17" t="n"/>
      <c r="M208" s="17" t="n"/>
    </row>
    <row r="209" ht="15" customHeight="1" s="12">
      <c r="A209" s="17" t="n"/>
      <c r="B209" s="17" t="n"/>
      <c r="C209" s="17" t="n"/>
      <c r="D209" s="17" t="n"/>
      <c r="E209" s="17" t="n"/>
      <c r="F209" s="17" t="n"/>
      <c r="G209" s="17" t="n"/>
      <c r="H209" s="17" t="n"/>
      <c r="I209" s="17" t="n"/>
      <c r="J209" s="17" t="n"/>
      <c r="K209" s="17" t="n"/>
      <c r="L209" s="17" t="n"/>
      <c r="M209" s="17" t="n"/>
    </row>
    <row r="210" ht="15" customHeight="1" s="12">
      <c r="A210" s="17" t="n"/>
      <c r="B210" s="17" t="n"/>
      <c r="C210" s="17" t="n"/>
      <c r="D210" s="17" t="n"/>
      <c r="E210" s="17" t="n"/>
      <c r="F210" s="17" t="n"/>
      <c r="G210" s="17" t="n"/>
      <c r="H210" s="17" t="n"/>
      <c r="I210" s="17" t="n"/>
      <c r="J210" s="17" t="n"/>
      <c r="K210" s="17" t="n"/>
      <c r="L210" s="17" t="n"/>
      <c r="M210" s="17" t="n"/>
    </row>
    <row r="211" ht="15" customHeight="1" s="12">
      <c r="A211" s="17" t="n"/>
      <c r="B211" s="17" t="n"/>
      <c r="C211" s="17" t="n"/>
      <c r="D211" s="17" t="n"/>
      <c r="E211" s="17" t="n"/>
      <c r="F211" s="17" t="n"/>
      <c r="G211" s="17" t="n"/>
      <c r="H211" s="17" t="n"/>
      <c r="I211" s="17" t="n"/>
      <c r="J211" s="17" t="n"/>
      <c r="K211" s="17" t="n"/>
      <c r="L211" s="17" t="n"/>
      <c r="M211" s="17" t="n"/>
    </row>
    <row r="212" ht="15" customHeight="1" s="12">
      <c r="A212" s="17" t="n"/>
      <c r="B212" s="17" t="n"/>
      <c r="C212" s="17" t="n"/>
      <c r="D212" s="17" t="n"/>
      <c r="E212" s="17" t="n"/>
      <c r="F212" s="17" t="n"/>
      <c r="G212" s="17" t="n"/>
      <c r="H212" s="17" t="n"/>
      <c r="I212" s="17" t="n"/>
      <c r="J212" s="17" t="n"/>
      <c r="K212" s="17" t="n"/>
      <c r="L212" s="17" t="n"/>
      <c r="M212" s="17" t="n"/>
    </row>
    <row r="213" ht="15" customHeight="1" s="12">
      <c r="A213" s="17" t="n"/>
      <c r="B213" s="17" t="n"/>
      <c r="C213" s="17" t="n"/>
      <c r="D213" s="17" t="n"/>
      <c r="E213" s="17" t="n"/>
      <c r="F213" s="17" t="n"/>
      <c r="G213" s="17" t="n"/>
      <c r="H213" s="17" t="n"/>
      <c r="I213" s="17" t="n"/>
      <c r="J213" s="17" t="n"/>
      <c r="K213" s="17" t="n"/>
      <c r="L213" s="17" t="n"/>
      <c r="M213" s="17" t="n"/>
    </row>
    <row r="214" ht="15" customHeight="1" s="12">
      <c r="A214" s="17" t="n"/>
      <c r="B214" s="17" t="n"/>
      <c r="C214" s="17" t="n"/>
      <c r="D214" s="17" t="n"/>
      <c r="E214" s="17" t="n"/>
      <c r="F214" s="17" t="n"/>
      <c r="G214" s="17" t="n"/>
      <c r="H214" s="17" t="n"/>
      <c r="I214" s="17" t="n"/>
      <c r="J214" s="17" t="n"/>
      <c r="K214" s="17" t="n"/>
      <c r="L214" s="17" t="n"/>
      <c r="M214" s="17" t="n"/>
    </row>
    <row r="215" ht="15" customHeight="1" s="12">
      <c r="A215" s="17" t="n"/>
      <c r="B215" s="17" t="n"/>
      <c r="C215" s="17" t="n"/>
      <c r="D215" s="17" t="n"/>
      <c r="E215" s="17" t="n"/>
      <c r="F215" s="17" t="n"/>
      <c r="G215" s="17" t="n"/>
      <c r="H215" s="17" t="n"/>
      <c r="I215" s="17" t="n"/>
      <c r="J215" s="17" t="n"/>
      <c r="K215" s="17" t="n"/>
      <c r="L215" s="17" t="n"/>
      <c r="M215" s="17" t="n"/>
    </row>
    <row r="216" ht="15" customHeight="1" s="12">
      <c r="A216" s="17" t="n"/>
      <c r="B216" s="17" t="n"/>
      <c r="C216" s="17" t="n"/>
      <c r="D216" s="17" t="n"/>
      <c r="E216" s="17" t="n"/>
      <c r="F216" s="17" t="n"/>
      <c r="G216" s="17" t="n"/>
      <c r="H216" s="17" t="n"/>
      <c r="I216" s="17" t="n"/>
      <c r="J216" s="17" t="n"/>
      <c r="K216" s="17" t="n"/>
      <c r="L216" s="17" t="n"/>
      <c r="M216" s="17" t="n"/>
    </row>
    <row r="217" ht="15" customHeight="1" s="12">
      <c r="A217" s="17" t="n"/>
      <c r="B217" s="17" t="n"/>
      <c r="C217" s="17" t="n"/>
      <c r="D217" s="17" t="n"/>
      <c r="E217" s="17" t="n"/>
      <c r="F217" s="17" t="n"/>
      <c r="G217" s="17" t="n"/>
      <c r="H217" s="17" t="n"/>
      <c r="I217" s="17" t="n"/>
      <c r="J217" s="17" t="n"/>
      <c r="K217" s="17" t="n"/>
      <c r="L217" s="17" t="n"/>
      <c r="M217" s="17" t="n"/>
    </row>
    <row r="218" ht="15" customHeight="1" s="12">
      <c r="A218" s="17" t="n"/>
      <c r="B218" s="17" t="n"/>
      <c r="C218" s="17" t="n"/>
      <c r="D218" s="17" t="n"/>
      <c r="E218" s="17" t="n"/>
      <c r="F218" s="17" t="n"/>
      <c r="G218" s="17" t="n"/>
      <c r="H218" s="17" t="n"/>
      <c r="I218" s="17" t="n"/>
      <c r="J218" s="17" t="n"/>
      <c r="K218" s="17" t="n"/>
      <c r="L218" s="17" t="n"/>
      <c r="M218" s="17" t="n"/>
    </row>
    <row r="219" ht="15" customHeight="1" s="12">
      <c r="A219" s="17" t="n"/>
      <c r="B219" s="17" t="n"/>
      <c r="C219" s="17" t="n"/>
      <c r="D219" s="17" t="n"/>
      <c r="E219" s="17" t="n"/>
      <c r="F219" s="17" t="n"/>
      <c r="G219" s="17" t="n"/>
      <c r="H219" s="17" t="n"/>
      <c r="I219" s="17" t="n"/>
      <c r="J219" s="17" t="n"/>
      <c r="K219" s="17" t="n"/>
      <c r="L219" s="17" t="n"/>
      <c r="M219" s="17" t="n"/>
    </row>
    <row r="220" ht="15" customHeight="1" s="12">
      <c r="A220" s="17" t="n"/>
      <c r="B220" s="17" t="n"/>
      <c r="C220" s="17" t="n"/>
      <c r="D220" s="17" t="n"/>
      <c r="E220" s="17" t="n"/>
      <c r="F220" s="17" t="n"/>
      <c r="G220" s="17" t="n"/>
      <c r="H220" s="17" t="n"/>
      <c r="I220" s="17" t="n"/>
      <c r="J220" s="17" t="n"/>
      <c r="K220" s="17" t="n"/>
      <c r="L220" s="17" t="n"/>
      <c r="M220" s="17" t="n"/>
    </row>
    <row r="221" ht="15" customHeight="1" s="12">
      <c r="A221" s="17" t="n"/>
      <c r="B221" s="17" t="n"/>
      <c r="C221" s="17" t="n"/>
      <c r="D221" s="17" t="n"/>
      <c r="E221" s="17" t="n"/>
      <c r="F221" s="17" t="n"/>
      <c r="G221" s="17" t="n"/>
      <c r="H221" s="17" t="n"/>
      <c r="I221" s="17" t="n"/>
      <c r="J221" s="17" t="n"/>
      <c r="K221" s="17" t="n"/>
      <c r="L221" s="17" t="n"/>
      <c r="M221" s="17" t="n"/>
    </row>
    <row r="222" ht="15" customHeight="1" s="12">
      <c r="A222" s="17" t="n"/>
      <c r="B222" s="17" t="n"/>
      <c r="C222" s="17" t="n"/>
      <c r="D222" s="17" t="n"/>
      <c r="E222" s="17" t="n"/>
      <c r="F222" s="17" t="n"/>
      <c r="G222" s="17" t="n"/>
      <c r="H222" s="17" t="n"/>
      <c r="I222" s="17" t="n"/>
      <c r="J222" s="17" t="n"/>
      <c r="K222" s="17" t="n"/>
      <c r="L222" s="17" t="n"/>
      <c r="M222" s="17" t="n"/>
    </row>
    <row r="223" ht="15" customHeight="1" s="12">
      <c r="A223" s="17" t="n"/>
      <c r="B223" s="17" t="n"/>
      <c r="C223" s="17" t="n"/>
      <c r="D223" s="17" t="n"/>
      <c r="E223" s="17" t="n"/>
      <c r="F223" s="17" t="n"/>
      <c r="G223" s="17" t="n"/>
      <c r="H223" s="17" t="n"/>
      <c r="I223" s="17" t="n"/>
      <c r="J223" s="17" t="n"/>
      <c r="K223" s="17" t="n"/>
      <c r="L223" s="17" t="n"/>
      <c r="M223" s="17" t="n"/>
    </row>
    <row r="224" ht="15" customHeight="1" s="12">
      <c r="A224" s="17" t="n"/>
      <c r="B224" s="17" t="n"/>
      <c r="C224" s="17" t="n"/>
      <c r="D224" s="17" t="n"/>
      <c r="E224" s="17" t="n"/>
      <c r="F224" s="17" t="n"/>
      <c r="G224" s="17" t="n"/>
      <c r="H224" s="17" t="n"/>
      <c r="I224" s="17" t="n"/>
      <c r="J224" s="17" t="n"/>
      <c r="K224" s="17" t="n"/>
      <c r="L224" s="17" t="n"/>
      <c r="M224" s="17" t="n"/>
    </row>
    <row r="225" ht="15" customHeight="1" s="12">
      <c r="A225" s="17" t="n"/>
      <c r="B225" s="17" t="n"/>
      <c r="C225" s="17" t="n"/>
      <c r="D225" s="17" t="n"/>
      <c r="E225" s="17" t="n"/>
      <c r="F225" s="17" t="n"/>
      <c r="G225" s="17" t="n"/>
      <c r="H225" s="17" t="n"/>
      <c r="I225" s="17" t="n"/>
      <c r="J225" s="17" t="n"/>
      <c r="K225" s="17" t="n"/>
      <c r="L225" s="17" t="n"/>
      <c r="M225" s="17" t="n"/>
    </row>
    <row r="226" ht="15" customHeight="1" s="12">
      <c r="A226" s="17" t="n"/>
      <c r="B226" s="17" t="n"/>
      <c r="C226" s="17" t="n"/>
      <c r="D226" s="17" t="n"/>
      <c r="E226" s="17" t="n"/>
      <c r="F226" s="17" t="n"/>
      <c r="G226" s="17" t="n"/>
      <c r="H226" s="17" t="n"/>
      <c r="I226" s="17" t="n"/>
      <c r="J226" s="17" t="n"/>
      <c r="K226" s="17" t="n"/>
      <c r="L226" s="17" t="n"/>
      <c r="M226" s="17" t="n"/>
    </row>
    <row r="227" ht="15" customHeight="1" s="12">
      <c r="A227" s="17" t="n"/>
      <c r="B227" s="17" t="n"/>
      <c r="C227" s="17" t="n"/>
      <c r="D227" s="17" t="n"/>
      <c r="E227" s="17" t="n"/>
      <c r="F227" s="17" t="n"/>
      <c r="G227" s="17" t="n"/>
      <c r="H227" s="17" t="n"/>
      <c r="I227" s="17" t="n"/>
      <c r="J227" s="17" t="n"/>
      <c r="K227" s="17" t="n"/>
      <c r="L227" s="17" t="n"/>
      <c r="M227" s="17" t="n"/>
    </row>
    <row r="228" ht="15" customHeight="1" s="12">
      <c r="A228" s="17" t="n"/>
      <c r="B228" s="17" t="n"/>
      <c r="C228" s="17" t="n"/>
      <c r="D228" s="17" t="n"/>
      <c r="E228" s="17" t="n"/>
      <c r="F228" s="17" t="n"/>
      <c r="G228" s="17" t="n"/>
      <c r="H228" s="17" t="n"/>
      <c r="I228" s="17" t="n"/>
      <c r="J228" s="17" t="n"/>
      <c r="K228" s="17" t="n"/>
      <c r="L228" s="17" t="n"/>
      <c r="M228" s="17" t="n"/>
    </row>
    <row r="229" ht="15" customHeight="1" s="12">
      <c r="A229" s="17" t="n"/>
      <c r="B229" s="17" t="n"/>
      <c r="C229" s="17" t="n"/>
      <c r="D229" s="17" t="n"/>
      <c r="E229" s="17" t="n"/>
      <c r="F229" s="17" t="n"/>
      <c r="G229" s="17" t="n"/>
      <c r="H229" s="17" t="n"/>
      <c r="I229" s="17" t="n"/>
      <c r="J229" s="17" t="n"/>
      <c r="K229" s="17" t="n"/>
      <c r="L229" s="17" t="n"/>
      <c r="M229" s="17" t="n"/>
    </row>
    <row r="230" ht="15" customHeight="1" s="12">
      <c r="A230" s="17" t="n"/>
      <c r="B230" s="17" t="n"/>
      <c r="C230" s="17" t="n"/>
      <c r="D230" s="17" t="n"/>
      <c r="E230" s="17" t="n"/>
      <c r="F230" s="17" t="n"/>
      <c r="G230" s="17" t="n"/>
      <c r="H230" s="17" t="n"/>
      <c r="I230" s="17" t="n"/>
      <c r="J230" s="17" t="n"/>
      <c r="K230" s="17" t="n"/>
      <c r="L230" s="17" t="n"/>
      <c r="M230" s="17" t="n"/>
    </row>
    <row r="231" ht="15" customHeight="1" s="12">
      <c r="A231" s="17" t="n"/>
      <c r="B231" s="17" t="n"/>
      <c r="C231" s="17" t="n"/>
      <c r="D231" s="17" t="n"/>
      <c r="E231" s="17" t="n"/>
      <c r="F231" s="17" t="n"/>
      <c r="G231" s="17" t="n"/>
      <c r="H231" s="17" t="n"/>
      <c r="I231" s="17" t="n"/>
      <c r="J231" s="17" t="n"/>
      <c r="K231" s="17" t="n"/>
      <c r="L231" s="17" t="n"/>
      <c r="M231" s="17" t="n"/>
    </row>
    <row r="232" ht="15" customHeight="1" s="12">
      <c r="A232" s="17" t="n"/>
      <c r="B232" s="17" t="n"/>
      <c r="C232" s="17" t="n"/>
      <c r="D232" s="17" t="n"/>
      <c r="E232" s="17" t="n"/>
      <c r="F232" s="17" t="n"/>
      <c r="G232" s="17" t="n"/>
      <c r="H232" s="17" t="n"/>
      <c r="I232" s="17" t="n"/>
      <c r="J232" s="17" t="n"/>
      <c r="K232" s="17" t="n"/>
      <c r="L232" s="17" t="n"/>
      <c r="M232" s="17" t="n"/>
    </row>
    <row r="233" ht="15" customHeight="1" s="12">
      <c r="A233" s="17" t="n"/>
      <c r="B233" s="17" t="n"/>
      <c r="C233" s="17" t="n"/>
      <c r="D233" s="17" t="n"/>
      <c r="E233" s="17" t="n"/>
      <c r="F233" s="17" t="n"/>
      <c r="G233" s="17" t="n"/>
      <c r="H233" s="17" t="n"/>
      <c r="I233" s="17" t="n"/>
      <c r="J233" s="17" t="n"/>
      <c r="K233" s="17" t="n"/>
      <c r="L233" s="17" t="n"/>
      <c r="M233" s="17" t="n"/>
    </row>
    <row r="234" ht="15" customHeight="1" s="12">
      <c r="A234" s="17" t="n"/>
      <c r="B234" s="17" t="n"/>
      <c r="C234" s="17" t="n"/>
      <c r="D234" s="17" t="n"/>
      <c r="E234" s="17" t="n"/>
      <c r="F234" s="17" t="n"/>
      <c r="G234" s="17" t="n"/>
      <c r="H234" s="17" t="n"/>
      <c r="I234" s="17" t="n"/>
      <c r="J234" s="17" t="n"/>
      <c r="K234" s="17" t="n"/>
      <c r="L234" s="17" t="n"/>
      <c r="M234" s="17" t="n"/>
    </row>
    <row r="235" ht="15" customHeight="1" s="12">
      <c r="A235" s="17" t="n"/>
      <c r="B235" s="17" t="n"/>
      <c r="C235" s="17" t="n"/>
      <c r="D235" s="17" t="n"/>
      <c r="E235" s="17" t="n"/>
      <c r="F235" s="17" t="n"/>
      <c r="G235" s="17" t="n"/>
      <c r="H235" s="17" t="n"/>
      <c r="I235" s="17" t="n"/>
      <c r="J235" s="17" t="n"/>
      <c r="K235" s="17" t="n"/>
      <c r="L235" s="17" t="n"/>
      <c r="M235" s="17" t="n"/>
    </row>
    <row r="236" ht="15" customHeight="1" s="12">
      <c r="A236" s="17" t="n"/>
      <c r="B236" s="17" t="n"/>
      <c r="C236" s="17" t="n"/>
      <c r="D236" s="17" t="n"/>
      <c r="E236" s="17" t="n"/>
      <c r="F236" s="17" t="n"/>
      <c r="G236" s="17" t="n"/>
      <c r="H236" s="17" t="n"/>
      <c r="I236" s="17" t="n"/>
      <c r="J236" s="17" t="n"/>
      <c r="K236" s="17" t="n"/>
      <c r="L236" s="17" t="n"/>
      <c r="M236" s="17" t="n"/>
    </row>
    <row r="237" ht="15" customHeight="1" s="12">
      <c r="A237" s="17" t="n"/>
      <c r="B237" s="17" t="n"/>
      <c r="C237" s="17" t="n"/>
      <c r="D237" s="17" t="n"/>
      <c r="E237" s="17" t="n"/>
      <c r="F237" s="17" t="n"/>
      <c r="G237" s="17" t="n"/>
      <c r="H237" s="17" t="n"/>
      <c r="I237" s="17" t="n"/>
      <c r="J237" s="17" t="n"/>
      <c r="K237" s="17" t="n"/>
      <c r="L237" s="17" t="n"/>
      <c r="M237" s="17" t="n"/>
    </row>
    <row r="238" ht="15" customHeight="1" s="12">
      <c r="A238" s="17" t="n"/>
      <c r="B238" s="17" t="n"/>
      <c r="C238" s="17" t="n"/>
      <c r="D238" s="17" t="n"/>
      <c r="E238" s="17" t="n"/>
      <c r="F238" s="17" t="n"/>
      <c r="G238" s="17" t="n"/>
      <c r="H238" s="17" t="n"/>
      <c r="I238" s="17" t="n"/>
      <c r="J238" s="17" t="n"/>
      <c r="K238" s="17" t="n"/>
      <c r="L238" s="17" t="n"/>
      <c r="M238" s="17" t="n"/>
    </row>
    <row r="239" ht="15" customHeight="1" s="12">
      <c r="A239" s="17" t="n"/>
      <c r="B239" s="17" t="n"/>
      <c r="C239" s="17" t="n"/>
      <c r="D239" s="17" t="n"/>
      <c r="E239" s="17" t="n"/>
      <c r="F239" s="17" t="n"/>
      <c r="G239" s="17" t="n"/>
      <c r="H239" s="17" t="n"/>
      <c r="I239" s="17" t="n"/>
      <c r="J239" s="17" t="n"/>
      <c r="K239" s="17" t="n"/>
      <c r="L239" s="17" t="n"/>
      <c r="M239" s="17" t="n"/>
    </row>
    <row r="240" ht="15" customHeight="1" s="12">
      <c r="A240" s="17" t="n"/>
      <c r="B240" s="17" t="n"/>
      <c r="C240" s="17" t="n"/>
      <c r="D240" s="17" t="n"/>
      <c r="E240" s="17" t="n"/>
      <c r="F240" s="17" t="n"/>
      <c r="G240" s="17" t="n"/>
      <c r="H240" s="17" t="n"/>
      <c r="I240" s="17" t="n"/>
      <c r="J240" s="17" t="n"/>
      <c r="K240" s="17" t="n"/>
      <c r="L240" s="17" t="n"/>
      <c r="M240" s="17" t="n"/>
    </row>
    <row r="241" ht="15" customHeight="1" s="12">
      <c r="A241" s="17" t="n"/>
      <c r="B241" s="17" t="n"/>
      <c r="C241" s="17" t="n"/>
      <c r="D241" s="17" t="n"/>
      <c r="E241" s="17" t="n"/>
      <c r="F241" s="17" t="n"/>
      <c r="G241" s="17" t="n"/>
      <c r="H241" s="17" t="n"/>
      <c r="I241" s="17" t="n"/>
      <c r="J241" s="17" t="n"/>
      <c r="K241" s="17" t="n"/>
      <c r="L241" s="17" t="n"/>
      <c r="M241" s="17" t="n"/>
    </row>
    <row r="242" ht="15" customHeight="1" s="12">
      <c r="A242" s="17" t="n"/>
      <c r="B242" s="17" t="n"/>
      <c r="C242" s="17" t="n"/>
      <c r="D242" s="17" t="n"/>
      <c r="E242" s="17" t="n"/>
      <c r="F242" s="17" t="n"/>
      <c r="G242" s="17" t="n"/>
      <c r="H242" s="17" t="n"/>
      <c r="I242" s="17" t="n"/>
      <c r="J242" s="17" t="n"/>
      <c r="K242" s="17" t="n"/>
      <c r="L242" s="17" t="n"/>
      <c r="M242" s="17" t="n"/>
    </row>
    <row r="243" ht="15" customHeight="1" s="12">
      <c r="A243" s="17" t="n"/>
      <c r="B243" s="17" t="n"/>
      <c r="C243" s="17" t="n"/>
      <c r="D243" s="17" t="n"/>
      <c r="E243" s="17" t="n"/>
      <c r="F243" s="17" t="n"/>
      <c r="G243" s="17" t="n"/>
      <c r="H243" s="17" t="n"/>
      <c r="I243" s="17" t="n"/>
      <c r="J243" s="17" t="n"/>
      <c r="K243" s="17" t="n"/>
      <c r="L243" s="17" t="n"/>
      <c r="M243" s="17" t="n"/>
    </row>
    <row r="244" ht="15" customHeight="1" s="12">
      <c r="A244" s="17" t="n"/>
      <c r="B244" s="17" t="n"/>
      <c r="C244" s="17" t="n"/>
      <c r="D244" s="17" t="n"/>
      <c r="E244" s="17" t="n"/>
      <c r="F244" s="17" t="n"/>
      <c r="G244" s="17" t="n"/>
      <c r="H244" s="17" t="n"/>
      <c r="I244" s="17" t="n"/>
      <c r="J244" s="17" t="n"/>
      <c r="K244" s="17" t="n"/>
      <c r="L244" s="17" t="n"/>
      <c r="M244" s="17" t="n"/>
    </row>
    <row r="245" ht="15" customHeight="1" s="12">
      <c r="A245" s="17" t="n"/>
      <c r="B245" s="17" t="n"/>
      <c r="C245" s="17" t="n"/>
      <c r="D245" s="17" t="n"/>
      <c r="E245" s="17" t="n"/>
      <c r="F245" s="17" t="n"/>
      <c r="G245" s="17" t="n"/>
      <c r="H245" s="17" t="n"/>
      <c r="I245" s="17" t="n"/>
      <c r="J245" s="17" t="n"/>
      <c r="K245" s="17" t="n"/>
      <c r="L245" s="17" t="n"/>
      <c r="M245" s="17" t="n"/>
    </row>
    <row r="246" ht="15" customHeight="1" s="12">
      <c r="A246" s="17" t="n"/>
      <c r="B246" s="17" t="n"/>
      <c r="C246" s="17" t="n"/>
      <c r="D246" s="17" t="n"/>
      <c r="E246" s="17" t="n"/>
      <c r="F246" s="17" t="n"/>
      <c r="G246" s="17" t="n"/>
      <c r="H246" s="17" t="n"/>
      <c r="I246" s="17" t="n"/>
      <c r="J246" s="17" t="n"/>
      <c r="K246" s="17" t="n"/>
      <c r="L246" s="17" t="n"/>
      <c r="M246" s="17" t="n"/>
    </row>
    <row r="247" ht="15" customHeight="1" s="12">
      <c r="A247" s="17" t="n"/>
      <c r="B247" s="17" t="n"/>
      <c r="C247" s="17" t="n"/>
      <c r="D247" s="17" t="n"/>
      <c r="E247" s="17" t="n"/>
      <c r="F247" s="17" t="n"/>
      <c r="G247" s="17" t="n"/>
      <c r="H247" s="17" t="n"/>
      <c r="I247" s="17" t="n"/>
      <c r="J247" s="17" t="n"/>
      <c r="K247" s="17" t="n"/>
      <c r="L247" s="17" t="n"/>
      <c r="M247" s="17" t="n"/>
    </row>
    <row r="248" ht="15" customHeight="1" s="12">
      <c r="A248" s="17" t="n"/>
      <c r="B248" s="17" t="n"/>
      <c r="C248" s="17" t="n"/>
      <c r="D248" s="17" t="n"/>
      <c r="E248" s="17" t="n"/>
      <c r="F248" s="17" t="n"/>
      <c r="G248" s="17" t="n"/>
      <c r="H248" s="17" t="n"/>
      <c r="I248" s="17" t="n"/>
      <c r="J248" s="17" t="n"/>
      <c r="K248" s="17" t="n"/>
      <c r="L248" s="17" t="n"/>
      <c r="M248" s="17" t="n"/>
    </row>
    <row r="249" ht="15" customHeight="1" s="12">
      <c r="A249" s="17" t="n"/>
      <c r="B249" s="17" t="n"/>
      <c r="C249" s="17" t="n"/>
      <c r="D249" s="17" t="n"/>
      <c r="E249" s="17" t="n"/>
      <c r="F249" s="17" t="n"/>
      <c r="G249" s="17" t="n"/>
      <c r="H249" s="17" t="n"/>
      <c r="I249" s="17" t="n"/>
      <c r="J249" s="17" t="n"/>
      <c r="K249" s="17" t="n"/>
      <c r="L249" s="17" t="n"/>
      <c r="M249" s="17" t="n"/>
    </row>
    <row r="250" ht="15" customHeight="1" s="12">
      <c r="A250" s="17" t="n"/>
      <c r="B250" s="17" t="n"/>
      <c r="C250" s="17" t="n"/>
      <c r="D250" s="17" t="n"/>
      <c r="E250" s="17" t="n"/>
      <c r="F250" s="17" t="n"/>
      <c r="G250" s="17" t="n"/>
      <c r="H250" s="17" t="n"/>
      <c r="I250" s="17" t="n"/>
      <c r="J250" s="17" t="n"/>
      <c r="K250" s="17" t="n"/>
      <c r="L250" s="17" t="n"/>
      <c r="M250" s="17" t="n"/>
    </row>
    <row r="251" ht="15" customHeight="1" s="12">
      <c r="A251" s="17" t="n"/>
      <c r="B251" s="17" t="n"/>
      <c r="C251" s="17" t="n"/>
      <c r="D251" s="17" t="n"/>
      <c r="E251" s="17" t="n"/>
      <c r="F251" s="17" t="n"/>
      <c r="G251" s="17" t="n"/>
      <c r="H251" s="17" t="n"/>
      <c r="I251" s="17" t="n"/>
      <c r="J251" s="17" t="n"/>
      <c r="K251" s="17" t="n"/>
      <c r="L251" s="17" t="n"/>
      <c r="M251" s="17" t="n"/>
    </row>
    <row r="252" ht="15" customHeight="1" s="12">
      <c r="A252" s="17" t="n"/>
      <c r="B252" s="17" t="n"/>
      <c r="C252" s="17" t="n"/>
      <c r="D252" s="17" t="n"/>
      <c r="E252" s="17" t="n"/>
      <c r="F252" s="17" t="n"/>
      <c r="G252" s="17" t="n"/>
      <c r="H252" s="17" t="n"/>
      <c r="I252" s="17" t="n"/>
      <c r="J252" s="17" t="n"/>
      <c r="K252" s="17" t="n"/>
      <c r="L252" s="17" t="n"/>
      <c r="M252" s="17" t="n"/>
    </row>
    <row r="253" ht="15" customHeight="1" s="12">
      <c r="A253" s="17" t="n"/>
      <c r="B253" s="17" t="n"/>
      <c r="C253" s="17" t="n"/>
      <c r="D253" s="17" t="n"/>
      <c r="E253" s="17" t="n"/>
      <c r="F253" s="17" t="n"/>
      <c r="G253" s="17" t="n"/>
      <c r="H253" s="17" t="n"/>
      <c r="I253" s="17" t="n"/>
      <c r="J253" s="17" t="n"/>
      <c r="K253" s="17" t="n"/>
      <c r="L253" s="17" t="n"/>
      <c r="M253" s="17" t="n"/>
    </row>
    <row r="254" ht="15" customHeight="1" s="12">
      <c r="A254" s="17" t="n"/>
      <c r="B254" s="17" t="n"/>
      <c r="C254" s="17" t="n"/>
      <c r="D254" s="17" t="n"/>
      <c r="E254" s="17" t="n"/>
      <c r="F254" s="17" t="n"/>
      <c r="G254" s="17" t="n"/>
      <c r="H254" s="17" t="n"/>
      <c r="I254" s="17" t="n"/>
      <c r="J254" s="17" t="n"/>
      <c r="K254" s="17" t="n"/>
      <c r="L254" s="17" t="n"/>
      <c r="M254" s="17" t="n"/>
    </row>
    <row r="255" ht="15" customHeight="1" s="12">
      <c r="A255" s="17" t="n"/>
      <c r="B255" s="17" t="n"/>
      <c r="C255" s="17" t="n"/>
      <c r="D255" s="17" t="n"/>
      <c r="E255" s="17" t="n"/>
      <c r="F255" s="17" t="n"/>
      <c r="G255" s="17" t="n"/>
      <c r="H255" s="17" t="n"/>
      <c r="I255" s="17" t="n"/>
      <c r="J255" s="17" t="n"/>
      <c r="K255" s="17" t="n"/>
      <c r="L255" s="17" t="n"/>
      <c r="M255" s="17" t="n"/>
    </row>
    <row r="256" ht="15" customHeight="1" s="12">
      <c r="A256" s="17" t="n"/>
      <c r="B256" s="17" t="n"/>
      <c r="C256" s="17" t="n"/>
      <c r="D256" s="17" t="n"/>
      <c r="E256" s="17" t="n"/>
      <c r="F256" s="17" t="n"/>
      <c r="G256" s="17" t="n"/>
      <c r="H256" s="17" t="n"/>
      <c r="I256" s="17" t="n"/>
      <c r="J256" s="17" t="n"/>
      <c r="K256" s="17" t="n"/>
      <c r="L256" s="17" t="n"/>
      <c r="M256" s="17" t="n"/>
    </row>
    <row r="257" ht="15" customHeight="1" s="12">
      <c r="A257" s="17" t="n"/>
      <c r="B257" s="17" t="n"/>
      <c r="C257" s="17" t="n"/>
      <c r="D257" s="17" t="n"/>
      <c r="E257" s="17" t="n"/>
      <c r="F257" s="17" t="n"/>
      <c r="G257" s="17" t="n"/>
      <c r="H257" s="17" t="n"/>
      <c r="I257" s="17" t="n"/>
      <c r="J257" s="17" t="n"/>
      <c r="K257" s="17" t="n"/>
      <c r="L257" s="17" t="n"/>
      <c r="M257" s="17" t="n"/>
    </row>
    <row r="258" ht="15" customHeight="1" s="12">
      <c r="A258" s="17" t="n"/>
      <c r="B258" s="17" t="n"/>
      <c r="C258" s="17" t="n"/>
      <c r="D258" s="17" t="n"/>
      <c r="E258" s="17" t="n"/>
      <c r="F258" s="17" t="n"/>
      <c r="G258" s="17" t="n"/>
      <c r="H258" s="17" t="n"/>
      <c r="I258" s="17" t="n"/>
      <c r="J258" s="17" t="n"/>
      <c r="K258" s="17" t="n"/>
      <c r="L258" s="17" t="n"/>
      <c r="M258" s="17" t="n"/>
    </row>
    <row r="259" ht="15" customHeight="1" s="12">
      <c r="A259" s="17" t="n"/>
      <c r="B259" s="17" t="n"/>
      <c r="C259" s="17" t="n"/>
      <c r="D259" s="17" t="n"/>
      <c r="E259" s="17" t="n"/>
      <c r="F259" s="17" t="n"/>
      <c r="G259" s="17" t="n"/>
      <c r="H259" s="17" t="n"/>
      <c r="I259" s="17" t="n"/>
      <c r="J259" s="17" t="n"/>
      <c r="K259" s="17" t="n"/>
      <c r="L259" s="17" t="n"/>
      <c r="M259" s="17" t="n"/>
    </row>
    <row r="260" ht="15" customHeight="1" s="12">
      <c r="A260" s="17" t="n"/>
      <c r="B260" s="17" t="n"/>
      <c r="C260" s="17" t="n"/>
      <c r="D260" s="17" t="n"/>
      <c r="E260" s="17" t="n"/>
      <c r="F260" s="17" t="n"/>
      <c r="G260" s="17" t="n"/>
      <c r="H260" s="17" t="n"/>
      <c r="I260" s="17" t="n"/>
      <c r="J260" s="17" t="n"/>
      <c r="K260" s="17" t="n"/>
      <c r="L260" s="17" t="n"/>
      <c r="M260" s="17" t="n"/>
    </row>
    <row r="261" ht="15" customHeight="1" s="12">
      <c r="A261" s="17" t="n"/>
      <c r="B261" s="17" t="n"/>
      <c r="C261" s="17" t="n"/>
      <c r="D261" s="17" t="n"/>
      <c r="E261" s="17" t="n"/>
      <c r="F261" s="17" t="n"/>
      <c r="G261" s="17" t="n"/>
      <c r="H261" s="17" t="n"/>
      <c r="I261" s="17" t="n"/>
      <c r="J261" s="17" t="n"/>
      <c r="K261" s="17" t="n"/>
      <c r="L261" s="17" t="n"/>
      <c r="M261" s="17" t="n"/>
    </row>
    <row r="262" ht="15" customHeight="1" s="12">
      <c r="A262" s="17" t="n"/>
      <c r="B262" s="17" t="n"/>
      <c r="C262" s="17" t="n"/>
      <c r="D262" s="17" t="n"/>
      <c r="E262" s="17" t="n"/>
      <c r="F262" s="17" t="n"/>
      <c r="G262" s="17" t="n"/>
      <c r="H262" s="17" t="n"/>
      <c r="I262" s="17" t="n"/>
      <c r="J262" s="17" t="n"/>
      <c r="K262" s="17" t="n"/>
      <c r="L262" s="17" t="n"/>
      <c r="M262" s="17" t="n"/>
    </row>
    <row r="263" ht="15" customHeight="1" s="12">
      <c r="A263" s="17" t="n"/>
      <c r="B263" s="17" t="n"/>
      <c r="C263" s="17" t="n"/>
      <c r="D263" s="17" t="n"/>
      <c r="E263" s="17" t="n"/>
      <c r="F263" s="17" t="n"/>
      <c r="G263" s="17" t="n"/>
      <c r="H263" s="17" t="n"/>
      <c r="I263" s="17" t="n"/>
      <c r="J263" s="17" t="n"/>
      <c r="K263" s="17" t="n"/>
      <c r="L263" s="17" t="n"/>
      <c r="M263" s="17" t="n"/>
    </row>
    <row r="264" ht="15" customHeight="1" s="12">
      <c r="A264" s="17" t="n"/>
      <c r="B264" s="17" t="n"/>
      <c r="C264" s="17" t="n"/>
      <c r="D264" s="17" t="n"/>
      <c r="E264" s="17" t="n"/>
      <c r="F264" s="17" t="n"/>
      <c r="G264" s="17" t="n"/>
      <c r="H264" s="17" t="n"/>
      <c r="I264" s="17" t="n"/>
      <c r="J264" s="17" t="n"/>
      <c r="K264" s="17" t="n"/>
      <c r="L264" s="17" t="n"/>
      <c r="M264" s="17" t="n"/>
    </row>
    <row r="265" ht="15" customHeight="1" s="12">
      <c r="A265" s="17" t="n"/>
      <c r="B265" s="17" t="n"/>
      <c r="C265" s="17" t="n"/>
      <c r="D265" s="17" t="n"/>
      <c r="E265" s="17" t="n"/>
      <c r="F265" s="17" t="n"/>
      <c r="G265" s="17" t="n"/>
      <c r="H265" s="17" t="n"/>
      <c r="I265" s="17" t="n"/>
      <c r="J265" s="17" t="n"/>
      <c r="K265" s="17" t="n"/>
      <c r="L265" s="17" t="n"/>
      <c r="M265" s="17" t="n"/>
    </row>
    <row r="266" ht="15" customHeight="1" s="12">
      <c r="A266" s="17" t="n"/>
      <c r="B266" s="17" t="n"/>
      <c r="C266" s="17" t="n"/>
      <c r="D266" s="17" t="n"/>
      <c r="E266" s="17" t="n"/>
      <c r="F266" s="17" t="n"/>
      <c r="G266" s="17" t="n"/>
      <c r="H266" s="17" t="n"/>
      <c r="I266" s="17" t="n"/>
      <c r="J266" s="17" t="n"/>
      <c r="K266" s="17" t="n"/>
      <c r="L266" s="17" t="n"/>
      <c r="M266" s="17" t="n"/>
    </row>
    <row r="267" ht="15" customHeight="1" s="12">
      <c r="A267" s="17" t="n"/>
      <c r="B267" s="17" t="n"/>
      <c r="C267" s="17" t="n"/>
      <c r="D267" s="17" t="n"/>
      <c r="E267" s="17" t="n"/>
      <c r="F267" s="17" t="n"/>
      <c r="G267" s="17" t="n"/>
      <c r="H267" s="17" t="n"/>
      <c r="I267" s="17" t="n"/>
      <c r="J267" s="17" t="n"/>
      <c r="K267" s="17" t="n"/>
      <c r="L267" s="17" t="n"/>
      <c r="M267" s="17" t="n"/>
    </row>
    <row r="268" ht="15" customHeight="1" s="12">
      <c r="A268" s="17" t="n"/>
      <c r="B268" s="17" t="n"/>
      <c r="C268" s="17" t="n"/>
      <c r="D268" s="17" t="n"/>
      <c r="E268" s="17" t="n"/>
      <c r="F268" s="17" t="n"/>
      <c r="G268" s="17" t="n"/>
      <c r="H268" s="17" t="n"/>
      <c r="I268" s="17" t="n"/>
      <c r="J268" s="17" t="n"/>
      <c r="K268" s="17" t="n"/>
      <c r="L268" s="17" t="n"/>
      <c r="M268" s="17" t="n"/>
    </row>
    <row r="269" ht="15" customHeight="1" s="12">
      <c r="A269" s="17" t="n"/>
      <c r="B269" s="17" t="n"/>
      <c r="C269" s="17" t="n"/>
      <c r="D269" s="17" t="n"/>
      <c r="E269" s="17" t="n"/>
      <c r="F269" s="17" t="n"/>
      <c r="G269" s="17" t="n"/>
      <c r="H269" s="17" t="n"/>
      <c r="I269" s="17" t="n"/>
      <c r="J269" s="17" t="n"/>
      <c r="K269" s="17" t="n"/>
      <c r="L269" s="17" t="n"/>
      <c r="M269" s="17" t="n"/>
    </row>
    <row r="270" ht="15" customHeight="1" s="12">
      <c r="A270" s="17" t="n"/>
      <c r="B270" s="17" t="n"/>
      <c r="C270" s="17" t="n"/>
      <c r="D270" s="17" t="n"/>
      <c r="E270" s="17" t="n"/>
      <c r="F270" s="17" t="n"/>
      <c r="G270" s="17" t="n"/>
      <c r="H270" s="17" t="n"/>
      <c r="I270" s="17" t="n"/>
      <c r="J270" s="17" t="n"/>
      <c r="K270" s="17" t="n"/>
      <c r="L270" s="17" t="n"/>
      <c r="M270" s="17" t="n"/>
    </row>
    <row r="271" ht="15" customHeight="1" s="12">
      <c r="A271" s="17" t="n"/>
      <c r="B271" s="17" t="n"/>
      <c r="C271" s="17" t="n"/>
      <c r="D271" s="17" t="n"/>
      <c r="E271" s="17" t="n"/>
      <c r="F271" s="17" t="n"/>
      <c r="G271" s="17" t="n"/>
      <c r="H271" s="17" t="n"/>
      <c r="I271" s="17" t="n"/>
      <c r="J271" s="17" t="n"/>
      <c r="K271" s="17" t="n"/>
      <c r="L271" s="17" t="n"/>
      <c r="M271" s="17" t="n"/>
    </row>
    <row r="272" ht="15" customHeight="1" s="12">
      <c r="A272" s="17" t="n"/>
      <c r="B272" s="17" t="n"/>
      <c r="C272" s="17" t="n"/>
      <c r="D272" s="17" t="n"/>
      <c r="E272" s="17" t="n"/>
      <c r="F272" s="17" t="n"/>
      <c r="G272" s="17" t="n"/>
      <c r="H272" s="17" t="n"/>
      <c r="I272" s="17" t="n"/>
      <c r="J272" s="17" t="n"/>
      <c r="K272" s="17" t="n"/>
      <c r="L272" s="17" t="n"/>
      <c r="M272" s="17" t="n"/>
    </row>
    <row r="273" ht="15" customHeight="1" s="12">
      <c r="A273" s="17" t="n"/>
      <c r="B273" s="17" t="n"/>
      <c r="C273" s="17" t="n"/>
      <c r="D273" s="17" t="n"/>
      <c r="E273" s="17" t="n"/>
      <c r="F273" s="17" t="n"/>
      <c r="G273" s="17" t="n"/>
      <c r="H273" s="17" t="n"/>
      <c r="I273" s="17" t="n"/>
      <c r="J273" s="17" t="n"/>
      <c r="K273" s="17" t="n"/>
      <c r="L273" s="17" t="n"/>
      <c r="M273" s="17" t="n"/>
    </row>
    <row r="274" ht="15" customHeight="1" s="12">
      <c r="A274" s="17" t="n"/>
      <c r="B274" s="17" t="n"/>
      <c r="C274" s="17" t="n"/>
      <c r="D274" s="17" t="n"/>
      <c r="E274" s="17" t="n"/>
      <c r="F274" s="17" t="n"/>
      <c r="G274" s="17" t="n"/>
      <c r="H274" s="17" t="n"/>
      <c r="I274" s="17" t="n"/>
      <c r="J274" s="17" t="n"/>
      <c r="K274" s="17" t="n"/>
      <c r="L274" s="17" t="n"/>
      <c r="M274" s="17" t="n"/>
    </row>
    <row r="275" ht="15" customHeight="1" s="12">
      <c r="A275" s="17" t="n"/>
      <c r="B275" s="17" t="n"/>
      <c r="C275" s="17" t="n"/>
      <c r="D275" s="17" t="n"/>
      <c r="E275" s="17" t="n"/>
      <c r="F275" s="17" t="n"/>
      <c r="G275" s="17" t="n"/>
      <c r="H275" s="17" t="n"/>
      <c r="I275" s="17" t="n"/>
      <c r="J275" s="17" t="n"/>
      <c r="K275" s="17" t="n"/>
      <c r="L275" s="17" t="n"/>
      <c r="M275" s="17" t="n"/>
    </row>
    <row r="276" ht="15" customHeight="1" s="12">
      <c r="A276" s="17" t="n"/>
      <c r="B276" s="17" t="n"/>
      <c r="C276" s="17" t="n"/>
      <c r="D276" s="17" t="n"/>
      <c r="E276" s="17" t="n"/>
      <c r="F276" s="17" t="n"/>
      <c r="G276" s="17" t="n"/>
      <c r="H276" s="17" t="n"/>
      <c r="I276" s="17" t="n"/>
      <c r="J276" s="17" t="n"/>
      <c r="K276" s="17" t="n"/>
      <c r="L276" s="17" t="n"/>
      <c r="M276" s="17" t="n"/>
    </row>
    <row r="277" ht="15" customHeight="1" s="12">
      <c r="A277" s="17" t="n"/>
      <c r="B277" s="17" t="n"/>
      <c r="C277" s="17" t="n"/>
      <c r="D277" s="17" t="n"/>
      <c r="E277" s="17" t="n"/>
      <c r="F277" s="17" t="n"/>
      <c r="G277" s="17" t="n"/>
      <c r="H277" s="17" t="n"/>
      <c r="I277" s="17" t="n"/>
      <c r="J277" s="17" t="n"/>
      <c r="K277" s="17" t="n"/>
      <c r="L277" s="17" t="n"/>
      <c r="M277" s="17" t="n"/>
    </row>
    <row r="278" ht="15" customHeight="1" s="12">
      <c r="A278" s="17" t="n"/>
      <c r="B278" s="17" t="n"/>
      <c r="C278" s="17" t="n"/>
      <c r="D278" s="17" t="n"/>
      <c r="E278" s="17" t="n"/>
      <c r="F278" s="17" t="n"/>
      <c r="G278" s="17" t="n"/>
      <c r="H278" s="17" t="n"/>
      <c r="I278" s="17" t="n"/>
      <c r="J278" s="17" t="n"/>
      <c r="K278" s="17" t="n"/>
      <c r="L278" s="17" t="n"/>
      <c r="M278" s="17" t="n"/>
    </row>
    <row r="279" ht="15" customHeight="1" s="12">
      <c r="A279" s="17" t="n"/>
      <c r="B279" s="17" t="n"/>
      <c r="C279" s="17" t="n"/>
      <c r="D279" s="17" t="n"/>
      <c r="E279" s="17" t="n"/>
      <c r="F279" s="17" t="n"/>
      <c r="G279" s="17" t="n"/>
      <c r="H279" s="17" t="n"/>
      <c r="I279" s="17" t="n"/>
      <c r="J279" s="17" t="n"/>
      <c r="K279" s="17" t="n"/>
      <c r="L279" s="17" t="n"/>
      <c r="M279" s="17" t="n"/>
    </row>
    <row r="280" ht="15" customHeight="1" s="12">
      <c r="A280" s="17" t="n"/>
      <c r="B280" s="17" t="n"/>
      <c r="C280" s="17" t="n"/>
      <c r="D280" s="17" t="n"/>
      <c r="E280" s="17" t="n"/>
      <c r="F280" s="17" t="n"/>
      <c r="G280" s="17" t="n"/>
      <c r="H280" s="17" t="n"/>
      <c r="I280" s="17" t="n"/>
      <c r="J280" s="17" t="n"/>
      <c r="K280" s="17" t="n"/>
      <c r="L280" s="17" t="n"/>
      <c r="M280" s="17" t="n"/>
    </row>
    <row r="281" ht="15" customHeight="1" s="12">
      <c r="A281" s="17" t="n"/>
      <c r="B281" s="17" t="n"/>
      <c r="C281" s="17" t="n"/>
      <c r="D281" s="17" t="n"/>
      <c r="E281" s="17" t="n"/>
      <c r="F281" s="17" t="n"/>
      <c r="G281" s="17" t="n"/>
      <c r="H281" s="17" t="n"/>
      <c r="I281" s="17" t="n"/>
      <c r="J281" s="17" t="n"/>
      <c r="K281" s="17" t="n"/>
      <c r="L281" s="17" t="n"/>
      <c r="M281" s="17" t="n"/>
    </row>
    <row r="282" ht="15" customHeight="1" s="12">
      <c r="A282" s="17" t="n"/>
      <c r="B282" s="17" t="n"/>
      <c r="C282" s="17" t="n"/>
      <c r="D282" s="17" t="n"/>
      <c r="E282" s="17" t="n"/>
      <c r="F282" s="17" t="n"/>
      <c r="G282" s="17" t="n"/>
      <c r="H282" s="17" t="n"/>
      <c r="I282" s="17" t="n"/>
      <c r="J282" s="17" t="n"/>
      <c r="K282" s="17" t="n"/>
      <c r="L282" s="17" t="n"/>
      <c r="M282" s="17" t="n"/>
    </row>
    <row r="283" ht="15" customHeight="1" s="12">
      <c r="A283" s="17" t="n"/>
      <c r="B283" s="17" t="n"/>
      <c r="C283" s="17" t="n"/>
      <c r="D283" s="17" t="n"/>
      <c r="E283" s="17" t="n"/>
      <c r="F283" s="17" t="n"/>
      <c r="G283" s="17" t="n"/>
      <c r="H283" s="17" t="n"/>
      <c r="I283" s="17" t="n"/>
      <c r="J283" s="17" t="n"/>
      <c r="K283" s="17" t="n"/>
      <c r="L283" s="17" t="n"/>
      <c r="M283" s="17" t="n"/>
    </row>
    <row r="284" ht="15" customHeight="1" s="12">
      <c r="A284" s="17" t="n"/>
      <c r="B284" s="17" t="n"/>
      <c r="C284" s="17" t="n"/>
      <c r="D284" s="17" t="n"/>
      <c r="E284" s="17" t="n"/>
      <c r="F284" s="17" t="n"/>
      <c r="G284" s="17" t="n"/>
      <c r="H284" s="17" t="n"/>
      <c r="I284" s="17" t="n"/>
      <c r="J284" s="17" t="n"/>
      <c r="K284" s="17" t="n"/>
      <c r="L284" s="17" t="n"/>
      <c r="M284" s="17" t="n"/>
    </row>
    <row r="285" ht="15" customHeight="1" s="12">
      <c r="A285" s="17" t="n"/>
      <c r="B285" s="17" t="n"/>
      <c r="C285" s="17" t="n"/>
      <c r="D285" s="17" t="n"/>
      <c r="E285" s="17" t="n"/>
      <c r="F285" s="17" t="n"/>
      <c r="G285" s="17" t="n"/>
      <c r="H285" s="17" t="n"/>
      <c r="I285" s="17" t="n"/>
      <c r="J285" s="17" t="n"/>
      <c r="K285" s="17" t="n"/>
      <c r="L285" s="17" t="n"/>
      <c r="M285" s="17" t="n"/>
    </row>
    <row r="286" ht="15" customHeight="1" s="12">
      <c r="A286" s="17" t="n"/>
      <c r="B286" s="17" t="n"/>
      <c r="C286" s="17" t="n"/>
      <c r="D286" s="17" t="n"/>
      <c r="E286" s="17" t="n"/>
      <c r="F286" s="17" t="n"/>
      <c r="G286" s="17" t="n"/>
      <c r="H286" s="17" t="n"/>
      <c r="I286" s="17" t="n"/>
      <c r="J286" s="17" t="n"/>
      <c r="K286" s="17" t="n"/>
      <c r="L286" s="17" t="n"/>
      <c r="M286" s="17" t="n"/>
    </row>
    <row r="287" ht="15" customHeight="1" s="12">
      <c r="A287" s="17" t="n"/>
      <c r="B287" s="17" t="n"/>
      <c r="C287" s="17" t="n"/>
      <c r="D287" s="17" t="n"/>
      <c r="E287" s="17" t="n"/>
      <c r="F287" s="17" t="n"/>
      <c r="G287" s="17" t="n"/>
      <c r="H287" s="17" t="n"/>
      <c r="I287" s="17" t="n"/>
      <c r="J287" s="17" t="n"/>
      <c r="K287" s="17" t="n"/>
      <c r="L287" s="17" t="n"/>
      <c r="M287" s="17" t="n"/>
    </row>
    <row r="288" ht="15" customHeight="1" s="12">
      <c r="A288" s="17" t="n"/>
      <c r="B288" s="17" t="n"/>
      <c r="C288" s="17" t="n"/>
      <c r="D288" s="17" t="n"/>
      <c r="E288" s="17" t="n"/>
      <c r="F288" s="17" t="n"/>
      <c r="G288" s="17" t="n"/>
      <c r="H288" s="17" t="n"/>
      <c r="I288" s="17" t="n"/>
      <c r="J288" s="17" t="n"/>
      <c r="K288" s="17" t="n"/>
      <c r="L288" s="17" t="n"/>
      <c r="M288" s="17" t="n"/>
    </row>
    <row r="289" ht="15" customHeight="1" s="12">
      <c r="A289" s="17" t="n"/>
      <c r="B289" s="17" t="n"/>
      <c r="C289" s="17" t="n"/>
      <c r="D289" s="17" t="n"/>
      <c r="E289" s="17" t="n"/>
      <c r="F289" s="17" t="n"/>
      <c r="G289" s="17" t="n"/>
      <c r="H289" s="17" t="n"/>
      <c r="I289" s="17" t="n"/>
      <c r="J289" s="17" t="n"/>
      <c r="K289" s="17" t="n"/>
      <c r="L289" s="17" t="n"/>
      <c r="M289" s="17" t="n"/>
    </row>
    <row r="290" ht="15" customHeight="1" s="12">
      <c r="A290" s="17" t="n"/>
      <c r="B290" s="17" t="n"/>
      <c r="C290" s="17" t="n"/>
      <c r="D290" s="17" t="n"/>
      <c r="E290" s="17" t="n"/>
      <c r="F290" s="17" t="n"/>
      <c r="G290" s="17" t="n"/>
      <c r="H290" s="17" t="n"/>
      <c r="I290" s="17" t="n"/>
      <c r="J290" s="17" t="n"/>
      <c r="K290" s="17" t="n"/>
      <c r="L290" s="17" t="n"/>
      <c r="M290" s="17" t="n"/>
    </row>
    <row r="291" ht="15" customHeight="1" s="12">
      <c r="A291" s="17" t="n"/>
      <c r="B291" s="17" t="n"/>
      <c r="C291" s="17" t="n"/>
      <c r="D291" s="17" t="n"/>
      <c r="E291" s="17" t="n"/>
      <c r="F291" s="17" t="n"/>
      <c r="G291" s="17" t="n"/>
      <c r="H291" s="17" t="n"/>
      <c r="I291" s="17" t="n"/>
      <c r="J291" s="17" t="n"/>
      <c r="K291" s="17" t="n"/>
      <c r="L291" s="17" t="n"/>
      <c r="M291" s="17" t="n"/>
    </row>
    <row r="292" ht="15" customHeight="1" s="12">
      <c r="A292" s="17" t="n"/>
      <c r="B292" s="17" t="n"/>
      <c r="C292" s="17" t="n"/>
      <c r="D292" s="17" t="n"/>
      <c r="E292" s="17" t="n"/>
      <c r="F292" s="17" t="n"/>
      <c r="G292" s="17" t="n"/>
      <c r="H292" s="17" t="n"/>
      <c r="I292" s="17" t="n"/>
      <c r="J292" s="17" t="n"/>
      <c r="K292" s="17" t="n"/>
      <c r="L292" s="17" t="n"/>
      <c r="M292" s="17" t="n"/>
    </row>
    <row r="293" ht="15" customHeight="1" s="12">
      <c r="A293" s="17" t="n"/>
      <c r="B293" s="17" t="n"/>
      <c r="C293" s="17" t="n"/>
      <c r="D293" s="17" t="n"/>
      <c r="E293" s="17" t="n"/>
      <c r="F293" s="17" t="n"/>
      <c r="G293" s="17" t="n"/>
      <c r="H293" s="17" t="n"/>
      <c r="I293" s="17" t="n"/>
      <c r="J293" s="17" t="n"/>
      <c r="K293" s="17" t="n"/>
      <c r="L293" s="17" t="n"/>
      <c r="M293" s="17" t="n"/>
    </row>
    <row r="294" ht="15" customHeight="1" s="12">
      <c r="A294" s="17" t="n"/>
      <c r="B294" s="17" t="n"/>
      <c r="C294" s="17" t="n"/>
      <c r="D294" s="17" t="n"/>
      <c r="E294" s="17" t="n"/>
      <c r="F294" s="17" t="n"/>
      <c r="G294" s="17" t="n"/>
      <c r="H294" s="17" t="n"/>
      <c r="I294" s="17" t="n"/>
      <c r="J294" s="17" t="n"/>
      <c r="K294" s="17" t="n"/>
      <c r="L294" s="17" t="n"/>
      <c r="M294" s="17" t="n"/>
    </row>
    <row r="295" ht="15" customHeight="1" s="12">
      <c r="A295" s="17" t="n"/>
      <c r="B295" s="17" t="n"/>
      <c r="C295" s="17" t="n"/>
      <c r="D295" s="17" t="n"/>
      <c r="E295" s="17" t="n"/>
      <c r="F295" s="17" t="n"/>
      <c r="G295" s="17" t="n"/>
      <c r="H295" s="17" t="n"/>
      <c r="I295" s="17" t="n"/>
      <c r="J295" s="17" t="n"/>
      <c r="K295" s="17" t="n"/>
      <c r="L295" s="17" t="n"/>
      <c r="M295" s="17" t="n"/>
    </row>
    <row r="296" ht="15" customHeight="1" s="12">
      <c r="A296" s="17" t="n"/>
      <c r="B296" s="17" t="n"/>
      <c r="C296" s="17" t="n"/>
      <c r="D296" s="17" t="n"/>
      <c r="E296" s="17" t="n"/>
      <c r="F296" s="17" t="n"/>
      <c r="G296" s="17" t="n"/>
      <c r="H296" s="17" t="n"/>
      <c r="I296" s="17" t="n"/>
      <c r="J296" s="17" t="n"/>
      <c r="K296" s="17" t="n"/>
      <c r="L296" s="17" t="n"/>
      <c r="M296" s="17" t="n"/>
    </row>
    <row r="297" ht="15" customHeight="1" s="12">
      <c r="A297" s="17" t="n"/>
      <c r="B297" s="17" t="n"/>
      <c r="C297" s="17" t="n"/>
      <c r="D297" s="17" t="n"/>
      <c r="E297" s="17" t="n"/>
      <c r="F297" s="17" t="n"/>
      <c r="G297" s="17" t="n"/>
      <c r="H297" s="17" t="n"/>
      <c r="I297" s="17" t="n"/>
      <c r="J297" s="17" t="n"/>
      <c r="K297" s="17" t="n"/>
      <c r="L297" s="17" t="n"/>
      <c r="M297" s="17" t="n"/>
    </row>
    <row r="298" ht="15" customHeight="1" s="12">
      <c r="A298" s="17" t="n"/>
      <c r="B298" s="17" t="n"/>
      <c r="C298" s="17" t="n"/>
      <c r="D298" s="17" t="n"/>
      <c r="E298" s="17" t="n"/>
      <c r="F298" s="17" t="n"/>
      <c r="G298" s="17" t="n"/>
      <c r="H298" s="17" t="n"/>
      <c r="I298" s="17" t="n"/>
      <c r="J298" s="17" t="n"/>
      <c r="K298" s="17" t="n"/>
      <c r="L298" s="17" t="n"/>
      <c r="M298" s="17" t="n"/>
    </row>
    <row r="299" ht="15" customHeight="1" s="12">
      <c r="A299" s="17" t="n"/>
      <c r="B299" s="17" t="n"/>
      <c r="C299" s="17" t="n"/>
      <c r="D299" s="17" t="n"/>
      <c r="E299" s="17" t="n"/>
      <c r="F299" s="17" t="n"/>
      <c r="G299" s="17" t="n"/>
      <c r="H299" s="17" t="n"/>
      <c r="I299" s="17" t="n"/>
      <c r="J299" s="17" t="n"/>
      <c r="K299" s="17" t="n"/>
      <c r="L299" s="17" t="n"/>
      <c r="M299" s="17" t="n"/>
    </row>
    <row r="300" ht="15" customHeight="1" s="12">
      <c r="A300" s="17" t="n"/>
      <c r="B300" s="17" t="n"/>
      <c r="C300" s="17" t="n"/>
      <c r="D300" s="17" t="n"/>
      <c r="E300" s="17" t="n"/>
      <c r="F300" s="17" t="n"/>
      <c r="G300" s="17" t="n"/>
      <c r="H300" s="17" t="n"/>
      <c r="I300" s="17" t="n"/>
      <c r="J300" s="17" t="n"/>
      <c r="K300" s="17" t="n"/>
      <c r="L300" s="17" t="n"/>
      <c r="M300" s="17" t="n"/>
    </row>
    <row r="301" ht="15" customHeight="1" s="12">
      <c r="A301" s="17" t="n"/>
      <c r="B301" s="17" t="n"/>
      <c r="C301" s="17" t="n"/>
      <c r="D301" s="17" t="n"/>
      <c r="E301" s="17" t="n"/>
      <c r="F301" s="17" t="n"/>
      <c r="G301" s="17" t="n"/>
      <c r="H301" s="17" t="n"/>
      <c r="I301" s="17" t="n"/>
      <c r="J301" s="17" t="n"/>
      <c r="K301" s="17" t="n"/>
      <c r="L301" s="17" t="n"/>
      <c r="M301" s="17" t="n"/>
    </row>
    <row r="302" ht="15" customHeight="1" s="12">
      <c r="A302" s="17" t="n"/>
      <c r="B302" s="17" t="n"/>
      <c r="C302" s="17" t="n"/>
      <c r="D302" s="17" t="n"/>
      <c r="E302" s="17" t="n"/>
      <c r="F302" s="17" t="n"/>
      <c r="G302" s="17" t="n"/>
      <c r="H302" s="17" t="n"/>
      <c r="I302" s="17" t="n"/>
      <c r="J302" s="17" t="n"/>
      <c r="K302" s="17" t="n"/>
      <c r="L302" s="17" t="n"/>
      <c r="M302" s="17" t="n"/>
    </row>
    <row r="303" ht="15" customHeight="1" s="12">
      <c r="A303" s="17" t="n"/>
      <c r="B303" s="17" t="n"/>
      <c r="C303" s="17" t="n"/>
      <c r="D303" s="17" t="n"/>
      <c r="E303" s="17" t="n"/>
      <c r="F303" s="17" t="n"/>
      <c r="G303" s="17" t="n"/>
      <c r="H303" s="17" t="n"/>
      <c r="I303" s="17" t="n"/>
      <c r="J303" s="17" t="n"/>
      <c r="K303" s="17" t="n"/>
      <c r="L303" s="17" t="n"/>
      <c r="M303" s="17" t="n"/>
    </row>
    <row r="304" ht="15" customHeight="1" s="12">
      <c r="A304" s="17" t="n"/>
      <c r="B304" s="17" t="n"/>
      <c r="C304" s="17" t="n"/>
      <c r="D304" s="17" t="n"/>
      <c r="E304" s="17" t="n"/>
      <c r="F304" s="17" t="n"/>
      <c r="G304" s="17" t="n"/>
      <c r="H304" s="17" t="n"/>
      <c r="I304" s="17" t="n"/>
      <c r="J304" s="17" t="n"/>
      <c r="K304" s="17" t="n"/>
      <c r="L304" s="17" t="n"/>
      <c r="M304" s="17" t="n"/>
    </row>
    <row r="305" ht="15" customHeight="1" s="12">
      <c r="A305" s="17" t="n"/>
      <c r="B305" s="17" t="n"/>
      <c r="C305" s="17" t="n"/>
      <c r="D305" s="17" t="n"/>
      <c r="E305" s="17" t="n"/>
      <c r="F305" s="17" t="n"/>
      <c r="G305" s="17" t="n"/>
      <c r="H305" s="17" t="n"/>
      <c r="I305" s="17" t="n"/>
      <c r="J305" s="17" t="n"/>
      <c r="K305" s="17" t="n"/>
      <c r="L305" s="17" t="n"/>
      <c r="M305" s="17" t="n"/>
    </row>
    <row r="306" ht="15" customHeight="1" s="12">
      <c r="A306" s="17" t="n"/>
      <c r="B306" s="17" t="n"/>
      <c r="C306" s="17" t="n"/>
      <c r="D306" s="17" t="n"/>
      <c r="E306" s="17" t="n"/>
      <c r="F306" s="17" t="n"/>
      <c r="G306" s="17" t="n"/>
      <c r="H306" s="17" t="n"/>
      <c r="I306" s="17" t="n"/>
      <c r="J306" s="17" t="n"/>
      <c r="K306" s="17" t="n"/>
      <c r="L306" s="17" t="n"/>
      <c r="M306" s="17" t="n"/>
    </row>
    <row r="307" ht="15" customHeight="1" s="12">
      <c r="A307" s="17" t="n"/>
      <c r="B307" s="17" t="n"/>
      <c r="C307" s="17" t="n"/>
      <c r="D307" s="17" t="n"/>
      <c r="E307" s="17" t="n"/>
      <c r="F307" s="17" t="n"/>
      <c r="G307" s="17" t="n"/>
      <c r="H307" s="17" t="n"/>
      <c r="I307" s="17" t="n"/>
      <c r="J307" s="17" t="n"/>
      <c r="K307" s="17" t="n"/>
      <c r="L307" s="17" t="n"/>
      <c r="M307" s="17" t="n"/>
    </row>
    <row r="308" ht="15" customHeight="1" s="12">
      <c r="A308" s="17" t="n"/>
      <c r="B308" s="17" t="n"/>
      <c r="C308" s="17" t="n"/>
      <c r="D308" s="17" t="n"/>
      <c r="E308" s="17" t="n"/>
      <c r="F308" s="17" t="n"/>
      <c r="G308" s="17" t="n"/>
      <c r="H308" s="17" t="n"/>
      <c r="I308" s="17" t="n"/>
      <c r="J308" s="17" t="n"/>
      <c r="K308" s="17" t="n"/>
      <c r="L308" s="17" t="n"/>
      <c r="M308" s="17" t="n"/>
    </row>
    <row r="309" ht="15" customHeight="1" s="12">
      <c r="A309" s="17" t="n"/>
      <c r="B309" s="17" t="n"/>
      <c r="C309" s="17" t="n"/>
      <c r="D309" s="17" t="n"/>
      <c r="E309" s="17" t="n"/>
      <c r="F309" s="17" t="n"/>
      <c r="G309" s="17" t="n"/>
      <c r="H309" s="17" t="n"/>
      <c r="I309" s="17" t="n"/>
      <c r="J309" s="17" t="n"/>
      <c r="K309" s="17" t="n"/>
      <c r="L309" s="17" t="n"/>
      <c r="M309" s="17" t="n"/>
    </row>
    <row r="310" ht="15" customHeight="1" s="12">
      <c r="A310" s="17" t="n"/>
      <c r="B310" s="17" t="n"/>
      <c r="C310" s="17" t="n"/>
      <c r="D310" s="17" t="n"/>
      <c r="E310" s="17" t="n"/>
      <c r="F310" s="17" t="n"/>
      <c r="G310" s="17" t="n"/>
      <c r="H310" s="17" t="n"/>
      <c r="I310" s="17" t="n"/>
      <c r="J310" s="17" t="n"/>
      <c r="K310" s="17" t="n"/>
      <c r="L310" s="17" t="n"/>
      <c r="M310" s="17" t="n"/>
    </row>
    <row r="311" ht="15" customHeight="1" s="12">
      <c r="A311" s="17" t="n"/>
      <c r="B311" s="17" t="n"/>
      <c r="C311" s="17" t="n"/>
      <c r="D311" s="17" t="n"/>
      <c r="E311" s="17" t="n"/>
      <c r="F311" s="17" t="n"/>
      <c r="G311" s="17" t="n"/>
      <c r="H311" s="17" t="n"/>
      <c r="I311" s="17" t="n"/>
      <c r="J311" s="17" t="n"/>
      <c r="K311" s="17" t="n"/>
      <c r="L311" s="17" t="n"/>
      <c r="M311" s="17" t="n"/>
    </row>
    <row r="312" ht="15" customHeight="1" s="12">
      <c r="A312" s="17" t="n"/>
      <c r="B312" s="17" t="n"/>
      <c r="C312" s="17" t="n"/>
      <c r="D312" s="17" t="n"/>
      <c r="E312" s="17" t="n"/>
      <c r="F312" s="17" t="n"/>
      <c r="G312" s="17" t="n"/>
      <c r="H312" s="17" t="n"/>
      <c r="I312" s="17" t="n"/>
      <c r="J312" s="17" t="n"/>
      <c r="K312" s="17" t="n"/>
      <c r="L312" s="17" t="n"/>
      <c r="M312" s="17" t="n"/>
    </row>
    <row r="313" ht="15" customHeight="1" s="12">
      <c r="A313" s="17" t="n"/>
      <c r="B313" s="17" t="n"/>
      <c r="C313" s="17" t="n"/>
      <c r="D313" s="17" t="n"/>
      <c r="E313" s="17" t="n"/>
      <c r="F313" s="17" t="n"/>
      <c r="G313" s="17" t="n"/>
      <c r="H313" s="17" t="n"/>
      <c r="I313" s="17" t="n"/>
      <c r="J313" s="17" t="n"/>
      <c r="K313" s="17" t="n"/>
      <c r="L313" s="17" t="n"/>
      <c r="M313" s="17" t="n"/>
    </row>
    <row r="314" ht="15" customHeight="1" s="12">
      <c r="A314" s="17" t="n"/>
      <c r="B314" s="17" t="n"/>
      <c r="C314" s="17" t="n"/>
      <c r="D314" s="17" t="n"/>
      <c r="E314" s="17" t="n"/>
      <c r="F314" s="17" t="n"/>
      <c r="G314" s="17" t="n"/>
      <c r="H314" s="17" t="n"/>
      <c r="I314" s="17" t="n"/>
      <c r="J314" s="17" t="n"/>
      <c r="K314" s="17" t="n"/>
      <c r="L314" s="17" t="n"/>
      <c r="M314" s="17" t="n"/>
    </row>
    <row r="315" ht="15" customHeight="1" s="12">
      <c r="A315" s="17" t="n"/>
      <c r="B315" s="17" t="n"/>
      <c r="C315" s="17" t="n"/>
      <c r="D315" s="17" t="n"/>
      <c r="E315" s="17" t="n"/>
      <c r="F315" s="17" t="n"/>
      <c r="G315" s="17" t="n"/>
      <c r="H315" s="17" t="n"/>
      <c r="I315" s="17" t="n"/>
      <c r="J315" s="17" t="n"/>
      <c r="K315" s="17" t="n"/>
      <c r="L315" s="17" t="n"/>
      <c r="M315" s="17" t="n"/>
    </row>
    <row r="316" ht="15" customHeight="1" s="12">
      <c r="A316" s="17" t="n"/>
      <c r="B316" s="17" t="n"/>
      <c r="C316" s="17" t="n"/>
      <c r="D316" s="17" t="n"/>
      <c r="E316" s="17" t="n"/>
      <c r="F316" s="17" t="n"/>
      <c r="G316" s="17" t="n"/>
      <c r="H316" s="17" t="n"/>
      <c r="I316" s="17" t="n"/>
      <c r="J316" s="17" t="n"/>
      <c r="K316" s="17" t="n"/>
      <c r="L316" s="17" t="n"/>
      <c r="M316" s="17" t="n"/>
    </row>
    <row r="317" ht="15" customHeight="1" s="12">
      <c r="A317" s="17" t="n"/>
      <c r="B317" s="17" t="n"/>
      <c r="C317" s="17" t="n"/>
      <c r="D317" s="17" t="n"/>
      <c r="E317" s="17" t="n"/>
      <c r="F317" s="17" t="n"/>
      <c r="G317" s="17" t="n"/>
      <c r="H317" s="17" t="n"/>
      <c r="I317" s="17" t="n"/>
      <c r="J317" s="17" t="n"/>
      <c r="K317" s="17" t="n"/>
      <c r="L317" s="17" t="n"/>
      <c r="M317" s="17" t="n"/>
    </row>
    <row r="318" ht="15" customHeight="1" s="12">
      <c r="A318" s="17" t="n"/>
      <c r="B318" s="17" t="n"/>
      <c r="C318" s="17" t="n"/>
      <c r="D318" s="17" t="n"/>
      <c r="E318" s="17" t="n"/>
      <c r="F318" s="17" t="n"/>
      <c r="G318" s="17" t="n"/>
      <c r="H318" s="17" t="n"/>
      <c r="I318" s="17" t="n"/>
      <c r="J318" s="17" t="n"/>
      <c r="K318" s="17" t="n"/>
      <c r="L318" s="17" t="n"/>
      <c r="M318" s="17" t="n"/>
    </row>
    <row r="319" ht="15" customHeight="1" s="12">
      <c r="A319" s="17" t="n"/>
      <c r="B319" s="17" t="n"/>
      <c r="C319" s="17" t="n"/>
      <c r="D319" s="17" t="n"/>
      <c r="E319" s="17" t="n"/>
      <c r="F319" s="17" t="n"/>
      <c r="G319" s="17" t="n"/>
      <c r="H319" s="17" t="n"/>
      <c r="I319" s="17" t="n"/>
      <c r="J319" s="17" t="n"/>
      <c r="K319" s="17" t="n"/>
      <c r="L319" s="17" t="n"/>
      <c r="M319" s="17" t="n"/>
    </row>
    <row r="320" ht="15" customHeight="1" s="12">
      <c r="A320" s="17" t="n"/>
      <c r="B320" s="17" t="n"/>
      <c r="C320" s="17" t="n"/>
      <c r="D320" s="17" t="n"/>
      <c r="E320" s="17" t="n"/>
      <c r="F320" s="17" t="n"/>
      <c r="G320" s="17" t="n"/>
      <c r="H320" s="17" t="n"/>
      <c r="I320" s="17" t="n"/>
      <c r="J320" s="17" t="n"/>
      <c r="K320" s="17" t="n"/>
      <c r="L320" s="17" t="n"/>
      <c r="M320" s="17" t="n"/>
    </row>
    <row r="321" ht="15" customHeight="1" s="12">
      <c r="A321" s="17" t="n"/>
      <c r="B321" s="17" t="n"/>
      <c r="C321" s="17" t="n"/>
      <c r="D321" s="17" t="n"/>
      <c r="E321" s="17" t="n"/>
      <c r="F321" s="17" t="n"/>
      <c r="G321" s="17" t="n"/>
      <c r="H321" s="17" t="n"/>
      <c r="I321" s="17" t="n"/>
      <c r="J321" s="17" t="n"/>
      <c r="K321" s="17" t="n"/>
      <c r="L321" s="17" t="n"/>
      <c r="M321" s="17" t="n"/>
    </row>
    <row r="322" ht="15" customHeight="1" s="12">
      <c r="A322" s="17" t="n"/>
      <c r="B322" s="17" t="n"/>
      <c r="C322" s="17" t="n"/>
      <c r="D322" s="17" t="n"/>
      <c r="E322" s="17" t="n"/>
      <c r="F322" s="17" t="n"/>
      <c r="G322" s="17" t="n"/>
      <c r="H322" s="17" t="n"/>
      <c r="I322" s="17" t="n"/>
      <c r="J322" s="17" t="n"/>
      <c r="K322" s="17" t="n"/>
      <c r="L322" s="17" t="n"/>
      <c r="M322" s="17" t="n"/>
    </row>
    <row r="323" ht="15" customHeight="1" s="12">
      <c r="A323" s="17" t="n"/>
      <c r="B323" s="17" t="n"/>
      <c r="C323" s="17" t="n"/>
      <c r="D323" s="17" t="n"/>
      <c r="E323" s="17" t="n"/>
      <c r="F323" s="17" t="n"/>
      <c r="G323" s="17" t="n"/>
      <c r="H323" s="17" t="n"/>
      <c r="I323" s="17" t="n"/>
      <c r="J323" s="17" t="n"/>
      <c r="K323" s="17" t="n"/>
      <c r="L323" s="17" t="n"/>
      <c r="M323" s="17" t="n"/>
    </row>
    <row r="324" ht="15" customHeight="1" s="12">
      <c r="A324" s="17" t="n"/>
      <c r="B324" s="17" t="n"/>
      <c r="C324" s="17" t="n"/>
      <c r="D324" s="17" t="n"/>
      <c r="E324" s="17" t="n"/>
      <c r="F324" s="17" t="n"/>
      <c r="G324" s="17" t="n"/>
      <c r="H324" s="17" t="n"/>
      <c r="I324" s="17" t="n"/>
      <c r="J324" s="17" t="n"/>
      <c r="K324" s="17" t="n"/>
      <c r="L324" s="17" t="n"/>
      <c r="M324" s="17" t="n"/>
    </row>
    <row r="325" ht="15" customHeight="1" s="12">
      <c r="A325" s="17" t="n"/>
      <c r="B325" s="17" t="n"/>
      <c r="C325" s="17" t="n"/>
      <c r="D325" s="17" t="n"/>
      <c r="E325" s="17" t="n"/>
      <c r="F325" s="17" t="n"/>
      <c r="G325" s="17" t="n"/>
      <c r="H325" s="17" t="n"/>
      <c r="I325" s="17" t="n"/>
      <c r="J325" s="17" t="n"/>
      <c r="K325" s="17" t="n"/>
      <c r="L325" s="17" t="n"/>
      <c r="M325" s="17" t="n"/>
    </row>
    <row r="326" ht="15" customHeight="1" s="12">
      <c r="A326" s="17" t="n"/>
      <c r="B326" s="17" t="n"/>
      <c r="C326" s="17" t="n"/>
      <c r="D326" s="17" t="n"/>
      <c r="E326" s="17" t="n"/>
      <c r="F326" s="17" t="n"/>
      <c r="G326" s="17" t="n"/>
      <c r="H326" s="17" t="n"/>
      <c r="I326" s="17" t="n"/>
      <c r="J326" s="17" t="n"/>
      <c r="K326" s="17" t="n"/>
      <c r="L326" s="17" t="n"/>
      <c r="M326" s="17" t="n"/>
    </row>
    <row r="327" ht="15" customHeight="1" s="12">
      <c r="A327" s="17" t="n"/>
      <c r="B327" s="17" t="n"/>
      <c r="C327" s="17" t="n"/>
      <c r="D327" s="17" t="n"/>
      <c r="E327" s="17" t="n"/>
      <c r="F327" s="17" t="n"/>
      <c r="G327" s="17" t="n"/>
      <c r="H327" s="17" t="n"/>
      <c r="I327" s="17" t="n"/>
      <c r="J327" s="17" t="n"/>
      <c r="K327" s="17" t="n"/>
      <c r="L327" s="17" t="n"/>
      <c r="M327" s="17" t="n"/>
    </row>
    <row r="328" ht="15" customHeight="1" s="12">
      <c r="A328" s="17" t="n"/>
      <c r="B328" s="17" t="n"/>
      <c r="C328" s="17" t="n"/>
      <c r="D328" s="17" t="n"/>
      <c r="E328" s="17" t="n"/>
      <c r="F328" s="17" t="n"/>
      <c r="G328" s="17" t="n"/>
      <c r="H328" s="17" t="n"/>
      <c r="I328" s="17" t="n"/>
      <c r="J328" s="17" t="n"/>
      <c r="K328" s="17" t="n"/>
      <c r="L328" s="17" t="n"/>
      <c r="M328" s="17" t="n"/>
    </row>
    <row r="329" ht="15" customHeight="1" s="12">
      <c r="A329" s="17" t="n"/>
      <c r="B329" s="17" t="n"/>
      <c r="C329" s="17" t="n"/>
      <c r="D329" s="17" t="n"/>
      <c r="E329" s="17" t="n"/>
      <c r="F329" s="17" t="n"/>
      <c r="G329" s="17" t="n"/>
      <c r="H329" s="17" t="n"/>
      <c r="I329" s="17" t="n"/>
      <c r="J329" s="17" t="n"/>
      <c r="K329" s="17" t="n"/>
      <c r="L329" s="17" t="n"/>
      <c r="M329" s="17" t="n"/>
    </row>
    <row r="330" ht="15" customHeight="1" s="12">
      <c r="A330" s="17" t="n"/>
      <c r="B330" s="17" t="n"/>
      <c r="C330" s="17" t="n"/>
      <c r="D330" s="17" t="n"/>
      <c r="E330" s="17" t="n"/>
      <c r="F330" s="17" t="n"/>
      <c r="G330" s="17" t="n"/>
      <c r="H330" s="17" t="n"/>
      <c r="I330" s="17" t="n"/>
      <c r="J330" s="17" t="n"/>
      <c r="K330" s="17" t="n"/>
      <c r="L330" s="17" t="n"/>
      <c r="M330" s="17" t="n"/>
    </row>
    <row r="331" ht="15" customHeight="1" s="12">
      <c r="A331" s="17" t="n"/>
      <c r="B331" s="17" t="n"/>
      <c r="C331" s="17" t="n"/>
      <c r="D331" s="17" t="n"/>
      <c r="E331" s="17" t="n"/>
      <c r="F331" s="17" t="n"/>
      <c r="G331" s="17" t="n"/>
      <c r="H331" s="17" t="n"/>
      <c r="I331" s="17" t="n"/>
      <c r="J331" s="17" t="n"/>
      <c r="K331" s="17" t="n"/>
      <c r="L331" s="17" t="n"/>
      <c r="M331" s="17" t="n"/>
    </row>
    <row r="332" ht="15" customHeight="1" s="12">
      <c r="A332" s="17" t="n"/>
      <c r="B332" s="17" t="n"/>
      <c r="C332" s="17" t="n"/>
      <c r="D332" s="17" t="n"/>
      <c r="E332" s="17" t="n"/>
      <c r="F332" s="17" t="n"/>
      <c r="G332" s="17" t="n"/>
      <c r="H332" s="17" t="n"/>
      <c r="I332" s="17" t="n"/>
      <c r="J332" s="17" t="n"/>
      <c r="K332" s="17" t="n"/>
      <c r="L332" s="17" t="n"/>
      <c r="M332" s="17" t="n"/>
    </row>
    <row r="333" ht="15" customHeight="1" s="12">
      <c r="A333" s="17" t="n"/>
      <c r="B333" s="17" t="n"/>
      <c r="C333" s="17" t="n"/>
      <c r="D333" s="17" t="n"/>
      <c r="E333" s="17" t="n"/>
      <c r="F333" s="17" t="n"/>
      <c r="G333" s="17" t="n"/>
      <c r="H333" s="17" t="n"/>
      <c r="I333" s="17" t="n"/>
      <c r="J333" s="17" t="n"/>
      <c r="K333" s="17" t="n"/>
      <c r="L333" s="17" t="n"/>
      <c r="M333" s="17" t="n"/>
    </row>
    <row r="334" ht="15" customHeight="1" s="12">
      <c r="A334" s="17" t="n"/>
      <c r="B334" s="17" t="n"/>
      <c r="C334" s="17" t="n"/>
      <c r="D334" s="17" t="n"/>
      <c r="E334" s="17" t="n"/>
      <c r="F334" s="17" t="n"/>
      <c r="G334" s="17" t="n"/>
      <c r="H334" s="17" t="n"/>
      <c r="I334" s="17" t="n"/>
      <c r="J334" s="17" t="n"/>
      <c r="K334" s="17" t="n"/>
      <c r="L334" s="17" t="n"/>
      <c r="M334" s="17" t="n"/>
    </row>
    <row r="335" ht="15" customHeight="1" s="12">
      <c r="A335" s="17" t="n"/>
      <c r="B335" s="17" t="n"/>
      <c r="C335" s="17" t="n"/>
      <c r="D335" s="17" t="n"/>
      <c r="E335" s="17" t="n"/>
      <c r="F335" s="17" t="n"/>
      <c r="G335" s="17" t="n"/>
      <c r="H335" s="17" t="n"/>
      <c r="I335" s="17" t="n"/>
      <c r="J335" s="17" t="n"/>
      <c r="K335" s="17" t="n"/>
      <c r="L335" s="17" t="n"/>
      <c r="M335" s="17" t="n"/>
    </row>
    <row r="336" ht="15" customHeight="1" s="12">
      <c r="A336" s="17" t="n"/>
      <c r="B336" s="17" t="n"/>
      <c r="C336" s="17" t="n"/>
      <c r="D336" s="17" t="n"/>
      <c r="E336" s="17" t="n"/>
      <c r="F336" s="17" t="n"/>
      <c r="G336" s="17" t="n"/>
      <c r="H336" s="17" t="n"/>
      <c r="I336" s="17" t="n"/>
      <c r="J336" s="17" t="n"/>
      <c r="K336" s="17" t="n"/>
      <c r="L336" s="17" t="n"/>
      <c r="M336" s="17" t="n"/>
    </row>
    <row r="337" ht="15" customHeight="1" s="12">
      <c r="A337" s="17" t="n"/>
      <c r="B337" s="17" t="n"/>
      <c r="C337" s="17" t="n"/>
      <c r="D337" s="17" t="n"/>
      <c r="E337" s="17" t="n"/>
      <c r="F337" s="17" t="n"/>
      <c r="G337" s="17" t="n"/>
      <c r="H337" s="17" t="n"/>
      <c r="I337" s="17" t="n"/>
      <c r="J337" s="17" t="n"/>
      <c r="K337" s="17" t="n"/>
      <c r="L337" s="17" t="n"/>
      <c r="M337" s="17" t="n"/>
    </row>
    <row r="338" ht="15" customHeight="1" s="12">
      <c r="A338" s="17" t="n"/>
      <c r="B338" s="17" t="n"/>
      <c r="C338" s="17" t="n"/>
      <c r="D338" s="17" t="n"/>
      <c r="E338" s="17" t="n"/>
      <c r="F338" s="17" t="n"/>
      <c r="G338" s="17" t="n"/>
      <c r="H338" s="17" t="n"/>
      <c r="I338" s="17" t="n"/>
      <c r="J338" s="17" t="n"/>
      <c r="K338" s="17" t="n"/>
      <c r="L338" s="17" t="n"/>
      <c r="M338" s="17" t="n"/>
    </row>
    <row r="339" ht="15" customHeight="1" s="12">
      <c r="A339" s="17" t="n"/>
      <c r="B339" s="17" t="n"/>
      <c r="C339" s="17" t="n"/>
      <c r="D339" s="17" t="n"/>
      <c r="E339" s="17" t="n"/>
      <c r="F339" s="17" t="n"/>
      <c r="G339" s="17" t="n"/>
      <c r="H339" s="17" t="n"/>
      <c r="I339" s="17" t="n"/>
      <c r="J339" s="17" t="n"/>
      <c r="K339" s="17" t="n"/>
      <c r="L339" s="17" t="n"/>
      <c r="M339" s="17" t="n"/>
    </row>
    <row r="340" ht="15" customHeight="1" s="12">
      <c r="A340" s="17" t="n"/>
      <c r="B340" s="17" t="n"/>
      <c r="C340" s="17" t="n"/>
      <c r="D340" s="17" t="n"/>
      <c r="E340" s="17" t="n"/>
      <c r="F340" s="17" t="n"/>
      <c r="G340" s="17" t="n"/>
      <c r="H340" s="17" t="n"/>
      <c r="I340" s="17" t="n"/>
      <c r="J340" s="17" t="n"/>
      <c r="K340" s="17" t="n"/>
      <c r="L340" s="17" t="n"/>
      <c r="M340" s="17" t="n"/>
    </row>
    <row r="341" ht="15" customHeight="1" s="12">
      <c r="A341" s="17" t="n"/>
      <c r="B341" s="17" t="n"/>
      <c r="C341" s="17" t="n"/>
      <c r="D341" s="17" t="n"/>
      <c r="E341" s="17" t="n"/>
      <c r="F341" s="17" t="n"/>
      <c r="G341" s="17" t="n"/>
      <c r="H341" s="17" t="n"/>
      <c r="I341" s="17" t="n"/>
      <c r="J341" s="17" t="n"/>
      <c r="K341" s="17" t="n"/>
      <c r="L341" s="17" t="n"/>
      <c r="M341" s="17" t="n"/>
    </row>
    <row r="342" ht="15" customHeight="1" s="12">
      <c r="A342" s="17" t="n"/>
      <c r="B342" s="17" t="n"/>
      <c r="C342" s="17" t="n"/>
      <c r="D342" s="17" t="n"/>
      <c r="E342" s="17" t="n"/>
      <c r="F342" s="17" t="n"/>
      <c r="G342" s="17" t="n"/>
      <c r="H342" s="17" t="n"/>
      <c r="I342" s="17" t="n"/>
      <c r="J342" s="17" t="n"/>
      <c r="K342" s="17" t="n"/>
      <c r="L342" s="17" t="n"/>
      <c r="M342" s="17" t="n"/>
    </row>
    <row r="343" ht="15" customHeight="1" s="12">
      <c r="A343" s="17" t="n"/>
      <c r="B343" s="17" t="n"/>
      <c r="C343" s="17" t="n"/>
      <c r="D343" s="17" t="n"/>
      <c r="E343" s="17" t="n"/>
      <c r="F343" s="17" t="n"/>
      <c r="G343" s="17" t="n"/>
      <c r="H343" s="17" t="n"/>
      <c r="I343" s="17" t="n"/>
      <c r="J343" s="17" t="n"/>
      <c r="K343" s="17" t="n"/>
      <c r="L343" s="17" t="n"/>
      <c r="M343" s="17" t="n"/>
    </row>
    <row r="344" ht="15" customHeight="1" s="12">
      <c r="A344" s="17" t="n"/>
      <c r="B344" s="17" t="n"/>
      <c r="C344" s="17" t="n"/>
      <c r="D344" s="17" t="n"/>
      <c r="E344" s="17" t="n"/>
      <c r="F344" s="17" t="n"/>
      <c r="G344" s="17" t="n"/>
      <c r="H344" s="17" t="n"/>
      <c r="I344" s="17" t="n"/>
      <c r="J344" s="17" t="n"/>
      <c r="K344" s="17" t="n"/>
      <c r="L344" s="17" t="n"/>
      <c r="M344" s="17" t="n"/>
    </row>
    <row r="345" ht="15" customHeight="1" s="12">
      <c r="A345" s="17" t="n"/>
      <c r="B345" s="17" t="n"/>
      <c r="C345" s="17" t="n"/>
      <c r="D345" s="17" t="n"/>
      <c r="E345" s="17" t="n"/>
      <c r="F345" s="17" t="n"/>
      <c r="G345" s="17" t="n"/>
      <c r="H345" s="17" t="n"/>
      <c r="I345" s="17" t="n"/>
      <c r="J345" s="17" t="n"/>
      <c r="K345" s="17" t="n"/>
      <c r="L345" s="17" t="n"/>
      <c r="M345" s="17" t="n"/>
    </row>
    <row r="346" ht="15" customHeight="1" s="12">
      <c r="A346" s="17" t="n"/>
      <c r="B346" s="17" t="n"/>
      <c r="C346" s="17" t="n"/>
      <c r="D346" s="17" t="n"/>
      <c r="E346" s="17" t="n"/>
      <c r="F346" s="17" t="n"/>
      <c r="G346" s="17" t="n"/>
      <c r="H346" s="17" t="n"/>
      <c r="I346" s="17" t="n"/>
      <c r="J346" s="17" t="n"/>
      <c r="K346" s="17" t="n"/>
      <c r="L346" s="17" t="n"/>
      <c r="M346" s="17" t="n"/>
    </row>
    <row r="347" ht="15" customHeight="1" s="12">
      <c r="A347" s="17" t="n"/>
      <c r="B347" s="17" t="n"/>
      <c r="C347" s="17" t="n"/>
      <c r="D347" s="17" t="n"/>
      <c r="E347" s="17" t="n"/>
      <c r="F347" s="17" t="n"/>
      <c r="G347" s="17" t="n"/>
      <c r="H347" s="17" t="n"/>
      <c r="I347" s="17" t="n"/>
      <c r="J347" s="17" t="n"/>
      <c r="K347" s="17" t="n"/>
      <c r="L347" s="17" t="n"/>
      <c r="M347" s="17" t="n"/>
    </row>
    <row r="348" ht="15" customHeight="1" s="12">
      <c r="A348" s="17" t="n"/>
      <c r="B348" s="17" t="n"/>
      <c r="C348" s="17" t="n"/>
      <c r="D348" s="17" t="n"/>
      <c r="E348" s="17" t="n"/>
      <c r="F348" s="17" t="n"/>
      <c r="G348" s="17" t="n"/>
      <c r="H348" s="17" t="n"/>
      <c r="I348" s="17" t="n"/>
      <c r="J348" s="17" t="n"/>
      <c r="K348" s="17" t="n"/>
      <c r="L348" s="17" t="n"/>
      <c r="M348" s="17" t="n"/>
    </row>
    <row r="349" ht="15" customHeight="1" s="12">
      <c r="A349" s="17" t="n"/>
      <c r="B349" s="17" t="n"/>
      <c r="C349" s="17" t="n"/>
      <c r="D349" s="17" t="n"/>
      <c r="E349" s="17" t="n"/>
      <c r="F349" s="17" t="n"/>
      <c r="G349" s="17" t="n"/>
      <c r="H349" s="17" t="n"/>
      <c r="I349" s="17" t="n"/>
      <c r="J349" s="17" t="n"/>
      <c r="K349" s="17" t="n"/>
      <c r="L349" s="17" t="n"/>
      <c r="M349" s="17" t="n"/>
    </row>
    <row r="350" ht="15" customHeight="1" s="12">
      <c r="A350" s="17" t="n"/>
      <c r="B350" s="17" t="n"/>
      <c r="C350" s="17" t="n"/>
      <c r="D350" s="17" t="n"/>
      <c r="E350" s="17" t="n"/>
      <c r="F350" s="17" t="n"/>
      <c r="G350" s="17" t="n"/>
      <c r="H350" s="17" t="n"/>
      <c r="I350" s="17" t="n"/>
      <c r="J350" s="17" t="n"/>
      <c r="K350" s="17" t="n"/>
      <c r="L350" s="17" t="n"/>
      <c r="M350" s="17" t="n"/>
    </row>
    <row r="351" ht="15" customHeight="1" s="12">
      <c r="A351" s="17" t="n"/>
      <c r="B351" s="17" t="n"/>
      <c r="C351" s="17" t="n"/>
      <c r="D351" s="17" t="n"/>
      <c r="E351" s="17" t="n"/>
      <c r="F351" s="17" t="n"/>
      <c r="G351" s="17" t="n"/>
      <c r="H351" s="17" t="n"/>
      <c r="I351" s="17" t="n"/>
      <c r="J351" s="17" t="n"/>
      <c r="K351" s="17" t="n"/>
      <c r="L351" s="17" t="n"/>
      <c r="M351" s="17" t="n"/>
    </row>
    <row r="352" ht="15" customHeight="1" s="12">
      <c r="A352" s="17" t="n"/>
      <c r="B352" s="17" t="n"/>
      <c r="C352" s="17" t="n"/>
      <c r="D352" s="17" t="n"/>
      <c r="E352" s="17" t="n"/>
      <c r="F352" s="17" t="n"/>
      <c r="G352" s="17" t="n"/>
      <c r="H352" s="17" t="n"/>
      <c r="I352" s="17" t="n"/>
      <c r="J352" s="17" t="n"/>
      <c r="K352" s="17" t="n"/>
      <c r="L352" s="17" t="n"/>
      <c r="M352" s="17" t="n"/>
    </row>
    <row r="353" ht="15" customHeight="1" s="12">
      <c r="A353" s="17" t="n"/>
      <c r="B353" s="17" t="n"/>
      <c r="C353" s="17" t="n"/>
      <c r="D353" s="17" t="n"/>
      <c r="E353" s="17" t="n"/>
      <c r="F353" s="17" t="n"/>
      <c r="G353" s="17" t="n"/>
      <c r="H353" s="17" t="n"/>
      <c r="I353" s="17" t="n"/>
      <c r="J353" s="17" t="n"/>
      <c r="K353" s="17" t="n"/>
      <c r="L353" s="17" t="n"/>
      <c r="M353" s="17" t="n"/>
    </row>
    <row r="354" ht="15" customHeight="1" s="12">
      <c r="A354" s="17" t="n"/>
      <c r="B354" s="17" t="n"/>
      <c r="C354" s="17" t="n"/>
      <c r="D354" s="17" t="n"/>
      <c r="E354" s="17" t="n"/>
      <c r="F354" s="17" t="n"/>
      <c r="G354" s="17" t="n"/>
      <c r="H354" s="17" t="n"/>
      <c r="I354" s="17" t="n"/>
      <c r="J354" s="17" t="n"/>
      <c r="K354" s="17" t="n"/>
      <c r="L354" s="17" t="n"/>
      <c r="M354" s="17" t="n"/>
    </row>
    <row r="355" ht="15" customHeight="1" s="12">
      <c r="A355" s="17" t="n"/>
      <c r="B355" s="17" t="n"/>
      <c r="C355" s="17" t="n"/>
      <c r="D355" s="17" t="n"/>
      <c r="E355" s="17" t="n"/>
      <c r="F355" s="17" t="n"/>
      <c r="G355" s="17" t="n"/>
      <c r="H355" s="17" t="n"/>
      <c r="I355" s="17" t="n"/>
      <c r="J355" s="17" t="n"/>
      <c r="K355" s="17" t="n"/>
      <c r="L355" s="17" t="n"/>
      <c r="M355" s="17" t="n"/>
    </row>
    <row r="356" ht="15" customHeight="1" s="12">
      <c r="A356" s="17" t="n"/>
      <c r="B356" s="17" t="n"/>
      <c r="C356" s="17" t="n"/>
      <c r="D356" s="17" t="n"/>
      <c r="E356" s="17" t="n"/>
      <c r="F356" s="17" t="n"/>
      <c r="G356" s="17" t="n"/>
      <c r="H356" s="17" t="n"/>
      <c r="I356" s="17" t="n"/>
      <c r="J356" s="17" t="n"/>
      <c r="K356" s="17" t="n"/>
      <c r="L356" s="17" t="n"/>
      <c r="M356" s="17" t="n"/>
    </row>
    <row r="357" ht="15" customHeight="1" s="12">
      <c r="A357" s="17" t="n"/>
      <c r="B357" s="17" t="n"/>
      <c r="C357" s="17" t="n"/>
      <c r="D357" s="17" t="n"/>
      <c r="E357" s="17" t="n"/>
      <c r="F357" s="17" t="n"/>
      <c r="G357" s="17" t="n"/>
      <c r="H357" s="17" t="n"/>
      <c r="I357" s="17" t="n"/>
      <c r="J357" s="17" t="n"/>
      <c r="K357" s="17" t="n"/>
      <c r="L357" s="17" t="n"/>
      <c r="M357" s="17" t="n"/>
    </row>
    <row r="358" ht="15" customHeight="1" s="12">
      <c r="A358" s="17" t="n"/>
      <c r="B358" s="17" t="n"/>
      <c r="C358" s="17" t="n"/>
      <c r="D358" s="17" t="n"/>
      <c r="E358" s="17" t="n"/>
      <c r="F358" s="17" t="n"/>
      <c r="G358" s="17" t="n"/>
      <c r="H358" s="17" t="n"/>
      <c r="I358" s="17" t="n"/>
      <c r="J358" s="17" t="n"/>
      <c r="K358" s="17" t="n"/>
      <c r="L358" s="17" t="n"/>
      <c r="M358" s="17" t="n"/>
    </row>
    <row r="359" ht="15" customHeight="1" s="12">
      <c r="A359" s="17" t="n"/>
      <c r="B359" s="17" t="n"/>
      <c r="C359" s="17" t="n"/>
      <c r="D359" s="17" t="n"/>
      <c r="E359" s="17" t="n"/>
      <c r="F359" s="17" t="n"/>
      <c r="G359" s="17" t="n"/>
      <c r="H359" s="17" t="n"/>
      <c r="I359" s="17" t="n"/>
      <c r="J359" s="17" t="n"/>
      <c r="K359" s="17" t="n"/>
      <c r="L359" s="17" t="n"/>
      <c r="M359" s="17" t="n"/>
    </row>
    <row r="360" ht="15" customHeight="1" s="12">
      <c r="A360" s="17" t="n"/>
      <c r="B360" s="17" t="n"/>
      <c r="C360" s="17" t="n"/>
      <c r="D360" s="17" t="n"/>
      <c r="E360" s="17" t="n"/>
      <c r="F360" s="17" t="n"/>
      <c r="G360" s="17" t="n"/>
      <c r="H360" s="17" t="n"/>
      <c r="I360" s="17" t="n"/>
      <c r="J360" s="17" t="n"/>
      <c r="K360" s="17" t="n"/>
      <c r="L360" s="17" t="n"/>
      <c r="M360" s="17" t="n"/>
    </row>
    <row r="361" ht="15" customHeight="1" s="12">
      <c r="A361" s="17" t="n"/>
      <c r="B361" s="17" t="n"/>
      <c r="C361" s="17" t="n"/>
      <c r="D361" s="17" t="n"/>
      <c r="E361" s="17" t="n"/>
      <c r="F361" s="17" t="n"/>
      <c r="G361" s="17" t="n"/>
      <c r="H361" s="17" t="n"/>
      <c r="I361" s="17" t="n"/>
      <c r="J361" s="17" t="n"/>
      <c r="K361" s="17" t="n"/>
      <c r="L361" s="17" t="n"/>
      <c r="M361" s="17" t="n"/>
    </row>
    <row r="362" ht="15" customHeight="1" s="12">
      <c r="A362" s="17" t="n"/>
      <c r="B362" s="17" t="n"/>
      <c r="C362" s="17" t="n"/>
      <c r="D362" s="17" t="n"/>
      <c r="E362" s="17" t="n"/>
      <c r="F362" s="17" t="n"/>
      <c r="G362" s="17" t="n"/>
      <c r="H362" s="17" t="n"/>
      <c r="I362" s="17" t="n"/>
      <c r="J362" s="17" t="n"/>
      <c r="K362" s="17" t="n"/>
      <c r="L362" s="17" t="n"/>
      <c r="M362" s="17" t="n"/>
    </row>
    <row r="363" ht="15" customHeight="1" s="12">
      <c r="A363" s="17" t="n"/>
      <c r="B363" s="17" t="n"/>
      <c r="C363" s="17" t="n"/>
      <c r="D363" s="17" t="n"/>
      <c r="E363" s="17" t="n"/>
      <c r="F363" s="17" t="n"/>
      <c r="G363" s="17" t="n"/>
      <c r="H363" s="17" t="n"/>
      <c r="I363" s="17" t="n"/>
      <c r="J363" s="17" t="n"/>
      <c r="K363" s="17" t="n"/>
      <c r="L363" s="17" t="n"/>
      <c r="M363" s="17" t="n"/>
    </row>
    <row r="364" ht="15" customHeight="1" s="12">
      <c r="A364" s="17" t="n"/>
      <c r="B364" s="17" t="n"/>
      <c r="C364" s="17" t="n"/>
      <c r="D364" s="17" t="n"/>
      <c r="E364" s="17" t="n"/>
      <c r="F364" s="17" t="n"/>
      <c r="G364" s="17" t="n"/>
      <c r="H364" s="17" t="n"/>
      <c r="I364" s="17" t="n"/>
      <c r="J364" s="17" t="n"/>
      <c r="K364" s="17" t="n"/>
      <c r="L364" s="17" t="n"/>
      <c r="M364" s="17" t="n"/>
    </row>
    <row r="365" ht="15" customHeight="1" s="12">
      <c r="A365" s="17" t="n"/>
      <c r="B365" s="17" t="n"/>
      <c r="C365" s="17" t="n"/>
      <c r="D365" s="17" t="n"/>
      <c r="E365" s="17" t="n"/>
      <c r="F365" s="17" t="n"/>
      <c r="G365" s="17" t="n"/>
      <c r="H365" s="17" t="n"/>
      <c r="I365" s="17" t="n"/>
      <c r="J365" s="17" t="n"/>
      <c r="K365" s="17" t="n"/>
      <c r="L365" s="17" t="n"/>
      <c r="M365" s="17" t="n"/>
    </row>
    <row r="366" ht="15" customHeight="1" s="12">
      <c r="A366" s="17" t="n"/>
      <c r="B366" s="17" t="n"/>
      <c r="C366" s="17" t="n"/>
      <c r="D366" s="17" t="n"/>
      <c r="E366" s="17" t="n"/>
      <c r="F366" s="17" t="n"/>
      <c r="G366" s="17" t="n"/>
      <c r="H366" s="17" t="n"/>
      <c r="I366" s="17" t="n"/>
      <c r="J366" s="17" t="n"/>
      <c r="K366" s="17" t="n"/>
      <c r="L366" s="17" t="n"/>
      <c r="M366" s="17" t="n"/>
    </row>
    <row r="367" ht="15" customHeight="1" s="12">
      <c r="A367" s="17" t="n"/>
      <c r="B367" s="17" t="n"/>
      <c r="C367" s="17" t="n"/>
      <c r="D367" s="17" t="n"/>
      <c r="E367" s="17" t="n"/>
      <c r="F367" s="17" t="n"/>
      <c r="G367" s="17" t="n"/>
      <c r="H367" s="17" t="n"/>
      <c r="I367" s="17" t="n"/>
      <c r="J367" s="17" t="n"/>
      <c r="K367" s="17" t="n"/>
      <c r="L367" s="17" t="n"/>
      <c r="M367" s="17" t="n"/>
    </row>
    <row r="368" ht="15" customHeight="1" s="12">
      <c r="A368" s="17" t="n"/>
      <c r="B368" s="17" t="n"/>
      <c r="C368" s="17" t="n"/>
      <c r="D368" s="17" t="n"/>
      <c r="E368" s="17" t="n"/>
      <c r="F368" s="17" t="n"/>
      <c r="G368" s="17" t="n"/>
      <c r="H368" s="17" t="n"/>
      <c r="I368" s="17" t="n"/>
      <c r="J368" s="17" t="n"/>
      <c r="K368" s="17" t="n"/>
      <c r="L368" s="17" t="n"/>
      <c r="M368" s="17" t="n"/>
    </row>
    <row r="369" ht="15" customHeight="1" s="12">
      <c r="A369" s="17" t="n"/>
      <c r="B369" s="17" t="n"/>
      <c r="C369" s="17" t="n"/>
      <c r="D369" s="17" t="n"/>
      <c r="E369" s="17" t="n"/>
      <c r="F369" s="17" t="n"/>
      <c r="G369" s="17" t="n"/>
      <c r="H369" s="17" t="n"/>
      <c r="I369" s="17" t="n"/>
      <c r="J369" s="17" t="n"/>
      <c r="K369" s="17" t="n"/>
      <c r="L369" s="17" t="n"/>
      <c r="M369" s="17" t="n"/>
    </row>
    <row r="370" ht="15" customHeight="1" s="12">
      <c r="A370" s="17" t="n"/>
      <c r="B370" s="17" t="n"/>
      <c r="C370" s="17" t="n"/>
      <c r="D370" s="17" t="n"/>
      <c r="E370" s="17" t="n"/>
      <c r="F370" s="17" t="n"/>
      <c r="G370" s="17" t="n"/>
      <c r="H370" s="17" t="n"/>
      <c r="I370" s="17" t="n"/>
      <c r="J370" s="17" t="n"/>
      <c r="K370" s="17" t="n"/>
      <c r="L370" s="17" t="n"/>
      <c r="M370" s="17" t="n"/>
    </row>
    <row r="371" ht="15" customHeight="1" s="12">
      <c r="A371" s="17" t="n"/>
      <c r="B371" s="17" t="n"/>
      <c r="C371" s="17" t="n"/>
      <c r="D371" s="17" t="n"/>
      <c r="E371" s="17" t="n"/>
      <c r="F371" s="17" t="n"/>
      <c r="G371" s="17" t="n"/>
      <c r="H371" s="17" t="n"/>
      <c r="I371" s="17" t="n"/>
      <c r="J371" s="17" t="n"/>
      <c r="K371" s="17" t="n"/>
      <c r="L371" s="17" t="n"/>
      <c r="M371" s="17" t="n"/>
    </row>
    <row r="372" ht="15" customHeight="1" s="12">
      <c r="A372" s="17" t="n"/>
      <c r="B372" s="17" t="n"/>
      <c r="C372" s="17" t="n"/>
      <c r="D372" s="17" t="n"/>
      <c r="E372" s="17" t="n"/>
      <c r="F372" s="17" t="n"/>
      <c r="G372" s="17" t="n"/>
      <c r="H372" s="17" t="n"/>
      <c r="I372" s="17" t="n"/>
      <c r="J372" s="17" t="n"/>
      <c r="K372" s="17" t="n"/>
      <c r="L372" s="17" t="n"/>
      <c r="M372" s="17" t="n"/>
    </row>
    <row r="373" ht="15" customHeight="1" s="12">
      <c r="A373" s="17" t="n"/>
      <c r="B373" s="17" t="n"/>
      <c r="C373" s="17" t="n"/>
      <c r="D373" s="17" t="n"/>
      <c r="E373" s="17" t="n"/>
      <c r="F373" s="17" t="n"/>
      <c r="G373" s="17" t="n"/>
      <c r="H373" s="17" t="n"/>
      <c r="I373" s="17" t="n"/>
      <c r="J373" s="17" t="n"/>
      <c r="K373" s="17" t="n"/>
      <c r="L373" s="17" t="n"/>
      <c r="M373" s="17" t="n"/>
    </row>
    <row r="374" ht="15" customHeight="1" s="12">
      <c r="A374" s="17" t="n"/>
      <c r="B374" s="17" t="n"/>
      <c r="C374" s="17" t="n"/>
      <c r="D374" s="17" t="n"/>
      <c r="E374" s="17" t="n"/>
      <c r="F374" s="17" t="n"/>
      <c r="G374" s="17" t="n"/>
      <c r="H374" s="17" t="n"/>
      <c r="I374" s="17" t="n"/>
      <c r="J374" s="17" t="n"/>
      <c r="K374" s="17" t="n"/>
      <c r="L374" s="17" t="n"/>
      <c r="M374" s="17" t="n"/>
    </row>
    <row r="375" ht="15" customHeight="1" s="12">
      <c r="A375" s="17" t="n"/>
      <c r="B375" s="17" t="n"/>
      <c r="C375" s="17" t="n"/>
      <c r="D375" s="17" t="n"/>
      <c r="E375" s="17" t="n"/>
      <c r="F375" s="17" t="n"/>
      <c r="G375" s="17" t="n"/>
      <c r="H375" s="17" t="n"/>
      <c r="I375" s="17" t="n"/>
      <c r="J375" s="17" t="n"/>
      <c r="K375" s="17" t="n"/>
      <c r="L375" s="17" t="n"/>
      <c r="M375" s="17" t="n"/>
    </row>
    <row r="376" ht="15" customHeight="1" s="12">
      <c r="A376" s="17" t="n"/>
      <c r="B376" s="17" t="n"/>
      <c r="C376" s="17" t="n"/>
      <c r="D376" s="17" t="n"/>
      <c r="E376" s="17" t="n"/>
      <c r="F376" s="17" t="n"/>
      <c r="G376" s="17" t="n"/>
      <c r="H376" s="17" t="n"/>
      <c r="I376" s="17" t="n"/>
      <c r="J376" s="17" t="n"/>
      <c r="K376" s="17" t="n"/>
      <c r="L376" s="17" t="n"/>
      <c r="M376" s="17" t="n"/>
    </row>
    <row r="377" ht="15" customHeight="1" s="12">
      <c r="A377" s="17" t="n"/>
      <c r="B377" s="17" t="n"/>
      <c r="C377" s="17" t="n"/>
      <c r="D377" s="17" t="n"/>
      <c r="E377" s="17" t="n"/>
      <c r="F377" s="17" t="n"/>
      <c r="G377" s="17" t="n"/>
      <c r="H377" s="17" t="n"/>
      <c r="I377" s="17" t="n"/>
      <c r="J377" s="17" t="n"/>
      <c r="K377" s="17" t="n"/>
      <c r="L377" s="17" t="n"/>
      <c r="M377" s="17" t="n"/>
    </row>
    <row r="378" ht="15" customHeight="1" s="12">
      <c r="A378" s="17" t="n"/>
      <c r="B378" s="17" t="n"/>
      <c r="C378" s="17" t="n"/>
      <c r="D378" s="17" t="n"/>
      <c r="E378" s="17" t="n"/>
      <c r="F378" s="17" t="n"/>
      <c r="G378" s="17" t="n"/>
      <c r="H378" s="17" t="n"/>
      <c r="I378" s="17" t="n"/>
      <c r="J378" s="17" t="n"/>
      <c r="K378" s="17" t="n"/>
      <c r="L378" s="17" t="n"/>
      <c r="M378" s="17" t="n"/>
    </row>
    <row r="379" ht="15" customHeight="1" s="12">
      <c r="A379" s="17" t="n"/>
      <c r="B379" s="17" t="n"/>
      <c r="C379" s="17" t="n"/>
      <c r="D379" s="17" t="n"/>
      <c r="E379" s="17" t="n"/>
      <c r="F379" s="17" t="n"/>
      <c r="G379" s="17" t="n"/>
      <c r="H379" s="17" t="n"/>
      <c r="I379" s="17" t="n"/>
      <c r="J379" s="17" t="n"/>
      <c r="K379" s="17" t="n"/>
      <c r="L379" s="17" t="n"/>
      <c r="M379" s="17" t="n"/>
    </row>
    <row r="380" ht="15" customHeight="1" s="12">
      <c r="A380" s="17" t="n"/>
      <c r="B380" s="17" t="n"/>
      <c r="C380" s="17" t="n"/>
      <c r="D380" s="17" t="n"/>
      <c r="E380" s="17" t="n"/>
      <c r="F380" s="17" t="n"/>
      <c r="G380" s="17" t="n"/>
      <c r="H380" s="17" t="n"/>
      <c r="I380" s="17" t="n"/>
      <c r="J380" s="17" t="n"/>
      <c r="K380" s="17" t="n"/>
      <c r="L380" s="17" t="n"/>
      <c r="M380" s="17" t="n"/>
    </row>
    <row r="381" ht="15" customHeight="1" s="12">
      <c r="A381" s="17" t="n"/>
      <c r="B381" s="17" t="n"/>
      <c r="C381" s="17" t="n"/>
      <c r="D381" s="17" t="n"/>
      <c r="E381" s="17" t="n"/>
      <c r="F381" s="17" t="n"/>
      <c r="G381" s="17" t="n"/>
      <c r="H381" s="17" t="n"/>
      <c r="I381" s="17" t="n"/>
      <c r="J381" s="17" t="n"/>
      <c r="K381" s="17" t="n"/>
      <c r="L381" s="17" t="n"/>
      <c r="M381" s="17" t="n"/>
    </row>
    <row r="382" ht="15" customHeight="1" s="12">
      <c r="A382" s="17" t="n"/>
      <c r="B382" s="17" t="n"/>
      <c r="C382" s="17" t="n"/>
      <c r="D382" s="17" t="n"/>
      <c r="E382" s="17" t="n"/>
      <c r="F382" s="17" t="n"/>
      <c r="G382" s="17" t="n"/>
      <c r="H382" s="17" t="n"/>
      <c r="I382" s="17" t="n"/>
      <c r="J382" s="17" t="n"/>
      <c r="K382" s="17" t="n"/>
      <c r="L382" s="17" t="n"/>
      <c r="M382" s="17" t="n"/>
    </row>
    <row r="383" ht="15" customHeight="1" s="12">
      <c r="A383" s="17" t="n"/>
      <c r="B383" s="17" t="n"/>
      <c r="C383" s="17" t="n"/>
      <c r="D383" s="17" t="n"/>
      <c r="E383" s="17" t="n"/>
      <c r="F383" s="17" t="n"/>
      <c r="G383" s="17" t="n"/>
      <c r="H383" s="17" t="n"/>
      <c r="I383" s="17" t="n"/>
      <c r="J383" s="17" t="n"/>
      <c r="K383" s="17" t="n"/>
      <c r="L383" s="17" t="n"/>
      <c r="M383" s="17" t="n"/>
    </row>
    <row r="384" ht="15" customHeight="1" s="12">
      <c r="A384" s="17" t="n"/>
      <c r="B384" s="17" t="n"/>
      <c r="C384" s="17" t="n"/>
      <c r="D384" s="17" t="n"/>
      <c r="E384" s="17" t="n"/>
      <c r="F384" s="17" t="n"/>
      <c r="G384" s="17" t="n"/>
      <c r="H384" s="17" t="n"/>
      <c r="I384" s="17" t="n"/>
      <c r="J384" s="17" t="n"/>
      <c r="K384" s="17" t="n"/>
      <c r="L384" s="17" t="n"/>
      <c r="M384" s="17" t="n"/>
    </row>
    <row r="385" ht="15" customHeight="1" s="12">
      <c r="A385" s="17" t="n"/>
      <c r="B385" s="17" t="n"/>
      <c r="C385" s="17" t="n"/>
      <c r="D385" s="17" t="n"/>
      <c r="E385" s="17" t="n"/>
      <c r="F385" s="17" t="n"/>
      <c r="G385" s="17" t="n"/>
      <c r="H385" s="17" t="n"/>
      <c r="I385" s="17" t="n"/>
      <c r="J385" s="17" t="n"/>
      <c r="K385" s="17" t="n"/>
      <c r="L385" s="17" t="n"/>
      <c r="M385" s="17" t="n"/>
    </row>
    <row r="386" ht="15" customHeight="1" s="12">
      <c r="A386" s="17" t="n"/>
      <c r="B386" s="17" t="n"/>
      <c r="C386" s="17" t="n"/>
      <c r="D386" s="17" t="n"/>
      <c r="E386" s="17" t="n"/>
      <c r="F386" s="17" t="n"/>
      <c r="G386" s="17" t="n"/>
      <c r="H386" s="17" t="n"/>
      <c r="I386" s="17" t="n"/>
      <c r="J386" s="17" t="n"/>
      <c r="K386" s="17" t="n"/>
      <c r="L386" s="17" t="n"/>
      <c r="M386" s="17" t="n"/>
    </row>
    <row r="387" ht="15" customHeight="1" s="12">
      <c r="A387" s="17" t="n"/>
      <c r="B387" s="17" t="n"/>
      <c r="C387" s="17" t="n"/>
      <c r="D387" s="17" t="n"/>
      <c r="E387" s="17" t="n"/>
      <c r="F387" s="17" t="n"/>
      <c r="G387" s="17" t="n"/>
      <c r="H387" s="17" t="n"/>
      <c r="I387" s="17" t="n"/>
      <c r="J387" s="17" t="n"/>
      <c r="K387" s="17" t="n"/>
      <c r="L387" s="17" t="n"/>
      <c r="M387" s="17" t="n"/>
    </row>
    <row r="388" ht="15" customHeight="1" s="12">
      <c r="A388" s="17" t="n"/>
      <c r="B388" s="17" t="n"/>
      <c r="C388" s="17" t="n"/>
      <c r="D388" s="17" t="n"/>
      <c r="E388" s="17" t="n"/>
      <c r="F388" s="17" t="n"/>
      <c r="G388" s="17" t="n"/>
      <c r="H388" s="17" t="n"/>
      <c r="I388" s="17" t="n"/>
      <c r="J388" s="17" t="n"/>
      <c r="K388" s="17" t="n"/>
      <c r="L388" s="17" t="n"/>
      <c r="M388" s="17" t="n"/>
    </row>
    <row r="389" ht="15" customHeight="1" s="12">
      <c r="A389" s="17" t="n"/>
      <c r="B389" s="17" t="n"/>
      <c r="C389" s="17" t="n"/>
      <c r="D389" s="17" t="n"/>
      <c r="E389" s="17" t="n"/>
      <c r="F389" s="17" t="n"/>
      <c r="G389" s="17" t="n"/>
      <c r="H389" s="17" t="n"/>
      <c r="I389" s="17" t="n"/>
      <c r="J389" s="17" t="n"/>
      <c r="K389" s="17" t="n"/>
      <c r="L389" s="17" t="n"/>
      <c r="M389" s="17" t="n"/>
    </row>
    <row r="390" ht="15" customHeight="1" s="12">
      <c r="A390" s="17" t="n"/>
      <c r="B390" s="17" t="n"/>
      <c r="C390" s="17" t="n"/>
      <c r="D390" s="17" t="n"/>
      <c r="E390" s="17" t="n"/>
      <c r="F390" s="17" t="n"/>
      <c r="G390" s="17" t="n"/>
      <c r="H390" s="17" t="n"/>
      <c r="I390" s="17" t="n"/>
      <c r="J390" s="17" t="n"/>
      <c r="K390" s="17" t="n"/>
      <c r="L390" s="17" t="n"/>
      <c r="M390" s="17" t="n"/>
    </row>
    <row r="391" ht="15" customHeight="1" s="12">
      <c r="A391" s="17" t="n"/>
      <c r="B391" s="17" t="n"/>
      <c r="C391" s="17" t="n"/>
      <c r="D391" s="17" t="n"/>
      <c r="E391" s="17" t="n"/>
      <c r="F391" s="17" t="n"/>
      <c r="G391" s="17" t="n"/>
      <c r="H391" s="17" t="n"/>
      <c r="I391" s="17" t="n"/>
      <c r="J391" s="17" t="n"/>
      <c r="K391" s="17" t="n"/>
      <c r="L391" s="17" t="n"/>
      <c r="M391" s="17" t="n"/>
    </row>
    <row r="392" ht="15" customHeight="1" s="12">
      <c r="A392" s="17" t="n"/>
      <c r="B392" s="17" t="n"/>
      <c r="C392" s="17" t="n"/>
      <c r="D392" s="17" t="n"/>
      <c r="E392" s="17" t="n"/>
      <c r="F392" s="17" t="n"/>
      <c r="G392" s="17" t="n"/>
      <c r="H392" s="17" t="n"/>
      <c r="I392" s="17" t="n"/>
      <c r="J392" s="17" t="n"/>
      <c r="K392" s="17" t="n"/>
      <c r="L392" s="17" t="n"/>
      <c r="M392" s="17" t="n"/>
    </row>
    <row r="393" ht="15" customHeight="1" s="12">
      <c r="A393" s="17" t="n"/>
      <c r="B393" s="17" t="n"/>
      <c r="C393" s="17" t="n"/>
      <c r="D393" s="17" t="n"/>
      <c r="E393" s="17" t="n"/>
      <c r="F393" s="17" t="n"/>
      <c r="G393" s="17" t="n"/>
      <c r="H393" s="17" t="n"/>
      <c r="I393" s="17" t="n"/>
      <c r="J393" s="17" t="n"/>
      <c r="K393" s="17" t="n"/>
      <c r="L393" s="17" t="n"/>
      <c r="M393" s="17" t="n"/>
    </row>
    <row r="394" ht="15" customHeight="1" s="12">
      <c r="A394" s="17" t="n"/>
      <c r="B394" s="17" t="n"/>
      <c r="C394" s="17" t="n"/>
      <c r="D394" s="17" t="n"/>
      <c r="E394" s="17" t="n"/>
      <c r="F394" s="17" t="n"/>
      <c r="G394" s="17" t="n"/>
      <c r="H394" s="17" t="n"/>
      <c r="I394" s="17" t="n"/>
      <c r="J394" s="17" t="n"/>
      <c r="K394" s="17" t="n"/>
      <c r="L394" s="17" t="n"/>
      <c r="M394" s="17" t="n"/>
    </row>
    <row r="395" ht="15" customHeight="1" s="12">
      <c r="A395" s="17" t="n"/>
      <c r="B395" s="17" t="n"/>
      <c r="C395" s="17" t="n"/>
      <c r="D395" s="17" t="n"/>
      <c r="E395" s="17" t="n"/>
      <c r="F395" s="17" t="n"/>
      <c r="G395" s="17" t="n"/>
      <c r="H395" s="17" t="n"/>
      <c r="I395" s="17" t="n"/>
      <c r="J395" s="17" t="n"/>
      <c r="K395" s="17" t="n"/>
      <c r="L395" s="17" t="n"/>
      <c r="M395" s="17" t="n"/>
    </row>
    <row r="396" ht="15" customHeight="1" s="12">
      <c r="A396" s="17" t="n"/>
      <c r="B396" s="17" t="n"/>
      <c r="C396" s="17" t="n"/>
      <c r="D396" s="17" t="n"/>
      <c r="E396" s="17" t="n"/>
      <c r="F396" s="17" t="n"/>
      <c r="G396" s="17" t="n"/>
      <c r="H396" s="17" t="n"/>
      <c r="I396" s="17" t="n"/>
      <c r="J396" s="17" t="n"/>
      <c r="K396" s="17" t="n"/>
      <c r="L396" s="17" t="n"/>
      <c r="M396" s="17" t="n"/>
    </row>
    <row r="397" ht="15" customHeight="1" s="12">
      <c r="A397" s="17" t="n"/>
      <c r="B397" s="17" t="n"/>
      <c r="C397" s="17" t="n"/>
      <c r="D397" s="17" t="n"/>
      <c r="E397" s="17" t="n"/>
      <c r="F397" s="17" t="n"/>
      <c r="G397" s="17" t="n"/>
      <c r="H397" s="17" t="n"/>
      <c r="I397" s="17" t="n"/>
      <c r="J397" s="17" t="n"/>
      <c r="K397" s="17" t="n"/>
      <c r="L397" s="17" t="n"/>
      <c r="M397" s="17" t="n"/>
    </row>
    <row r="398" ht="15" customHeight="1" s="12">
      <c r="A398" s="17" t="n"/>
      <c r="B398" s="17" t="n"/>
      <c r="C398" s="17" t="n"/>
      <c r="D398" s="17" t="n"/>
      <c r="E398" s="17" t="n"/>
      <c r="F398" s="17" t="n"/>
      <c r="G398" s="17" t="n"/>
      <c r="H398" s="17" t="n"/>
      <c r="I398" s="17" t="n"/>
      <c r="J398" s="17" t="n"/>
      <c r="K398" s="17" t="n"/>
      <c r="L398" s="17" t="n"/>
      <c r="M398" s="17" t="n"/>
    </row>
    <row r="399" ht="15" customHeight="1" s="12">
      <c r="A399" s="17" t="n"/>
      <c r="B399" s="17" t="n"/>
      <c r="C399" s="17" t="n"/>
      <c r="D399" s="17" t="n"/>
      <c r="E399" s="17" t="n"/>
      <c r="F399" s="17" t="n"/>
      <c r="G399" s="17" t="n"/>
      <c r="H399" s="17" t="n"/>
      <c r="I399" s="17" t="n"/>
      <c r="J399" s="17" t="n"/>
      <c r="K399" s="17" t="n"/>
      <c r="L399" s="17" t="n"/>
      <c r="M399" s="17" t="n"/>
    </row>
    <row r="400" ht="15" customHeight="1" s="12">
      <c r="A400" s="17" t="n"/>
      <c r="B400" s="17" t="n"/>
      <c r="C400" s="17" t="n"/>
      <c r="D400" s="17" t="n"/>
      <c r="E400" s="17" t="n"/>
      <c r="F400" s="17" t="n"/>
      <c r="G400" s="17" t="n"/>
      <c r="H400" s="17" t="n"/>
      <c r="I400" s="17" t="n"/>
      <c r="J400" s="17" t="n"/>
      <c r="K400" s="17" t="n"/>
      <c r="L400" s="17" t="n"/>
      <c r="M400" s="17" t="n"/>
    </row>
    <row r="401" ht="15" customHeight="1" s="12">
      <c r="A401" s="17" t="n"/>
      <c r="B401" s="17" t="n"/>
      <c r="C401" s="17" t="n"/>
      <c r="D401" s="17" t="n"/>
      <c r="E401" s="17" t="n"/>
      <c r="F401" s="17" t="n"/>
      <c r="G401" s="17" t="n"/>
      <c r="H401" s="17" t="n"/>
      <c r="I401" s="17" t="n"/>
      <c r="J401" s="17" t="n"/>
      <c r="K401" s="17" t="n"/>
      <c r="L401" s="17" t="n"/>
      <c r="M401" s="17" t="n"/>
    </row>
    <row r="402" ht="15" customHeight="1" s="12">
      <c r="A402" s="17" t="n"/>
      <c r="B402" s="17" t="n"/>
      <c r="C402" s="17" t="n"/>
      <c r="D402" s="17" t="n"/>
      <c r="E402" s="17" t="n"/>
      <c r="F402" s="17" t="n"/>
      <c r="G402" s="17" t="n"/>
      <c r="H402" s="17" t="n"/>
      <c r="I402" s="17" t="n"/>
      <c r="J402" s="17" t="n"/>
      <c r="K402" s="17" t="n"/>
      <c r="L402" s="17" t="n"/>
      <c r="M402" s="17" t="n"/>
    </row>
    <row r="403" ht="15" customHeight="1" s="12">
      <c r="A403" s="17" t="n"/>
      <c r="B403" s="17" t="n"/>
      <c r="C403" s="17" t="n"/>
      <c r="D403" s="17" t="n"/>
      <c r="E403" s="17" t="n"/>
      <c r="F403" s="17" t="n"/>
      <c r="G403" s="17" t="n"/>
      <c r="H403" s="17" t="n"/>
      <c r="I403" s="17" t="n"/>
      <c r="J403" s="17" t="n"/>
      <c r="K403" s="17" t="n"/>
      <c r="L403" s="17" t="n"/>
      <c r="M403" s="17" t="n"/>
    </row>
    <row r="404" ht="15" customHeight="1" s="12">
      <c r="A404" s="17" t="n"/>
      <c r="B404" s="17" t="n"/>
      <c r="C404" s="17" t="n"/>
      <c r="D404" s="17" t="n"/>
      <c r="E404" s="17" t="n"/>
      <c r="F404" s="17" t="n"/>
      <c r="G404" s="17" t="n"/>
      <c r="H404" s="17" t="n"/>
      <c r="I404" s="17" t="n"/>
      <c r="J404" s="17" t="n"/>
      <c r="K404" s="17" t="n"/>
      <c r="L404" s="17" t="n"/>
      <c r="M404" s="17" t="n"/>
    </row>
    <row r="405" ht="15" customHeight="1" s="12">
      <c r="A405" s="17" t="n"/>
      <c r="B405" s="17" t="n"/>
      <c r="C405" s="17" t="n"/>
      <c r="D405" s="17" t="n"/>
      <c r="E405" s="17" t="n"/>
      <c r="F405" s="17" t="n"/>
      <c r="G405" s="17" t="n"/>
      <c r="H405" s="17" t="n"/>
      <c r="I405" s="17" t="n"/>
      <c r="J405" s="17" t="n"/>
      <c r="K405" s="17" t="n"/>
      <c r="L405" s="17" t="n"/>
      <c r="M405" s="17" t="n"/>
    </row>
    <row r="406" ht="15" customHeight="1" s="12">
      <c r="A406" s="17" t="n"/>
      <c r="B406" s="17" t="n"/>
      <c r="C406" s="17" t="n"/>
      <c r="D406" s="17" t="n"/>
      <c r="E406" s="17" t="n"/>
      <c r="F406" s="17" t="n"/>
      <c r="G406" s="17" t="n"/>
      <c r="H406" s="17" t="n"/>
      <c r="I406" s="17" t="n"/>
      <c r="J406" s="17" t="n"/>
      <c r="K406" s="17" t="n"/>
      <c r="L406" s="17" t="n"/>
      <c r="M406" s="17" t="n"/>
    </row>
    <row r="407" ht="15" customHeight="1" s="12">
      <c r="A407" s="17" t="n"/>
      <c r="B407" s="17" t="n"/>
      <c r="C407" s="17" t="n"/>
      <c r="D407" s="17" t="n"/>
      <c r="E407" s="17" t="n"/>
      <c r="F407" s="17" t="n"/>
      <c r="G407" s="17" t="n"/>
      <c r="H407" s="17" t="n"/>
      <c r="I407" s="17" t="n"/>
      <c r="J407" s="17" t="n"/>
      <c r="K407" s="17" t="n"/>
      <c r="L407" s="17" t="n"/>
      <c r="M407" s="17" t="n"/>
    </row>
    <row r="408" ht="15" customHeight="1" s="12">
      <c r="A408" s="17" t="n"/>
      <c r="B408" s="17" t="n"/>
      <c r="C408" s="17" t="n"/>
      <c r="D408" s="17" t="n"/>
      <c r="E408" s="17" t="n"/>
      <c r="F408" s="17" t="n"/>
      <c r="G408" s="17" t="n"/>
      <c r="H408" s="17" t="n"/>
      <c r="I408" s="17" t="n"/>
      <c r="J408" s="17" t="n"/>
      <c r="K408" s="17" t="n"/>
      <c r="L408" s="17" t="n"/>
      <c r="M408" s="17" t="n"/>
    </row>
    <row r="409" ht="15" customHeight="1" s="12">
      <c r="A409" s="17" t="n"/>
      <c r="B409" s="17" t="n"/>
      <c r="C409" s="17" t="n"/>
      <c r="D409" s="17" t="n"/>
      <c r="E409" s="17" t="n"/>
      <c r="F409" s="17" t="n"/>
      <c r="G409" s="17" t="n"/>
      <c r="H409" s="17" t="n"/>
      <c r="I409" s="17" t="n"/>
      <c r="J409" s="17" t="n"/>
      <c r="K409" s="17" t="n"/>
      <c r="L409" s="17" t="n"/>
      <c r="M409" s="17" t="n"/>
    </row>
    <row r="410" ht="15" customHeight="1" s="12">
      <c r="A410" s="17" t="n"/>
      <c r="B410" s="17" t="n"/>
      <c r="C410" s="17" t="n"/>
      <c r="D410" s="17" t="n"/>
      <c r="E410" s="17" t="n"/>
      <c r="F410" s="17" t="n"/>
      <c r="G410" s="17" t="n"/>
      <c r="H410" s="17" t="n"/>
      <c r="I410" s="17" t="n"/>
      <c r="J410" s="17" t="n"/>
      <c r="K410" s="17" t="n"/>
      <c r="L410" s="17" t="n"/>
      <c r="M410" s="17" t="n"/>
    </row>
    <row r="411" ht="15" customHeight="1" s="12">
      <c r="A411" s="17" t="n"/>
      <c r="B411" s="17" t="n"/>
      <c r="C411" s="17" t="n"/>
      <c r="D411" s="17" t="n"/>
      <c r="E411" s="17" t="n"/>
      <c r="F411" s="17" t="n"/>
      <c r="G411" s="17" t="n"/>
      <c r="H411" s="17" t="n"/>
      <c r="I411" s="17" t="n"/>
      <c r="J411" s="17" t="n"/>
      <c r="K411" s="17" t="n"/>
      <c r="L411" s="17" t="n"/>
      <c r="M411" s="17" t="n"/>
    </row>
    <row r="412" ht="15" customHeight="1" s="12">
      <c r="A412" s="17" t="n"/>
      <c r="B412" s="17" t="n"/>
      <c r="C412" s="17" t="n"/>
      <c r="D412" s="17" t="n"/>
      <c r="E412" s="17" t="n"/>
      <c r="F412" s="17" t="n"/>
      <c r="G412" s="17" t="n"/>
      <c r="H412" s="17" t="n"/>
      <c r="I412" s="17" t="n"/>
      <c r="J412" s="17" t="n"/>
      <c r="K412" s="17" t="n"/>
      <c r="L412" s="17" t="n"/>
      <c r="M412" s="17" t="n"/>
    </row>
    <row r="413" ht="15" customHeight="1" s="12">
      <c r="A413" s="17" t="n"/>
      <c r="B413" s="17" t="n"/>
      <c r="C413" s="17" t="n"/>
      <c r="D413" s="17" t="n"/>
      <c r="E413" s="17" t="n"/>
      <c r="F413" s="17" t="n"/>
      <c r="G413" s="17" t="n"/>
      <c r="H413" s="17" t="n"/>
      <c r="I413" s="17" t="n"/>
      <c r="J413" s="17" t="n"/>
      <c r="K413" s="17" t="n"/>
      <c r="L413" s="17" t="n"/>
      <c r="M413" s="17" t="n"/>
    </row>
    <row r="414" ht="15" customHeight="1" s="12">
      <c r="A414" s="17" t="n"/>
      <c r="B414" s="17" t="n"/>
      <c r="C414" s="17" t="n"/>
      <c r="D414" s="17" t="n"/>
      <c r="E414" s="17" t="n"/>
      <c r="F414" s="17" t="n"/>
      <c r="G414" s="17" t="n"/>
      <c r="H414" s="17" t="n"/>
      <c r="I414" s="17" t="n"/>
      <c r="J414" s="17" t="n"/>
      <c r="K414" s="17" t="n"/>
      <c r="L414" s="17" t="n"/>
      <c r="M414" s="17" t="n"/>
    </row>
    <row r="415" ht="15" customHeight="1" s="12">
      <c r="A415" s="17" t="n"/>
      <c r="B415" s="17" t="n"/>
      <c r="C415" s="17" t="n"/>
      <c r="D415" s="17" t="n"/>
      <c r="E415" s="17" t="n"/>
      <c r="F415" s="17" t="n"/>
      <c r="G415" s="17" t="n"/>
      <c r="H415" s="17" t="n"/>
      <c r="I415" s="17" t="n"/>
      <c r="J415" s="17" t="n"/>
      <c r="K415" s="17" t="n"/>
      <c r="L415" s="17" t="n"/>
      <c r="M415" s="17" t="n"/>
    </row>
    <row r="416" ht="15" customHeight="1" s="12">
      <c r="A416" s="17" t="n"/>
      <c r="B416" s="17" t="n"/>
      <c r="C416" s="17" t="n"/>
      <c r="D416" s="17" t="n"/>
      <c r="E416" s="17" t="n"/>
      <c r="F416" s="17" t="n"/>
      <c r="G416" s="17" t="n"/>
      <c r="H416" s="17" t="n"/>
      <c r="I416" s="17" t="n"/>
      <c r="J416" s="17" t="n"/>
      <c r="K416" s="17" t="n"/>
      <c r="L416" s="17" t="n"/>
      <c r="M416" s="17" t="n"/>
    </row>
    <row r="417" ht="15" customHeight="1" s="12">
      <c r="A417" s="17" t="n"/>
      <c r="B417" s="17" t="n"/>
      <c r="C417" s="17" t="n"/>
      <c r="D417" s="17" t="n"/>
      <c r="E417" s="17" t="n"/>
      <c r="F417" s="17" t="n"/>
      <c r="G417" s="17" t="n"/>
      <c r="H417" s="17" t="n"/>
      <c r="I417" s="17" t="n"/>
      <c r="J417" s="17" t="n"/>
      <c r="K417" s="17" t="n"/>
      <c r="L417" s="17" t="n"/>
      <c r="M417" s="17" t="n"/>
    </row>
    <row r="418" ht="15" customHeight="1" s="12">
      <c r="A418" s="17" t="n"/>
      <c r="B418" s="17" t="n"/>
      <c r="C418" s="17" t="n"/>
      <c r="D418" s="17" t="n"/>
      <c r="E418" s="17" t="n"/>
      <c r="F418" s="17" t="n"/>
      <c r="G418" s="17" t="n"/>
      <c r="H418" s="17" t="n"/>
      <c r="I418" s="17" t="n"/>
      <c r="J418" s="17" t="n"/>
      <c r="K418" s="17" t="n"/>
      <c r="L418" s="17" t="n"/>
      <c r="M418" s="17" t="n"/>
    </row>
    <row r="419" ht="15" customHeight="1" s="12">
      <c r="A419" s="17" t="n"/>
      <c r="B419" s="17" t="n"/>
      <c r="C419" s="17" t="n"/>
      <c r="D419" s="17" t="n"/>
      <c r="E419" s="17" t="n"/>
      <c r="F419" s="17" t="n"/>
      <c r="G419" s="17" t="n"/>
      <c r="H419" s="17" t="n"/>
      <c r="I419" s="17" t="n"/>
      <c r="J419" s="17" t="n"/>
      <c r="K419" s="17" t="n"/>
      <c r="L419" s="17" t="n"/>
      <c r="M419" s="17" t="n"/>
    </row>
    <row r="420" ht="15" customHeight="1" s="12">
      <c r="A420" s="17" t="n"/>
      <c r="B420" s="17" t="n"/>
      <c r="C420" s="17" t="n"/>
      <c r="D420" s="17" t="n"/>
      <c r="E420" s="17" t="n"/>
      <c r="F420" s="17" t="n"/>
      <c r="G420" s="17" t="n"/>
      <c r="H420" s="17" t="n"/>
      <c r="I420" s="17" t="n"/>
      <c r="J420" s="17" t="n"/>
      <c r="K420" s="17" t="n"/>
      <c r="L420" s="17" t="n"/>
      <c r="M420" s="17" t="n"/>
    </row>
    <row r="421" ht="15" customHeight="1" s="12">
      <c r="A421" s="17" t="n"/>
      <c r="B421" s="17" t="n"/>
      <c r="C421" s="17" t="n"/>
      <c r="D421" s="17" t="n"/>
      <c r="E421" s="17" t="n"/>
      <c r="F421" s="17" t="n"/>
      <c r="G421" s="17" t="n"/>
      <c r="H421" s="17" t="n"/>
      <c r="I421" s="17" t="n"/>
      <c r="J421" s="17" t="n"/>
      <c r="K421" s="17" t="n"/>
      <c r="L421" s="17" t="n"/>
      <c r="M421" s="17" t="n"/>
    </row>
    <row r="422" ht="15" customHeight="1" s="12">
      <c r="A422" s="17" t="n"/>
      <c r="B422" s="17" t="n"/>
      <c r="C422" s="17" t="n"/>
      <c r="D422" s="17" t="n"/>
      <c r="E422" s="17" t="n"/>
      <c r="F422" s="17" t="n"/>
      <c r="G422" s="17" t="n"/>
      <c r="H422" s="17" t="n"/>
      <c r="I422" s="17" t="n"/>
      <c r="J422" s="17" t="n"/>
      <c r="K422" s="17" t="n"/>
      <c r="L422" s="17" t="n"/>
      <c r="M422" s="17" t="n"/>
    </row>
    <row r="423" ht="15" customHeight="1" s="12">
      <c r="A423" s="17" t="n"/>
      <c r="B423" s="17" t="n"/>
      <c r="C423" s="17" t="n"/>
      <c r="D423" s="17" t="n"/>
      <c r="E423" s="17" t="n"/>
      <c r="F423" s="17" t="n"/>
      <c r="G423" s="17" t="n"/>
      <c r="H423" s="17" t="n"/>
      <c r="I423" s="17" t="n"/>
      <c r="J423" s="17" t="n"/>
      <c r="K423" s="17" t="n"/>
      <c r="L423" s="17" t="n"/>
      <c r="M423" s="17" t="n"/>
    </row>
    <row r="424" ht="15" customHeight="1" s="12">
      <c r="A424" s="17" t="n"/>
      <c r="B424" s="17" t="n"/>
      <c r="C424" s="17" t="n"/>
      <c r="D424" s="17" t="n"/>
      <c r="E424" s="17" t="n"/>
      <c r="F424" s="17" t="n"/>
      <c r="G424" s="17" t="n"/>
      <c r="H424" s="17" t="n"/>
      <c r="I424" s="17" t="n"/>
      <c r="J424" s="17" t="n"/>
      <c r="K424" s="17" t="n"/>
      <c r="L424" s="17" t="n"/>
      <c r="M424" s="17" t="n"/>
    </row>
    <row r="425" ht="15" customHeight="1" s="12">
      <c r="A425" s="17" t="n"/>
      <c r="B425" s="17" t="n"/>
      <c r="C425" s="17" t="n"/>
      <c r="D425" s="17" t="n"/>
      <c r="E425" s="17" t="n"/>
      <c r="F425" s="17" t="n"/>
      <c r="G425" s="17" t="n"/>
      <c r="H425" s="17" t="n"/>
      <c r="I425" s="17" t="n"/>
      <c r="J425" s="17" t="n"/>
      <c r="K425" s="17" t="n"/>
      <c r="L425" s="17" t="n"/>
      <c r="M425" s="17" t="n"/>
    </row>
    <row r="426" ht="15" customHeight="1" s="12">
      <c r="A426" s="17" t="n"/>
      <c r="B426" s="17" t="n"/>
      <c r="C426" s="17" t="n"/>
      <c r="D426" s="17" t="n"/>
      <c r="E426" s="17" t="n"/>
      <c r="F426" s="17" t="n"/>
      <c r="G426" s="17" t="n"/>
      <c r="H426" s="17" t="n"/>
      <c r="I426" s="17" t="n"/>
      <c r="J426" s="17" t="n"/>
      <c r="K426" s="17" t="n"/>
      <c r="L426" s="17" t="n"/>
      <c r="M426" s="17" t="n"/>
    </row>
    <row r="427" ht="15" customHeight="1" s="12">
      <c r="A427" s="17" t="n"/>
      <c r="B427" s="17" t="n"/>
      <c r="C427" s="17" t="n"/>
      <c r="D427" s="17" t="n"/>
      <c r="E427" s="17" t="n"/>
      <c r="F427" s="17" t="n"/>
      <c r="G427" s="17" t="n"/>
      <c r="H427" s="17" t="n"/>
      <c r="I427" s="17" t="n"/>
      <c r="J427" s="17" t="n"/>
      <c r="K427" s="17" t="n"/>
      <c r="L427" s="17" t="n"/>
      <c r="M427" s="17" t="n"/>
    </row>
    <row r="428" ht="15" customHeight="1" s="12">
      <c r="A428" s="17" t="n"/>
      <c r="B428" s="17" t="n"/>
      <c r="C428" s="17" t="n"/>
      <c r="D428" s="17" t="n"/>
      <c r="E428" s="17" t="n"/>
      <c r="F428" s="17" t="n"/>
      <c r="G428" s="17" t="n"/>
      <c r="H428" s="17" t="n"/>
      <c r="I428" s="17" t="n"/>
      <c r="J428" s="17" t="n"/>
      <c r="K428" s="17" t="n"/>
      <c r="L428" s="17" t="n"/>
      <c r="M428" s="17" t="n"/>
    </row>
    <row r="429" ht="15" customHeight="1" s="12">
      <c r="A429" s="17" t="n"/>
      <c r="B429" s="17" t="n"/>
      <c r="C429" s="17" t="n"/>
      <c r="D429" s="17" t="n"/>
      <c r="E429" s="17" t="n"/>
      <c r="F429" s="17" t="n"/>
      <c r="G429" s="17" t="n"/>
      <c r="H429" s="17" t="n"/>
      <c r="I429" s="17" t="n"/>
      <c r="J429" s="17" t="n"/>
      <c r="K429" s="17" t="n"/>
      <c r="L429" s="17" t="n"/>
      <c r="M429" s="17" t="n"/>
    </row>
    <row r="430" ht="15" customHeight="1" s="12">
      <c r="A430" s="17" t="n"/>
      <c r="B430" s="17" t="n"/>
      <c r="C430" s="17" t="n"/>
      <c r="D430" s="17" t="n"/>
      <c r="E430" s="17" t="n"/>
      <c r="F430" s="17" t="n"/>
      <c r="G430" s="17" t="n"/>
      <c r="H430" s="17" t="n"/>
      <c r="I430" s="17" t="n"/>
      <c r="J430" s="17" t="n"/>
      <c r="K430" s="17" t="n"/>
      <c r="L430" s="17" t="n"/>
      <c r="M430" s="17" t="n"/>
    </row>
    <row r="431" ht="15" customHeight="1" s="12">
      <c r="A431" s="17" t="n"/>
      <c r="B431" s="17" t="n"/>
      <c r="C431" s="17" t="n"/>
      <c r="D431" s="17" t="n"/>
      <c r="E431" s="17" t="n"/>
      <c r="F431" s="17" t="n"/>
      <c r="G431" s="17" t="n"/>
      <c r="H431" s="17" t="n"/>
      <c r="I431" s="17" t="n"/>
      <c r="J431" s="17" t="n"/>
      <c r="K431" s="17" t="n"/>
      <c r="L431" s="17" t="n"/>
      <c r="M431" s="17" t="n"/>
    </row>
    <row r="432" ht="15" customHeight="1" s="12">
      <c r="A432" s="17" t="n"/>
      <c r="B432" s="17" t="n"/>
      <c r="C432" s="17" t="n"/>
      <c r="D432" s="17" t="n"/>
      <c r="E432" s="17" t="n"/>
      <c r="F432" s="17" t="n"/>
      <c r="G432" s="17" t="n"/>
      <c r="H432" s="17" t="n"/>
      <c r="I432" s="17" t="n"/>
      <c r="J432" s="17" t="n"/>
      <c r="K432" s="17" t="n"/>
      <c r="L432" s="17" t="n"/>
      <c r="M432" s="17" t="n"/>
    </row>
    <row r="433" ht="15" customHeight="1" s="12">
      <c r="A433" s="17" t="n"/>
      <c r="B433" s="17" t="n"/>
      <c r="C433" s="17" t="n"/>
      <c r="D433" s="17" t="n"/>
      <c r="E433" s="17" t="n"/>
      <c r="F433" s="17" t="n"/>
      <c r="G433" s="17" t="n"/>
      <c r="H433" s="17" t="n"/>
      <c r="I433" s="17" t="n"/>
      <c r="J433" s="17" t="n"/>
      <c r="K433" s="17" t="n"/>
      <c r="L433" s="17" t="n"/>
      <c r="M433" s="17" t="n"/>
    </row>
    <row r="434" ht="15" customHeight="1" s="12">
      <c r="A434" s="17" t="n"/>
      <c r="B434" s="17" t="n"/>
      <c r="C434" s="17" t="n"/>
      <c r="D434" s="17" t="n"/>
      <c r="E434" s="17" t="n"/>
      <c r="F434" s="17" t="n"/>
      <c r="G434" s="17" t="n"/>
      <c r="H434" s="17" t="n"/>
      <c r="I434" s="17" t="n"/>
      <c r="J434" s="17" t="n"/>
      <c r="K434" s="17" t="n"/>
      <c r="L434" s="17" t="n"/>
      <c r="M434" s="17" t="n"/>
    </row>
    <row r="435" ht="15" customHeight="1" s="12">
      <c r="A435" s="17" t="n"/>
      <c r="B435" s="17" t="n"/>
      <c r="C435" s="17" t="n"/>
      <c r="D435" s="17" t="n"/>
      <c r="E435" s="17" t="n"/>
      <c r="F435" s="17" t="n"/>
      <c r="G435" s="17" t="n"/>
      <c r="H435" s="17" t="n"/>
      <c r="I435" s="17" t="n"/>
      <c r="J435" s="17" t="n"/>
      <c r="K435" s="17" t="n"/>
      <c r="L435" s="17" t="n"/>
      <c r="M435" s="17" t="n"/>
    </row>
    <row r="436" ht="15" customHeight="1" s="12">
      <c r="A436" s="17" t="n"/>
      <c r="B436" s="17" t="n"/>
      <c r="C436" s="17" t="n"/>
      <c r="D436" s="17" t="n"/>
      <c r="E436" s="17" t="n"/>
      <c r="F436" s="17" t="n"/>
      <c r="G436" s="17" t="n"/>
      <c r="H436" s="17" t="n"/>
      <c r="I436" s="17" t="n"/>
      <c r="J436" s="17" t="n"/>
      <c r="K436" s="17" t="n"/>
      <c r="L436" s="17" t="n"/>
      <c r="M436" s="17" t="n"/>
    </row>
    <row r="437" ht="15" customHeight="1" s="12">
      <c r="A437" s="17" t="n"/>
      <c r="B437" s="17" t="n"/>
      <c r="C437" s="17" t="n"/>
      <c r="D437" s="17" t="n"/>
      <c r="E437" s="17" t="n"/>
      <c r="F437" s="17" t="n"/>
      <c r="G437" s="17" t="n"/>
      <c r="H437" s="17" t="n"/>
      <c r="I437" s="17" t="n"/>
      <c r="J437" s="17" t="n"/>
      <c r="K437" s="17" t="n"/>
      <c r="L437" s="17" t="n"/>
      <c r="M437" s="17" t="n"/>
    </row>
    <row r="438" ht="15" customHeight="1" s="12">
      <c r="A438" s="17" t="n"/>
      <c r="B438" s="17" t="n"/>
      <c r="C438" s="17" t="n"/>
      <c r="D438" s="17" t="n"/>
      <c r="E438" s="17" t="n"/>
      <c r="F438" s="17" t="n"/>
      <c r="G438" s="17" t="n"/>
      <c r="H438" s="17" t="n"/>
      <c r="I438" s="17" t="n"/>
      <c r="J438" s="17" t="n"/>
      <c r="K438" s="17" t="n"/>
      <c r="L438" s="17" t="n"/>
      <c r="M438" s="17" t="n"/>
    </row>
    <row r="439" ht="15" customHeight="1" s="12">
      <c r="A439" s="17" t="n"/>
      <c r="B439" s="17" t="n"/>
      <c r="C439" s="17" t="n"/>
      <c r="D439" s="17" t="n"/>
      <c r="E439" s="17" t="n"/>
      <c r="F439" s="17" t="n"/>
      <c r="G439" s="17" t="n"/>
      <c r="H439" s="17" t="n"/>
      <c r="I439" s="17" t="n"/>
      <c r="J439" s="17" t="n"/>
      <c r="K439" s="17" t="n"/>
      <c r="L439" s="17" t="n"/>
      <c r="M439" s="17" t="n"/>
    </row>
    <row r="440" ht="15" customHeight="1" s="12">
      <c r="A440" s="17" t="n"/>
      <c r="B440" s="17" t="n"/>
      <c r="C440" s="17" t="n"/>
      <c r="D440" s="17" t="n"/>
      <c r="E440" s="17" t="n"/>
      <c r="F440" s="17" t="n"/>
      <c r="G440" s="17" t="n"/>
      <c r="H440" s="17" t="n"/>
      <c r="I440" s="17" t="n"/>
      <c r="J440" s="17" t="n"/>
      <c r="K440" s="17" t="n"/>
      <c r="L440" s="17" t="n"/>
      <c r="M440" s="17" t="n"/>
    </row>
    <row r="441" ht="15" customHeight="1" s="12">
      <c r="A441" s="17" t="n"/>
      <c r="B441" s="17" t="n"/>
      <c r="C441" s="17" t="n"/>
      <c r="D441" s="17" t="n"/>
      <c r="E441" s="17" t="n"/>
      <c r="F441" s="17" t="n"/>
      <c r="G441" s="17" t="n"/>
      <c r="H441" s="17" t="n"/>
      <c r="I441" s="17" t="n"/>
      <c r="J441" s="17" t="n"/>
      <c r="K441" s="17" t="n"/>
      <c r="L441" s="17" t="n"/>
      <c r="M441" s="17" t="n"/>
    </row>
    <row r="442" ht="15" customHeight="1" s="12">
      <c r="A442" s="17" t="n"/>
      <c r="B442" s="17" t="n"/>
      <c r="C442" s="17" t="n"/>
      <c r="D442" s="17" t="n"/>
      <c r="E442" s="17" t="n"/>
      <c r="F442" s="17" t="n"/>
      <c r="G442" s="17" t="n"/>
      <c r="H442" s="17" t="n"/>
      <c r="I442" s="17" t="n"/>
      <c r="J442" s="17" t="n"/>
      <c r="K442" s="17" t="n"/>
      <c r="L442" s="17" t="n"/>
      <c r="M442" s="17" t="n"/>
    </row>
    <row r="443" ht="15" customHeight="1" s="12">
      <c r="A443" s="17" t="n"/>
      <c r="B443" s="17" t="n"/>
      <c r="C443" s="17" t="n"/>
      <c r="D443" s="17" t="n"/>
      <c r="E443" s="17" t="n"/>
      <c r="F443" s="17" t="n"/>
      <c r="G443" s="17" t="n"/>
      <c r="H443" s="17" t="n"/>
      <c r="I443" s="17" t="n"/>
      <c r="J443" s="17" t="n"/>
      <c r="K443" s="17" t="n"/>
      <c r="L443" s="17" t="n"/>
      <c r="M443" s="17" t="n"/>
    </row>
    <row r="444" ht="15" customHeight="1" s="12">
      <c r="A444" s="17" t="n"/>
      <c r="B444" s="17" t="n"/>
      <c r="C444" s="17" t="n"/>
      <c r="D444" s="17" t="n"/>
      <c r="E444" s="17" t="n"/>
      <c r="F444" s="17" t="n"/>
      <c r="G444" s="17" t="n"/>
      <c r="H444" s="17" t="n"/>
      <c r="I444" s="17" t="n"/>
      <c r="J444" s="17" t="n"/>
      <c r="K444" s="17" t="n"/>
      <c r="L444" s="17" t="n"/>
      <c r="M444" s="17" t="n"/>
    </row>
    <row r="445" ht="15" customHeight="1" s="12">
      <c r="A445" s="17" t="n"/>
      <c r="B445" s="17" t="n"/>
      <c r="C445" s="17" t="n"/>
      <c r="D445" s="17" t="n"/>
      <c r="E445" s="17" t="n"/>
      <c r="F445" s="17" t="n"/>
      <c r="G445" s="17" t="n"/>
      <c r="H445" s="17" t="n"/>
      <c r="I445" s="17" t="n"/>
      <c r="J445" s="17" t="n"/>
      <c r="K445" s="17" t="n"/>
      <c r="L445" s="17" t="n"/>
      <c r="M445" s="17" t="n"/>
    </row>
    <row r="446" ht="15" customHeight="1" s="12">
      <c r="A446" s="17" t="n"/>
      <c r="B446" s="17" t="n"/>
      <c r="C446" s="17" t="n"/>
      <c r="D446" s="17" t="n"/>
      <c r="E446" s="17" t="n"/>
      <c r="F446" s="17" t="n"/>
      <c r="G446" s="17" t="n"/>
      <c r="H446" s="17" t="n"/>
      <c r="I446" s="17" t="n"/>
      <c r="J446" s="17" t="n"/>
      <c r="K446" s="17" t="n"/>
      <c r="L446" s="17" t="n"/>
      <c r="M446" s="17" t="n"/>
    </row>
    <row r="447" ht="15" customHeight="1" s="12">
      <c r="A447" s="17" t="n"/>
      <c r="B447" s="17" t="n"/>
      <c r="C447" s="17" t="n"/>
      <c r="D447" s="17" t="n"/>
      <c r="E447" s="17" t="n"/>
      <c r="F447" s="17" t="n"/>
      <c r="G447" s="17" t="n"/>
      <c r="H447" s="17" t="n"/>
      <c r="I447" s="17" t="n"/>
      <c r="J447" s="17" t="n"/>
      <c r="K447" s="17" t="n"/>
      <c r="L447" s="17" t="n"/>
      <c r="M447" s="17" t="n"/>
    </row>
    <row r="448" ht="15" customHeight="1" s="12">
      <c r="A448" s="17" t="n"/>
      <c r="B448" s="17" t="n"/>
      <c r="C448" s="17" t="n"/>
      <c r="D448" s="17" t="n"/>
      <c r="E448" s="17" t="n"/>
      <c r="F448" s="17" t="n"/>
      <c r="G448" s="17" t="n"/>
      <c r="H448" s="17" t="n"/>
      <c r="I448" s="17" t="n"/>
      <c r="J448" s="17" t="n"/>
      <c r="K448" s="17" t="n"/>
      <c r="L448" s="17" t="n"/>
      <c r="M448" s="17" t="n"/>
    </row>
    <row r="449" ht="15" customHeight="1" s="12">
      <c r="A449" s="17" t="n"/>
      <c r="B449" s="17" t="n"/>
      <c r="C449" s="17" t="n"/>
      <c r="D449" s="17" t="n"/>
      <c r="E449" s="17" t="n"/>
      <c r="F449" s="17" t="n"/>
      <c r="G449" s="17" t="n"/>
      <c r="H449" s="17" t="n"/>
      <c r="I449" s="17" t="n"/>
      <c r="J449" s="17" t="n"/>
      <c r="K449" s="17" t="n"/>
      <c r="L449" s="17" t="n"/>
      <c r="M449" s="17" t="n"/>
    </row>
    <row r="450" ht="15" customHeight="1" s="12">
      <c r="A450" s="17" t="n"/>
      <c r="B450" s="17" t="n"/>
      <c r="C450" s="17" t="n"/>
      <c r="D450" s="17" t="n"/>
      <c r="E450" s="17" t="n"/>
      <c r="F450" s="17" t="n"/>
      <c r="G450" s="17" t="n"/>
      <c r="H450" s="17" t="n"/>
      <c r="I450" s="17" t="n"/>
      <c r="J450" s="17" t="n"/>
      <c r="K450" s="17" t="n"/>
      <c r="L450" s="17" t="n"/>
      <c r="M450" s="17" t="n"/>
    </row>
    <row r="451" ht="15" customHeight="1" s="12">
      <c r="A451" s="17" t="n"/>
      <c r="B451" s="17" t="n"/>
      <c r="C451" s="17" t="n"/>
      <c r="D451" s="17" t="n"/>
      <c r="E451" s="17" t="n"/>
      <c r="F451" s="17" t="n"/>
      <c r="G451" s="17" t="n"/>
      <c r="H451" s="17" t="n"/>
      <c r="I451" s="17" t="n"/>
      <c r="J451" s="17" t="n"/>
      <c r="K451" s="17" t="n"/>
      <c r="L451" s="17" t="n"/>
      <c r="M451" s="17" t="n"/>
    </row>
    <row r="452" ht="15" customHeight="1" s="12">
      <c r="A452" s="17" t="n"/>
      <c r="B452" s="17" t="n"/>
      <c r="C452" s="17" t="n"/>
      <c r="D452" s="17" t="n"/>
      <c r="E452" s="17" t="n"/>
      <c r="F452" s="17" t="n"/>
      <c r="G452" s="17" t="n"/>
      <c r="H452" s="17" t="n"/>
      <c r="I452" s="17" t="n"/>
      <c r="J452" s="17" t="n"/>
      <c r="K452" s="17" t="n"/>
      <c r="L452" s="17" t="n"/>
      <c r="M452" s="17" t="n"/>
    </row>
    <row r="453" ht="15" customHeight="1" s="12">
      <c r="A453" s="17" t="n"/>
      <c r="B453" s="17" t="n"/>
      <c r="C453" s="17" t="n"/>
      <c r="D453" s="17" t="n"/>
      <c r="E453" s="17" t="n"/>
      <c r="F453" s="17" t="n"/>
      <c r="G453" s="17" t="n"/>
      <c r="H453" s="17" t="n"/>
      <c r="I453" s="17" t="n"/>
      <c r="J453" s="17" t="n"/>
      <c r="K453" s="17" t="n"/>
      <c r="L453" s="17" t="n"/>
      <c r="M453" s="17" t="n"/>
    </row>
    <row r="454" ht="15" customHeight="1" s="12">
      <c r="A454" s="17" t="n"/>
      <c r="B454" s="17" t="n"/>
      <c r="C454" s="17" t="n"/>
      <c r="D454" s="17" t="n"/>
      <c r="E454" s="17" t="n"/>
      <c r="F454" s="17" t="n"/>
      <c r="G454" s="17" t="n"/>
      <c r="H454" s="17" t="n"/>
      <c r="I454" s="17" t="n"/>
      <c r="J454" s="17" t="n"/>
      <c r="K454" s="17" t="n"/>
      <c r="L454" s="17" t="n"/>
      <c r="M454" s="17" t="n"/>
    </row>
    <row r="455" ht="15" customHeight="1" s="12">
      <c r="A455" s="17" t="n"/>
      <c r="B455" s="17" t="n"/>
      <c r="C455" s="17" t="n"/>
      <c r="D455" s="17" t="n"/>
      <c r="E455" s="17" t="n"/>
      <c r="F455" s="17" t="n"/>
      <c r="G455" s="17" t="n"/>
      <c r="H455" s="17" t="n"/>
      <c r="I455" s="17" t="n"/>
      <c r="J455" s="17" t="n"/>
      <c r="K455" s="17" t="n"/>
      <c r="L455" s="17" t="n"/>
      <c r="M455" s="17" t="n"/>
    </row>
    <row r="456" ht="15" customHeight="1" s="12">
      <c r="A456" s="17" t="n"/>
      <c r="B456" s="17" t="n"/>
      <c r="C456" s="17" t="n"/>
      <c r="D456" s="17" t="n"/>
      <c r="E456" s="17" t="n"/>
      <c r="F456" s="17" t="n"/>
      <c r="G456" s="17" t="n"/>
      <c r="H456" s="17" t="n"/>
      <c r="I456" s="17" t="n"/>
      <c r="J456" s="17" t="n"/>
      <c r="K456" s="17" t="n"/>
      <c r="L456" s="17" t="n"/>
      <c r="M456" s="17" t="n"/>
    </row>
    <row r="457" ht="15" customHeight="1" s="12">
      <c r="A457" s="17" t="n"/>
      <c r="B457" s="17" t="n"/>
      <c r="C457" s="17" t="n"/>
      <c r="D457" s="17" t="n"/>
      <c r="E457" s="17" t="n"/>
      <c r="F457" s="17" t="n"/>
      <c r="G457" s="17" t="n"/>
      <c r="H457" s="17" t="n"/>
      <c r="I457" s="17" t="n"/>
      <c r="J457" s="17" t="n"/>
      <c r="K457" s="17" t="n"/>
      <c r="L457" s="17" t="n"/>
      <c r="M457" s="17" t="n"/>
    </row>
    <row r="458" ht="15" customHeight="1" s="12">
      <c r="A458" s="17" t="n"/>
      <c r="B458" s="17" t="n"/>
      <c r="C458" s="17" t="n"/>
      <c r="D458" s="17" t="n"/>
      <c r="E458" s="17" t="n"/>
      <c r="F458" s="17" t="n"/>
      <c r="G458" s="17" t="n"/>
      <c r="H458" s="17" t="n"/>
      <c r="I458" s="17" t="n"/>
      <c r="J458" s="17" t="n"/>
      <c r="K458" s="17" t="n"/>
      <c r="L458" s="17" t="n"/>
      <c r="M458" s="17" t="n"/>
    </row>
    <row r="459" ht="15" customHeight="1" s="12">
      <c r="A459" s="17" t="n"/>
      <c r="B459" s="17" t="n"/>
      <c r="C459" s="17" t="n"/>
      <c r="D459" s="17" t="n"/>
      <c r="E459" s="17" t="n"/>
      <c r="F459" s="17" t="n"/>
      <c r="G459" s="17" t="n"/>
      <c r="H459" s="17" t="n"/>
      <c r="I459" s="17" t="n"/>
      <c r="J459" s="17" t="n"/>
      <c r="K459" s="17" t="n"/>
      <c r="L459" s="17" t="n"/>
      <c r="M459" s="17" t="n"/>
    </row>
    <row r="460" ht="15" customHeight="1" s="12">
      <c r="A460" s="17" t="n"/>
      <c r="B460" s="17" t="n"/>
      <c r="C460" s="17" t="n"/>
      <c r="D460" s="17" t="n"/>
      <c r="E460" s="17" t="n"/>
      <c r="F460" s="17" t="n"/>
      <c r="G460" s="17" t="n"/>
      <c r="H460" s="17" t="n"/>
      <c r="I460" s="17" t="n"/>
      <c r="J460" s="17" t="n"/>
      <c r="K460" s="17" t="n"/>
      <c r="L460" s="17" t="n"/>
      <c r="M460" s="17" t="n"/>
    </row>
    <row r="461" ht="15" customHeight="1" s="12">
      <c r="A461" s="17" t="n"/>
      <c r="B461" s="17" t="n"/>
      <c r="C461" s="17" t="n"/>
      <c r="D461" s="17" t="n"/>
      <c r="E461" s="17" t="n"/>
      <c r="F461" s="17" t="n"/>
      <c r="G461" s="17" t="n"/>
      <c r="H461" s="17" t="n"/>
      <c r="I461" s="17" t="n"/>
      <c r="J461" s="17" t="n"/>
      <c r="K461" s="17" t="n"/>
      <c r="L461" s="17" t="n"/>
      <c r="M461" s="17" t="n"/>
    </row>
    <row r="462" ht="15" customHeight="1" s="12">
      <c r="A462" s="17" t="n"/>
      <c r="B462" s="17" t="n"/>
      <c r="C462" s="17" t="n"/>
      <c r="D462" s="17" t="n"/>
      <c r="E462" s="17" t="n"/>
      <c r="F462" s="17" t="n"/>
      <c r="G462" s="17" t="n"/>
      <c r="H462" s="17" t="n"/>
      <c r="I462" s="17" t="n"/>
      <c r="J462" s="17" t="n"/>
      <c r="K462" s="17" t="n"/>
      <c r="L462" s="17" t="n"/>
      <c r="M462" s="17" t="n"/>
    </row>
    <row r="463" ht="15" customHeight="1" s="12">
      <c r="A463" s="17" t="n"/>
      <c r="B463" s="17" t="n"/>
      <c r="C463" s="17" t="n"/>
      <c r="D463" s="17" t="n"/>
      <c r="E463" s="17" t="n"/>
      <c r="F463" s="17" t="n"/>
      <c r="G463" s="17" t="n"/>
      <c r="H463" s="17" t="n"/>
      <c r="I463" s="17" t="n"/>
      <c r="J463" s="17" t="n"/>
      <c r="K463" s="17" t="n"/>
      <c r="L463" s="17" t="n"/>
      <c r="M463" s="17" t="n"/>
    </row>
    <row r="464" ht="15" customHeight="1" s="12">
      <c r="A464" s="17" t="n"/>
      <c r="B464" s="17" t="n"/>
      <c r="C464" s="17" t="n"/>
      <c r="D464" s="17" t="n"/>
      <c r="E464" s="17" t="n"/>
      <c r="F464" s="17" t="n"/>
      <c r="G464" s="17" t="n"/>
      <c r="H464" s="17" t="n"/>
      <c r="I464" s="17" t="n"/>
      <c r="J464" s="17" t="n"/>
      <c r="K464" s="17" t="n"/>
      <c r="L464" s="17" t="n"/>
      <c r="M464" s="17" t="n"/>
    </row>
    <row r="465" ht="15" customHeight="1" s="12">
      <c r="A465" s="17" t="n"/>
      <c r="B465" s="17" t="n"/>
      <c r="C465" s="17" t="n"/>
      <c r="D465" s="17" t="n"/>
      <c r="E465" s="17" t="n"/>
      <c r="F465" s="17" t="n"/>
      <c r="G465" s="17" t="n"/>
      <c r="H465" s="17" t="n"/>
      <c r="I465" s="17" t="n"/>
      <c r="J465" s="17" t="n"/>
      <c r="K465" s="17" t="n"/>
      <c r="L465" s="17" t="n"/>
      <c r="M465" s="17" t="n"/>
    </row>
    <row r="466" ht="15" customHeight="1" s="12">
      <c r="A466" s="17" t="n"/>
      <c r="B466" s="17" t="n"/>
      <c r="C466" s="17" t="n"/>
      <c r="D466" s="17" t="n"/>
      <c r="E466" s="17" t="n"/>
      <c r="F466" s="17" t="n"/>
      <c r="G466" s="17" t="n"/>
      <c r="H466" s="17" t="n"/>
      <c r="I466" s="17" t="n"/>
      <c r="J466" s="17" t="n"/>
      <c r="K466" s="17" t="n"/>
      <c r="L466" s="17" t="n"/>
      <c r="M466" s="17" t="n"/>
    </row>
    <row r="467" ht="15" customHeight="1" s="12">
      <c r="A467" s="17" t="n"/>
      <c r="B467" s="17" t="n"/>
      <c r="C467" s="17" t="n"/>
      <c r="D467" s="17" t="n"/>
      <c r="E467" s="17" t="n"/>
      <c r="F467" s="17" t="n"/>
      <c r="G467" s="17" t="n"/>
      <c r="H467" s="17" t="n"/>
      <c r="I467" s="17" t="n"/>
      <c r="J467" s="17" t="n"/>
      <c r="K467" s="17" t="n"/>
      <c r="L467" s="17" t="n"/>
      <c r="M467" s="17" t="n"/>
    </row>
    <row r="468" ht="15" customHeight="1" s="12">
      <c r="A468" s="17" t="n"/>
      <c r="B468" s="17" t="n"/>
      <c r="C468" s="17" t="n"/>
      <c r="D468" s="17" t="n"/>
      <c r="E468" s="17" t="n"/>
      <c r="F468" s="17" t="n"/>
      <c r="G468" s="17" t="n"/>
      <c r="H468" s="17" t="n"/>
      <c r="I468" s="17" t="n"/>
      <c r="J468" s="17" t="n"/>
      <c r="K468" s="17" t="n"/>
      <c r="L468" s="17" t="n"/>
      <c r="M468" s="17" t="n"/>
    </row>
    <row r="469" ht="15" customHeight="1" s="12">
      <c r="A469" s="17" t="n"/>
      <c r="B469" s="17" t="n"/>
      <c r="C469" s="17" t="n"/>
      <c r="D469" s="17" t="n"/>
      <c r="E469" s="17" t="n"/>
      <c r="F469" s="17" t="n"/>
      <c r="G469" s="17" t="n"/>
      <c r="H469" s="17" t="n"/>
      <c r="I469" s="17" t="n"/>
      <c r="J469" s="17" t="n"/>
      <c r="K469" s="17" t="n"/>
      <c r="L469" s="17" t="n"/>
      <c r="M469" s="17" t="n"/>
    </row>
    <row r="470" ht="15" customHeight="1" s="12">
      <c r="A470" s="17" t="n"/>
      <c r="B470" s="17" t="n"/>
      <c r="C470" s="17" t="n"/>
      <c r="D470" s="17" t="n"/>
      <c r="E470" s="17" t="n"/>
      <c r="F470" s="17" t="n"/>
      <c r="G470" s="17" t="n"/>
      <c r="H470" s="17" t="n"/>
      <c r="I470" s="17" t="n"/>
      <c r="J470" s="17" t="n"/>
      <c r="K470" s="17" t="n"/>
      <c r="L470" s="17" t="n"/>
      <c r="M470" s="17" t="n"/>
    </row>
    <row r="471" ht="15" customHeight="1" s="12">
      <c r="A471" s="17" t="n"/>
      <c r="B471" s="17" t="n"/>
      <c r="C471" s="17" t="n"/>
      <c r="D471" s="17" t="n"/>
      <c r="E471" s="17" t="n"/>
      <c r="F471" s="17" t="n"/>
      <c r="G471" s="17" t="n"/>
      <c r="H471" s="17" t="n"/>
      <c r="I471" s="17" t="n"/>
      <c r="J471" s="17" t="n"/>
      <c r="K471" s="17" t="n"/>
      <c r="L471" s="17" t="n"/>
      <c r="M471" s="17" t="n"/>
    </row>
    <row r="472" ht="15" customHeight="1" s="12">
      <c r="A472" s="17" t="n"/>
      <c r="B472" s="17" t="n"/>
      <c r="C472" s="17" t="n"/>
      <c r="D472" s="17" t="n"/>
      <c r="E472" s="17" t="n"/>
      <c r="F472" s="17" t="n"/>
      <c r="G472" s="17" t="n"/>
      <c r="H472" s="17" t="n"/>
      <c r="I472" s="17" t="n"/>
      <c r="J472" s="17" t="n"/>
      <c r="K472" s="17" t="n"/>
      <c r="L472" s="17" t="n"/>
      <c r="M472" s="17" t="n"/>
    </row>
    <row r="473" ht="15" customHeight="1" s="12">
      <c r="A473" s="17" t="n"/>
      <c r="B473" s="17" t="n"/>
      <c r="C473" s="17" t="n"/>
      <c r="D473" s="17" t="n"/>
      <c r="E473" s="17" t="n"/>
      <c r="F473" s="17" t="n"/>
      <c r="G473" s="17" t="n"/>
      <c r="H473" s="17" t="n"/>
      <c r="I473" s="17" t="n"/>
      <c r="J473" s="17" t="n"/>
      <c r="K473" s="17" t="n"/>
      <c r="L473" s="17" t="n"/>
      <c r="M473" s="17" t="n"/>
    </row>
    <row r="474" ht="15" customHeight="1" s="12">
      <c r="A474" s="17" t="n"/>
      <c r="B474" s="17" t="n"/>
      <c r="C474" s="17" t="n"/>
      <c r="D474" s="17" t="n"/>
      <c r="E474" s="17" t="n"/>
      <c r="F474" s="17" t="n"/>
      <c r="G474" s="17" t="n"/>
      <c r="H474" s="17" t="n"/>
      <c r="I474" s="17" t="n"/>
      <c r="J474" s="17" t="n"/>
      <c r="K474" s="17" t="n"/>
      <c r="L474" s="17" t="n"/>
      <c r="M474" s="17" t="n"/>
    </row>
    <row r="475" ht="15" customHeight="1" s="12">
      <c r="A475" s="17" t="n"/>
      <c r="B475" s="17" t="n"/>
      <c r="C475" s="17" t="n"/>
      <c r="D475" s="17" t="n"/>
      <c r="E475" s="17" t="n"/>
      <c r="F475" s="17" t="n"/>
      <c r="G475" s="17" t="n"/>
      <c r="H475" s="17" t="n"/>
      <c r="I475" s="17" t="n"/>
      <c r="J475" s="17" t="n"/>
      <c r="K475" s="17" t="n"/>
      <c r="L475" s="17" t="n"/>
      <c r="M475" s="17" t="n"/>
    </row>
    <row r="476" ht="15" customHeight="1" s="12">
      <c r="A476" s="17" t="n"/>
      <c r="B476" s="17" t="n"/>
      <c r="C476" s="17" t="n"/>
      <c r="D476" s="17" t="n"/>
      <c r="E476" s="17" t="n"/>
      <c r="F476" s="17" t="n"/>
      <c r="G476" s="17" t="n"/>
      <c r="H476" s="17" t="n"/>
      <c r="I476" s="17" t="n"/>
      <c r="J476" s="17" t="n"/>
      <c r="K476" s="17" t="n"/>
      <c r="L476" s="17" t="n"/>
      <c r="M476" s="17" t="n"/>
    </row>
    <row r="477" ht="15" customHeight="1" s="12">
      <c r="A477" s="17" t="n"/>
      <c r="B477" s="17" t="n"/>
      <c r="C477" s="17" t="n"/>
      <c r="D477" s="17" t="n"/>
      <c r="E477" s="17" t="n"/>
      <c r="F477" s="17" t="n"/>
      <c r="G477" s="17" t="n"/>
      <c r="H477" s="17" t="n"/>
      <c r="I477" s="17" t="n"/>
      <c r="J477" s="17" t="n"/>
      <c r="K477" s="17" t="n"/>
      <c r="L477" s="17" t="n"/>
      <c r="M477" s="17" t="n"/>
    </row>
    <row r="478" ht="15" customHeight="1" s="12">
      <c r="A478" s="17" t="n"/>
      <c r="B478" s="17" t="n"/>
      <c r="C478" s="17" t="n"/>
      <c r="D478" s="17" t="n"/>
      <c r="E478" s="17" t="n"/>
      <c r="F478" s="17" t="n"/>
      <c r="G478" s="17" t="n"/>
      <c r="H478" s="17" t="n"/>
      <c r="I478" s="17" t="n"/>
      <c r="J478" s="17" t="n"/>
      <c r="K478" s="17" t="n"/>
      <c r="L478" s="17" t="n"/>
      <c r="M478" s="17" t="n"/>
    </row>
    <row r="479" ht="15" customHeight="1" s="12">
      <c r="A479" s="17" t="n"/>
      <c r="B479" s="17" t="n"/>
      <c r="C479" s="17" t="n"/>
      <c r="D479" s="17" t="n"/>
      <c r="E479" s="17" t="n"/>
      <c r="F479" s="17" t="n"/>
      <c r="G479" s="17" t="n"/>
      <c r="H479" s="17" t="n"/>
      <c r="I479" s="17" t="n"/>
      <c r="J479" s="17" t="n"/>
      <c r="K479" s="17" t="n"/>
      <c r="L479" s="17" t="n"/>
      <c r="M479" s="17" t="n"/>
    </row>
    <row r="480" ht="15" customHeight="1" s="12">
      <c r="A480" s="17" t="n"/>
      <c r="B480" s="17" t="n"/>
      <c r="C480" s="17" t="n"/>
      <c r="D480" s="17" t="n"/>
      <c r="E480" s="17" t="n"/>
      <c r="F480" s="17" t="n"/>
      <c r="G480" s="17" t="n"/>
      <c r="H480" s="17" t="n"/>
      <c r="I480" s="17" t="n"/>
      <c r="J480" s="17" t="n"/>
      <c r="K480" s="17" t="n"/>
      <c r="L480" s="17" t="n"/>
      <c r="M480" s="17" t="n"/>
    </row>
    <row r="481" ht="15" customHeight="1" s="12">
      <c r="A481" s="17" t="n"/>
      <c r="B481" s="17" t="n"/>
      <c r="C481" s="17" t="n"/>
      <c r="D481" s="17" t="n"/>
      <c r="E481" s="17" t="n"/>
      <c r="F481" s="17" t="n"/>
      <c r="G481" s="17" t="n"/>
      <c r="H481" s="17" t="n"/>
      <c r="I481" s="17" t="n"/>
      <c r="J481" s="17" t="n"/>
      <c r="K481" s="17" t="n"/>
      <c r="L481" s="17" t="n"/>
      <c r="M481" s="17" t="n"/>
    </row>
    <row r="482" ht="15" customHeight="1" s="12">
      <c r="A482" s="17" t="n"/>
      <c r="B482" s="17" t="n"/>
      <c r="C482" s="17" t="n"/>
      <c r="D482" s="17" t="n"/>
      <c r="E482" s="17" t="n"/>
      <c r="F482" s="17" t="n"/>
      <c r="G482" s="17" t="n"/>
      <c r="H482" s="17" t="n"/>
      <c r="I482" s="17" t="n"/>
      <c r="J482" s="17" t="n"/>
      <c r="K482" s="17" t="n"/>
      <c r="L482" s="17" t="n"/>
      <c r="M482" s="17" t="n"/>
    </row>
    <row r="483" ht="15" customHeight="1" s="12">
      <c r="A483" s="17" t="n"/>
      <c r="B483" s="17" t="n"/>
      <c r="C483" s="17" t="n"/>
      <c r="D483" s="17" t="n"/>
      <c r="E483" s="17" t="n"/>
      <c r="F483" s="17" t="n"/>
      <c r="G483" s="17" t="n"/>
      <c r="H483" s="17" t="n"/>
      <c r="I483" s="17" t="n"/>
      <c r="J483" s="17" t="n"/>
      <c r="K483" s="17" t="n"/>
      <c r="L483" s="17" t="n"/>
      <c r="M483" s="17" t="n"/>
    </row>
    <row r="484" ht="15" customHeight="1" s="12">
      <c r="A484" s="17" t="n"/>
      <c r="B484" s="17" t="n"/>
      <c r="C484" s="17" t="n"/>
      <c r="D484" s="17" t="n"/>
      <c r="E484" s="17" t="n"/>
      <c r="F484" s="17" t="n"/>
      <c r="G484" s="17" t="n"/>
      <c r="H484" s="17" t="n"/>
      <c r="I484" s="17" t="n"/>
      <c r="J484" s="17" t="n"/>
      <c r="K484" s="17" t="n"/>
      <c r="L484" s="17" t="n"/>
      <c r="M484" s="17" t="n"/>
    </row>
    <row r="485" ht="15" customHeight="1" s="12">
      <c r="A485" s="17" t="n"/>
      <c r="B485" s="17" t="n"/>
      <c r="C485" s="17" t="n"/>
      <c r="D485" s="17" t="n"/>
      <c r="E485" s="17" t="n"/>
      <c r="F485" s="17" t="n"/>
      <c r="G485" s="17" t="n"/>
      <c r="H485" s="17" t="n"/>
      <c r="I485" s="17" t="n"/>
      <c r="J485" s="17" t="n"/>
      <c r="K485" s="17" t="n"/>
      <c r="L485" s="17" t="n"/>
      <c r="M485" s="17" t="n"/>
    </row>
    <row r="486" ht="15" customHeight="1" s="12">
      <c r="A486" s="17" t="n"/>
      <c r="B486" s="17" t="n"/>
      <c r="C486" s="17" t="n"/>
      <c r="D486" s="17" t="n"/>
      <c r="E486" s="17" t="n"/>
      <c r="F486" s="17" t="n"/>
      <c r="G486" s="17" t="n"/>
      <c r="H486" s="17" t="n"/>
      <c r="I486" s="17" t="n"/>
      <c r="J486" s="17" t="n"/>
      <c r="K486" s="17" t="n"/>
      <c r="L486" s="17" t="n"/>
      <c r="M486" s="17" t="n"/>
    </row>
    <row r="487" ht="15" customHeight="1" s="12">
      <c r="A487" s="17" t="n"/>
      <c r="B487" s="17" t="n"/>
      <c r="C487" s="17" t="n"/>
      <c r="D487" s="17" t="n"/>
      <c r="E487" s="17" t="n"/>
      <c r="F487" s="17" t="n"/>
      <c r="G487" s="17" t="n"/>
      <c r="H487" s="17" t="n"/>
      <c r="I487" s="17" t="n"/>
      <c r="J487" s="17" t="n"/>
      <c r="K487" s="17" t="n"/>
      <c r="L487" s="17" t="n"/>
      <c r="M487" s="17" t="n"/>
    </row>
    <row r="488" ht="15" customHeight="1" s="12">
      <c r="A488" s="17" t="n"/>
      <c r="B488" s="17" t="n"/>
      <c r="C488" s="17" t="n"/>
      <c r="D488" s="17" t="n"/>
      <c r="E488" s="17" t="n"/>
      <c r="F488" s="17" t="n"/>
      <c r="G488" s="17" t="n"/>
      <c r="H488" s="17" t="n"/>
      <c r="I488" s="17" t="n"/>
      <c r="J488" s="17" t="n"/>
      <c r="K488" s="17" t="n"/>
      <c r="L488" s="17" t="n"/>
      <c r="M488" s="17" t="n"/>
    </row>
    <row r="489" ht="15" customHeight="1" s="12">
      <c r="A489" s="17" t="n"/>
      <c r="B489" s="17" t="n"/>
      <c r="C489" s="17" t="n"/>
      <c r="D489" s="17" t="n"/>
      <c r="E489" s="17" t="n"/>
      <c r="F489" s="17" t="n"/>
      <c r="G489" s="17" t="n"/>
      <c r="H489" s="17" t="n"/>
      <c r="I489" s="17" t="n"/>
      <c r="J489" s="17" t="n"/>
      <c r="K489" s="17" t="n"/>
      <c r="L489" s="17" t="n"/>
      <c r="M489" s="17" t="n"/>
    </row>
    <row r="490" ht="15" customHeight="1" s="12">
      <c r="A490" s="17" t="n"/>
      <c r="B490" s="17" t="n"/>
      <c r="C490" s="17" t="n"/>
      <c r="D490" s="17" t="n"/>
      <c r="E490" s="17" t="n"/>
      <c r="F490" s="17" t="n"/>
      <c r="G490" s="17" t="n"/>
      <c r="H490" s="17" t="n"/>
      <c r="I490" s="17" t="n"/>
      <c r="J490" s="17" t="n"/>
      <c r="K490" s="17" t="n"/>
      <c r="L490" s="17" t="n"/>
      <c r="M490" s="17" t="n"/>
    </row>
    <row r="491" ht="15" customHeight="1" s="12">
      <c r="A491" s="17" t="n"/>
      <c r="B491" s="17" t="n"/>
      <c r="C491" s="17" t="n"/>
      <c r="D491" s="17" t="n"/>
      <c r="E491" s="17" t="n"/>
      <c r="F491" s="17" t="n"/>
      <c r="G491" s="17" t="n"/>
      <c r="H491" s="17" t="n"/>
      <c r="I491" s="17" t="n"/>
      <c r="J491" s="17" t="n"/>
      <c r="K491" s="17" t="n"/>
      <c r="L491" s="17" t="n"/>
      <c r="M491" s="17" t="n"/>
    </row>
    <row r="492" ht="15" customHeight="1" s="12">
      <c r="A492" s="17" t="n"/>
      <c r="B492" s="17" t="n"/>
      <c r="C492" s="17" t="n"/>
      <c r="D492" s="17" t="n"/>
      <c r="E492" s="17" t="n"/>
      <c r="F492" s="17" t="n"/>
      <c r="G492" s="17" t="n"/>
      <c r="H492" s="17" t="n"/>
      <c r="I492" s="17" t="n"/>
      <c r="J492" s="17" t="n"/>
      <c r="K492" s="17" t="n"/>
      <c r="L492" s="17" t="n"/>
      <c r="M492" s="17" t="n"/>
    </row>
    <row r="493" ht="15" customHeight="1" s="12">
      <c r="A493" s="17" t="n"/>
      <c r="B493" s="17" t="n"/>
      <c r="C493" s="17" t="n"/>
      <c r="D493" s="17" t="n"/>
      <c r="E493" s="17" t="n"/>
      <c r="F493" s="17" t="n"/>
      <c r="G493" s="17" t="n"/>
      <c r="H493" s="17" t="n"/>
      <c r="I493" s="17" t="n"/>
      <c r="J493" s="17" t="n"/>
      <c r="K493" s="17" t="n"/>
      <c r="L493" s="17" t="n"/>
      <c r="M493" s="17" t="n"/>
    </row>
    <row r="494" ht="15" customHeight="1" s="12">
      <c r="A494" s="17" t="n"/>
      <c r="B494" s="17" t="n"/>
      <c r="C494" s="17" t="n"/>
      <c r="D494" s="17" t="n"/>
      <c r="E494" s="17" t="n"/>
      <c r="F494" s="17" t="n"/>
      <c r="G494" s="17" t="n"/>
      <c r="H494" s="17" t="n"/>
      <c r="I494" s="17" t="n"/>
      <c r="J494" s="17" t="n"/>
      <c r="K494" s="17" t="n"/>
      <c r="L494" s="17" t="n"/>
      <c r="M494" s="17" t="n"/>
    </row>
    <row r="495" ht="15" customHeight="1" s="12">
      <c r="A495" s="17" t="n"/>
      <c r="B495" s="17" t="n"/>
      <c r="C495" s="17" t="n"/>
      <c r="D495" s="17" t="n"/>
      <c r="E495" s="17" t="n"/>
      <c r="F495" s="17" t="n"/>
      <c r="G495" s="17" t="n"/>
      <c r="H495" s="17" t="n"/>
      <c r="I495" s="17" t="n"/>
      <c r="J495" s="17" t="n"/>
      <c r="K495" s="17" t="n"/>
      <c r="L495" s="17" t="n"/>
      <c r="M495" s="17" t="n"/>
    </row>
    <row r="496" ht="15" customHeight="1" s="12">
      <c r="A496" s="17" t="n"/>
      <c r="B496" s="17" t="n"/>
      <c r="C496" s="17" t="n"/>
      <c r="D496" s="17" t="n"/>
      <c r="E496" s="17" t="n"/>
      <c r="F496" s="17" t="n"/>
      <c r="G496" s="17" t="n"/>
      <c r="H496" s="17" t="n"/>
      <c r="I496" s="17" t="n"/>
      <c r="J496" s="17" t="n"/>
      <c r="K496" s="17" t="n"/>
      <c r="L496" s="17" t="n"/>
      <c r="M496" s="17" t="n"/>
    </row>
    <row r="497" ht="15" customHeight="1" s="12">
      <c r="A497" s="17" t="n"/>
      <c r="B497" s="17" t="n"/>
      <c r="C497" s="17" t="n"/>
      <c r="D497" s="17" t="n"/>
      <c r="E497" s="17" t="n"/>
      <c r="F497" s="17" t="n"/>
      <c r="G497" s="17" t="n"/>
      <c r="H497" s="17" t="n"/>
      <c r="I497" s="17" t="n"/>
      <c r="J497" s="17" t="n"/>
      <c r="K497" s="17" t="n"/>
      <c r="L497" s="17" t="n"/>
      <c r="M497" s="17" t="n"/>
    </row>
    <row r="498" ht="15" customHeight="1" s="12">
      <c r="A498" s="17" t="n"/>
      <c r="B498" s="17" t="n"/>
      <c r="C498" s="17" t="n"/>
      <c r="D498" s="17" t="n"/>
      <c r="E498" s="17" t="n"/>
      <c r="F498" s="17" t="n"/>
      <c r="G498" s="17" t="n"/>
      <c r="H498" s="17" t="n"/>
      <c r="I498" s="17" t="n"/>
      <c r="J498" s="17" t="n"/>
      <c r="K498" s="17" t="n"/>
      <c r="L498" s="17" t="n"/>
      <c r="M498" s="17" t="n"/>
    </row>
    <row r="499" ht="15" customHeight="1" s="12">
      <c r="A499" s="17" t="n"/>
      <c r="B499" s="17" t="n"/>
      <c r="C499" s="17" t="n"/>
      <c r="D499" s="17" t="n"/>
      <c r="E499" s="17" t="n"/>
      <c r="F499" s="17" t="n"/>
      <c r="G499" s="17" t="n"/>
      <c r="H499" s="17" t="n"/>
      <c r="I499" s="17" t="n"/>
      <c r="J499" s="17" t="n"/>
      <c r="K499" s="17" t="n"/>
      <c r="L499" s="17" t="n"/>
      <c r="M499" s="17" t="n"/>
    </row>
    <row r="500" ht="15" customHeight="1" s="12">
      <c r="A500" s="17" t="n"/>
      <c r="B500" s="17" t="n"/>
      <c r="C500" s="17" t="n"/>
      <c r="D500" s="17" t="n"/>
      <c r="E500" s="17" t="n"/>
      <c r="F500" s="17" t="n"/>
      <c r="G500" s="17" t="n"/>
      <c r="H500" s="17" t="n"/>
      <c r="I500" s="17" t="n"/>
      <c r="J500" s="17" t="n"/>
      <c r="K500" s="17" t="n"/>
      <c r="L500" s="17" t="n"/>
      <c r="M500" s="17" t="n"/>
    </row>
    <row r="501" ht="15" customHeight="1" s="12">
      <c r="A501" s="17" t="n"/>
      <c r="B501" s="17" t="n"/>
      <c r="C501" s="17" t="n"/>
      <c r="D501" s="17" t="n"/>
      <c r="E501" s="17" t="n"/>
      <c r="F501" s="17" t="n"/>
      <c r="G501" s="17" t="n"/>
      <c r="H501" s="17" t="n"/>
      <c r="I501" s="17" t="n"/>
      <c r="J501" s="17" t="n"/>
      <c r="K501" s="17" t="n"/>
      <c r="L501" s="17" t="n"/>
      <c r="M501" s="17" t="n"/>
    </row>
    <row r="502" ht="15" customHeight="1" s="12">
      <c r="A502" s="17" t="n"/>
      <c r="B502" s="17" t="n"/>
      <c r="C502" s="17" t="n"/>
      <c r="D502" s="17" t="n"/>
      <c r="E502" s="17" t="n"/>
      <c r="F502" s="17" t="n"/>
      <c r="G502" s="17" t="n"/>
      <c r="H502" s="17" t="n"/>
      <c r="I502" s="17" t="n"/>
      <c r="J502" s="17" t="n"/>
      <c r="K502" s="17" t="n"/>
      <c r="L502" s="17" t="n"/>
      <c r="M502" s="17" t="n"/>
    </row>
  </sheetData>
  <dataValidations count="2">
    <dataValidation sqref="J3:L502" showDropDown="0" showInputMessage="0" showErrorMessage="0" allowBlank="1" type="list" errorStyle="stop" operator="between">
      <formula1>"Include,Exclude,Maybe"</formula1>
      <formula2>0</formula2>
    </dataValidation>
    <dataValidation sqref="B3:B502" showDropDown="0" showInputMessage="0" showErrorMessage="0" allowBlank="1" type="list" errorStyle="stop" operator="between">
      <formula1>"IEEE Xplore,ACM Digital Library,ScienceDirect,SpringerLink,Scopus,Web of Science,Google Scholar (snowball)"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30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1" min="1" max="1"/>
    <col width="34" customWidth="1" style="11" min="2" max="2"/>
    <col width="14" customWidth="1" style="11" min="3" max="3"/>
    <col width="16" customWidth="1" style="11" min="4" max="4"/>
    <col width="30" customWidth="1" style="11" min="5" max="5"/>
    <col width="45" customWidth="1" style="11" min="6" max="6"/>
  </cols>
  <sheetData>
    <row r="1" ht="15" customHeight="1" s="12">
      <c r="A1" s="16" t="inlineStr">
        <is>
          <t>#</t>
        </is>
      </c>
      <c r="B1" s="16" t="inlineStr">
        <is>
          <t>Title</t>
        </is>
      </c>
      <c r="C1" s="16" t="inlineStr">
        <is>
          <t>Reviewer</t>
        </is>
      </c>
      <c r="D1" s="16" t="inlineStr">
        <is>
          <t>Full-Text Decision</t>
        </is>
      </c>
      <c r="E1" s="16" t="inlineStr">
        <is>
          <t>Exclusion Reason</t>
        </is>
      </c>
      <c r="F1" s="16" t="inlineStr">
        <is>
          <t>Notes (why relevant / key contribution)</t>
        </is>
      </c>
    </row>
    <row r="2" ht="15" customHeight="1" s="12">
      <c r="A2" s="18" t="n">
        <v>1</v>
      </c>
      <c r="B2" s="18" t="inlineStr">
        <is>
          <t>Example: LLM-based UML class diagram generation from requirements</t>
        </is>
      </c>
      <c r="C2" s="18" t="inlineStr">
        <is>
          <t>Person 3</t>
        </is>
      </c>
      <c r="D2" s="18" t="inlineStr">
        <is>
          <t>Include</t>
        </is>
      </c>
      <c r="E2" s="18" t="n"/>
      <c r="F2" s="18" t="inlineStr">
        <is>
          <t>Uses GPT-4 + grammar constraints; evaluated on 20 industrial requirement docs.</t>
        </is>
      </c>
    </row>
    <row r="3" ht="15" customHeight="1" s="12">
      <c r="A3" s="17" t="n">
        <v>1</v>
      </c>
      <c r="B3" s="17" t="inlineStr">
        <is>
          <t>Change-aware round-trip benchmarking of LLMs for reliable and efficient artifact co-evolution</t>
        </is>
      </c>
      <c r="C3" s="17" t="inlineStr">
        <is>
          <t>Thabiso Matsaba</t>
        </is>
      </c>
      <c r="D3" s="17" t="inlineStr">
        <is>
          <t>Include</t>
        </is>
      </c>
      <c r="E3" s="17" t="inlineStr"/>
      <c r="F3" s="17" t="inlineStr">
        <is>
          <t>Pre-coded AI-DME relevant study (RQ2, RQ6, RQ8, RQ10). Evaluates LLMs (GPT-5, Gemini 2.5, DeepSeek V3, Qwen3) for round-trip consistency &amp; co-evolution between class models and schemas under controlled edits. Measures edit persistence, structural validity, and run-to-run consistency.</t>
        </is>
      </c>
    </row>
    <row r="4" ht="15" customHeight="1" s="12">
      <c r="A4" s="17" t="n">
        <v>2</v>
      </c>
      <c r="B4" s="17" t="inlineStr">
        <is>
          <t>Semanti-MOP: Bridging the semantic gap in automated architecture refactoring via instability-aware Large Language Models</t>
        </is>
      </c>
      <c r="C4" s="17" t="inlineStr">
        <is>
          <t>Thabiso Matsaba</t>
        </is>
      </c>
      <c r="D4" s="17" t="inlineStr">
        <is>
          <t>Include</t>
        </is>
      </c>
      <c r="E4" s="17" t="inlineStr"/>
      <c r="F4" s="17" t="inlineStr">
        <is>
          <t>Pre-coded AI-DME relevant study (RQ2, RQ3, RQ6, RQ7, RQ14). Combines LLMs (RAG) and search-based optimization for architectural refactoring and microservice decomposition on Apache Flink.</t>
        </is>
      </c>
    </row>
    <row r="5" ht="15" customHeight="1" s="12">
      <c r="A5" s="17" t="n">
        <v>3</v>
      </c>
      <c r="B5" s="17" t="inlineStr">
        <is>
          <t>A framework for assessing the capabilities of code generation of constraint domain-specific languages with large language models</t>
        </is>
      </c>
      <c r="C5" s="17" t="inlineStr">
        <is>
          <t>Thabiso Matsaba</t>
        </is>
      </c>
      <c r="D5" s="17" t="inlineStr">
        <is>
          <t>Include</t>
        </is>
      </c>
      <c r="E5" s="17" t="inlineStr"/>
      <c r="F5" s="17" t="inlineStr">
        <is>
          <t>Pre-coded AI-DME relevant study (RQ4, RQ8, RQ9, RQ10). Evaluates LLM generation of formal constraint DSLs (OCL, Alloy) from textual specifications with code repair mechanisms.</t>
        </is>
      </c>
    </row>
    <row r="6" ht="15" customHeight="1" s="12">
      <c r="A6" s="17" t="n">
        <v>4</v>
      </c>
      <c r="B6" s="17" t="inlineStr">
        <is>
          <t>Automatic translation of natural language requirements into CTL specifications using Large Language Models: A multi-approach evaluation</t>
        </is>
      </c>
      <c r="C6" s="17" t="inlineStr">
        <is>
          <t>Thabiso Matsaba</t>
        </is>
      </c>
      <c r="D6" s="17" t="inlineStr">
        <is>
          <t>Include</t>
        </is>
      </c>
      <c r="E6" s="17" t="inlineStr"/>
      <c r="F6" s="17" t="inlineStr">
        <is>
          <t>Pre-coded AI-DME relevant study (RQ5, RQ8, RQ9, RQ12). Fine-tuning &amp; prompting LLMs to translate natural language requirements into CTL formal verification models. Multi-approach evaluation.</t>
        </is>
      </c>
    </row>
    <row r="7" ht="15" customHeight="1" s="12">
      <c r="A7" s="17" t="n">
        <v>5</v>
      </c>
      <c r="B7" s="17" t="inlineStr">
        <is>
          <t>Detecting semantic alignments between textual specifications and domain models</t>
        </is>
      </c>
      <c r="C7" s="17" t="inlineStr">
        <is>
          <t>Thabiso Matsaba</t>
        </is>
      </c>
      <c r="D7" s="17" t="inlineStr">
        <is>
          <t>Include</t>
        </is>
      </c>
      <c r="E7" s="17" t="inlineStr"/>
      <c r="F7" s="17" t="inlineStr">
        <is>
          <t>Pre-coded AI-DME relevant study (RQ5, RQ6, RQ8). Applies NLP and LLMs to detect alignments and misalignments between textual specifications and domain models with high precision.</t>
        </is>
      </c>
    </row>
    <row r="8" ht="15" customHeight="1" s="12">
      <c r="A8" s="17" t="n">
        <v>6</v>
      </c>
      <c r="B8" s="17" t="inlineStr">
        <is>
          <t>Assessing UML diagrams by GPT: Implications for education</t>
        </is>
      </c>
      <c r="C8" s="17" t="inlineStr">
        <is>
          <t>Thabiso Matsaba</t>
        </is>
      </c>
      <c r="D8" s="17" t="inlineStr">
        <is>
          <t>Include</t>
        </is>
      </c>
      <c r="E8" s="17" t="inlineStr"/>
      <c r="F8" s="17" t="inlineStr">
        <is>
          <t>Pre-coded AI-DME relevant study (RQ4, RQ6, RQ8, RQ9). Evaluates GPT’s capabilities in assessing and grading UML use case, class, and sequence diagrams against expert baselines. Educational implications.</t>
        </is>
      </c>
    </row>
    <row r="9" ht="15" customHeight="1" s="12">
      <c r="A9" s="17" t="n">
        <v>7</v>
      </c>
      <c r="B9" s="17" t="inlineStr">
        <is>
          <t>Automated spectrum-based model fault localization within a search framework</t>
        </is>
      </c>
      <c r="C9" s="17" t="inlineStr">
        <is>
          <t>Thabiso Matsaba</t>
        </is>
      </c>
      <c r="D9" s="17" t="inlineStr">
        <is>
          <t>Include</t>
        </is>
      </c>
      <c r="E9" s="17" t="inlineStr"/>
      <c r="F9" s="17" t="inlineStr">
        <is>
          <t>Pre-coded AI-DME relevant study (RQ4, RQ6, RQ8). Applies Whale Optimization Algorithm and Learning-to-Rank for spectrum-based fault localization on Extended Finite State Machines (EFSM).</t>
        </is>
      </c>
    </row>
    <row r="10" ht="15" customHeight="1" s="12">
      <c r="A10" s="17" t="n">
        <v>8</v>
      </c>
      <c r="B10" s="17" t="inlineStr">
        <is>
          <t>An architecture for model-based and intelligent automation in DevOps</t>
        </is>
      </c>
      <c r="C10" s="17" t="inlineStr">
        <is>
          <t>Thabiso Matsaba</t>
        </is>
      </c>
      <c r="D10" s="17" t="inlineStr">
        <is>
          <t>Include</t>
        </is>
      </c>
      <c r="E10" s="17" t="inlineStr"/>
      <c r="F10" s="17" t="inlineStr">
        <is>
          <t>Pre-coded AI-DME relevant study (RQ1, RQ2, RQ3, RQ13). The AIDOaRt framework integrating AI/ML and Model-Driven Engineering for continuous system validation across multiple industrial case studies.</t>
        </is>
      </c>
    </row>
    <row r="11" ht="15" customHeight="1" s="12">
      <c r="A11" s="17" t="n">
        <v>9</v>
      </c>
      <c r="B11" s="17" t="inlineStr">
        <is>
          <t>Convolutional neural networks for enhanced classification mechanisms of metamodels</t>
        </is>
      </c>
      <c r="C11" s="17" t="inlineStr">
        <is>
          <t>Thabiso Matsaba</t>
        </is>
      </c>
      <c r="D11" s="17" t="inlineStr">
        <is>
          <t>Include</t>
        </is>
      </c>
      <c r="E11" s="17" t="inlineStr"/>
      <c r="F11" s="17" t="inlineStr">
        <is>
          <t>Pre-coded AI-DME relevant study (RQ2, RQ4, RQ6). Uses deep Convolutional Neural Networks (memoCNN) to automatically categorize and manage Ecore metamodel repositories.</t>
        </is>
      </c>
    </row>
    <row r="12" ht="15" customHeight="1" s="12">
      <c r="A12" s="17" t="n">
        <v>10</v>
      </c>
      <c r="B12" s="17" t="inlineStr">
        <is>
          <t>An evolutionary approach for generating software models: The case of Kromaia in Game Software Engineering</t>
        </is>
      </c>
      <c r="C12" s="17" t="inlineStr">
        <is>
          <t>Thabiso Matsaba</t>
        </is>
      </c>
      <c r="D12" s="17" t="inlineStr">
        <is>
          <t>Include</t>
        </is>
      </c>
      <c r="E12" s="17" t="inlineStr"/>
      <c r="F12" s="17" t="inlineStr">
        <is>
          <t>Pre-coded AI-DME relevant study (RQ6, RQ7, RQ11). Evolutionary model generation (EMoGen) producing industrial software models of &gt;1000 elements in 5 hours versus 10 months of manual effort (Kromaia game).</t>
        </is>
      </c>
    </row>
    <row r="13" ht="15" customHeight="1" s="12">
      <c r="A13" s="17" t="n">
        <v>11</v>
      </c>
      <c r="B13" s="17" t="inlineStr">
        <is>
          <t>Comparison of search strategies for feature location in software models</t>
        </is>
      </c>
      <c r="C13" s="17" t="inlineStr">
        <is>
          <t>Thabiso Matsaba</t>
        </is>
      </c>
      <c r="D13" s="17" t="inlineStr">
        <is>
          <t>Include</t>
        </is>
      </c>
      <c r="E13" s="17" t="inlineStr"/>
      <c r="F13" s="17" t="inlineStr">
        <is>
          <t>Pre-coded AI-DME relevant study (RQ4, RQ6, RQ11). Evaluates metaheuristic search algorithms (random search, ILS, hill climbing, evolutionary algorithm, hybrid) across 1,895 feature location problems from 40 industrial software product lines.</t>
        </is>
      </c>
    </row>
    <row r="14" ht="15" customHeight="1" s="12">
      <c r="A14" s="17" t="n">
        <v>12</v>
      </c>
      <c r="B14" s="17" t="inlineStr">
        <is>
          <t>MOMM: Multi-objective model merging</t>
        </is>
      </c>
      <c r="C14" s="17" t="inlineStr">
        <is>
          <t>Thabiso Matsaba</t>
        </is>
      </c>
      <c r="D14" s="17" t="inlineStr">
        <is>
          <t>Include</t>
        </is>
      </c>
      <c r="E14" s="17" t="inlineStr"/>
      <c r="F14" s="17" t="inlineStr">
        <is>
          <t>Pre-coded AI-DME relevant study (RQ2, RQ3, RQ6, RQ7). NSGA-II multi-objective optimization approach for resolving conflicts in collaborative model engineering (model merging).</t>
        </is>
      </c>
    </row>
    <row r="15" ht="15" customHeight="1" s="12">
      <c r="A15" s="17" t="n">
        <v>13</v>
      </c>
      <c r="B15" s="17" t="inlineStr">
        <is>
          <t>QExplore: An exploration strategy for dynamic web applications using guided search</t>
        </is>
      </c>
      <c r="C15" s="17" t="inlineStr">
        <is>
          <t>Thabiso Matsaba</t>
        </is>
      </c>
      <c r="D15" s="17" t="inlineStr">
        <is>
          <t>Include</t>
        </is>
      </c>
      <c r="E15" s="17" t="inlineStr"/>
      <c r="F15" s="17" t="inlineStr">
        <is>
          <t>Pre-coded AI-DME relevant study (RQ2, RQ3, RQ6). Reinforcement learning (Q-learning) based exploration strategy for dynamic web applications, synthesizing behavioral state models.</t>
        </is>
      </c>
    </row>
    <row r="16" ht="15" customHeight="1" s="12">
      <c r="A16" s="17" t="n">
        <v>14</v>
      </c>
      <c r="B16" s="17" t="inlineStr">
        <is>
          <t>On the understandability of machine learning practices in deep learning and reinforcement learning based systems</t>
        </is>
      </c>
      <c r="C16" s="17" t="inlineStr">
        <is>
          <t>Thabiso Matsaba</t>
        </is>
      </c>
      <c r="D16" s="38" t="inlineStr">
        <is>
          <t>Exclude</t>
        </is>
      </c>
      <c r="E16" s="38" t="inlineStr">
        <is>
          <t>Addresses ML/MLOps engineering rather than AI applied to software models (UML/SysML/DSL/metamodels)</t>
        </is>
      </c>
      <c r="F16" s="17" t="inlineStr">
        <is>
          <t>Assessed at full-text; does not meet AI-DME inclusion criteria</t>
        </is>
      </c>
    </row>
    <row r="17" ht="15" customHeight="1" s="12">
      <c r="A17" s="17" t="n">
        <v>15</v>
      </c>
      <c r="B17" s="17" t="inlineStr">
        <is>
          <t>Investigating the performance of personalized models for software defect prediction</t>
        </is>
      </c>
      <c r="C17" s="17" t="inlineStr">
        <is>
          <t>Thabiso Matsaba</t>
        </is>
      </c>
      <c r="D17" s="38" t="inlineStr">
        <is>
          <t>Exclude</t>
        </is>
      </c>
      <c r="E17" s="38" t="inlineStr">
        <is>
          <t>Uses 'model' to mean a predictive machine-learning model (not a software/design model)</t>
        </is>
      </c>
      <c r="F17" s="17" t="inlineStr">
        <is>
          <t>Assessed at full-text; does not meet AI-DME inclusion criteria</t>
        </is>
      </c>
    </row>
    <row r="18" ht="15" customHeight="1" s="12">
      <c r="A18" s="17" t="n">
        <v>16</v>
      </c>
      <c r="B18" s="17" t="inlineStr">
        <is>
          <t>Predictive maintenance using digital twins: A systematic literature review</t>
        </is>
      </c>
      <c r="C18" s="17" t="inlineStr">
        <is>
          <t>Thabiso Matsaba</t>
        </is>
      </c>
      <c r="D18" s="38" t="inlineStr">
        <is>
          <t>Exclude</t>
        </is>
      </c>
      <c r="E18" s="38" t="inlineStr">
        <is>
          <t>Focus on predictive maintenance / digital twins without AI-driven software model generation, transformation or validation</t>
        </is>
      </c>
      <c r="F18" s="17" t="inlineStr">
        <is>
          <t>Assessed at full-text; does not meet AI-DME inclusion criteria</t>
        </is>
      </c>
    </row>
    <row r="19" ht="15" customHeight="1" s="12">
      <c r="A19" s="17" t="n">
        <v>17</v>
      </c>
      <c r="B19" s="17" t="inlineStr">
        <is>
          <t>A model-driven, metrics-based approach to assessing support for quality aspects in MLOps system architectures</t>
        </is>
      </c>
      <c r="C19" s="17" t="inlineStr">
        <is>
          <t>Thabiso Matsaba</t>
        </is>
      </c>
      <c r="D19" s="38" t="inlineStr">
        <is>
          <t>Exclude</t>
        </is>
      </c>
      <c r="E19" s="38" t="inlineStr">
        <is>
          <t>Model-driven topic present but does not apply an identifiable AI technique (LLM/ML/DL/agents) to generate, transform, validate, repair or evolve software models</t>
        </is>
      </c>
      <c r="F19" s="17" t="inlineStr">
        <is>
          <t>Assessed at full-text; does not meet AI-DME inclusion criteria</t>
        </is>
      </c>
    </row>
    <row r="20" ht="15" customHeight="1" s="12">
      <c r="A20" s="17" t="n">
        <v>18</v>
      </c>
      <c r="B20" s="17" t="inlineStr">
        <is>
          <t>Barriers and enablers for traceability and federation in model-based digital twin engineering</t>
        </is>
      </c>
      <c r="C20" s="17" t="inlineStr">
        <is>
          <t>Thabiso Matsaba</t>
        </is>
      </c>
      <c r="D20" s="38" t="inlineStr">
        <is>
          <t>Exclude</t>
        </is>
      </c>
      <c r="E20" s="38" t="inlineStr">
        <is>
          <t>Digital-twin interoperability/traceability focus; insufficient AI application to software model lifecycle tasks</t>
        </is>
      </c>
      <c r="F20" s="17" t="inlineStr">
        <is>
          <t>Assessed at full-text; does not meet AI-DME inclusion criteria</t>
        </is>
      </c>
    </row>
    <row r="21" ht="15" customHeight="1" s="12">
      <c r="A21" s="17" t="n">
        <v>19</v>
      </c>
      <c r="B21" s="17" t="inlineStr">
        <is>
          <t>HarmonyCAS: A model-driven framework for facilitating interoperability in context-aware systems</t>
        </is>
      </c>
      <c r="C21" s="17" t="inlineStr">
        <is>
          <t>Thabiso Matsaba</t>
        </is>
      </c>
      <c r="D21" s="38" t="inlineStr">
        <is>
          <t>Exclude</t>
        </is>
      </c>
      <c r="E21" s="38" t="inlineStr">
        <is>
          <t>Model-driven topic present but does not apply an identifiable AI technique (LLM/ML/DL/agents) to generate, transform, validate, repair or evolve software models</t>
        </is>
      </c>
      <c r="F21" s="17" t="inlineStr">
        <is>
          <t>Assessed at full-text; does not meet AI-DME inclusion criteria</t>
        </is>
      </c>
    </row>
    <row r="22" ht="15" customHeight="1" s="12">
      <c r="A22" s="17" t="n">
        <v>20</v>
      </c>
      <c r="B22" s="17" t="inlineStr">
        <is>
          <t>Model-based M2M transformations based on drag-and-drop actions: Approach and implementation</t>
        </is>
      </c>
      <c r="C22" s="17" t="inlineStr">
        <is>
          <t>Thabiso Matsaba</t>
        </is>
      </c>
      <c r="D22" s="38" t="inlineStr">
        <is>
          <t>Exclude</t>
        </is>
      </c>
      <c r="E22" s="38" t="inlineStr">
        <is>
          <t>Model-driven topic present but does not apply an identifiable AI technique (LLM/ML/DL/agents) to generate, transform, validate, repair or evolve software models</t>
        </is>
      </c>
      <c r="F22" s="17" t="inlineStr">
        <is>
          <t>Assessed at full-text; does not meet AI-DME inclusion criteria</t>
        </is>
      </c>
    </row>
    <row r="23" ht="15" customHeight="1" s="12">
      <c r="A23" s="17" t="n">
        <v>21</v>
      </c>
      <c r="B23" s="17" t="inlineStr">
        <is>
          <t>RAIDAD: A model-driven framework for automated and agile development of IoT data analysis software</t>
        </is>
      </c>
      <c r="C23" s="17" t="inlineStr">
        <is>
          <t>Thabiso Matsaba</t>
        </is>
      </c>
      <c r="D23" s="38" t="inlineStr">
        <is>
          <t>Exclude</t>
        </is>
      </c>
      <c r="E23" s="38" t="inlineStr">
        <is>
          <t>Model-driven topic present but does not apply an identifiable AI technique (LLM/ML/DL/agents) to generate, transform, validate, repair or evolve software models</t>
        </is>
      </c>
      <c r="F23" s="17" t="inlineStr">
        <is>
          <t>Assessed at full-text; does not meet AI-DME inclusion criteria</t>
        </is>
      </c>
    </row>
    <row r="24" ht="15" customHeight="1" s="12">
      <c r="A24" s="17" t="n">
        <v>22</v>
      </c>
      <c r="B24" s="17" t="inlineStr">
        <is>
          <t>An ontology-driven approach to target manufacturing digital models’ interoperability in developing digital twins</t>
        </is>
      </c>
      <c r="C24" s="17" t="inlineStr">
        <is>
          <t>Thabiso Matsaba</t>
        </is>
      </c>
      <c r="D24" s="38" t="inlineStr">
        <is>
          <t>Exclude</t>
        </is>
      </c>
      <c r="E24" s="38" t="inlineStr">
        <is>
          <t>Digital-twin interoperability/traceability focus; insufficient AI application to software model lifecycle tasks</t>
        </is>
      </c>
      <c r="F24" s="17" t="inlineStr">
        <is>
          <t>Assessed at full-text; does not meet AI-DME inclusion criteria</t>
        </is>
      </c>
    </row>
    <row r="25" ht="15" customHeight="1" s="12">
      <c r="A25" s="17" t="n">
        <v>23</v>
      </c>
      <c r="B25" s="17" t="inlineStr">
        <is>
          <t>Experiences and challenges from a software ecosystem for cyber–physical systems development: An empirical study on industry-academia collaboration</t>
        </is>
      </c>
      <c r="C25" s="17" t="inlineStr">
        <is>
          <t>Thabiso Matsaba</t>
        </is>
      </c>
      <c r="D25" s="38" t="inlineStr">
        <is>
          <t>Exclude</t>
        </is>
      </c>
      <c r="E25" s="38" t="inlineStr">
        <is>
          <t>Does not apply an identifiable AI technique to a software model-engineering task (out of AI-DME scope)</t>
        </is>
      </c>
      <c r="F25" s="17" t="inlineStr">
        <is>
          <t>Assessed at full-text; does not meet AI-DME inclusion criteria</t>
        </is>
      </c>
    </row>
    <row r="26" ht="15" customHeight="1" s="12">
      <c r="A26" s="17" t="n">
        <v>24</v>
      </c>
      <c r="B26" s="17" t="inlineStr">
        <is>
          <t>A general framework for building interactive digital twins via CAE-based synthetic data and modular deployment</t>
        </is>
      </c>
      <c r="C26" s="17" t="inlineStr">
        <is>
          <t>Thabiso Matsaba</t>
        </is>
      </c>
      <c r="D26" s="38" t="inlineStr">
        <is>
          <t>Exclude</t>
        </is>
      </c>
      <c r="E26" s="38" t="inlineStr">
        <is>
          <t>Does not apply an identifiable AI technique to a software model-engineering task (out of AI-DME scope)</t>
        </is>
      </c>
      <c r="F26" s="17" t="inlineStr">
        <is>
          <t>Assessed at full-text; does not meet AI-DME inclusion criteria</t>
        </is>
      </c>
    </row>
    <row r="27" ht="15" customHeight="1" s="12">
      <c r="A27" s="17" t="n">
        <v>25</v>
      </c>
      <c r="B27" s="17" t="inlineStr">
        <is>
          <t>An empirical guide to MLOps adoption: Framework, maturity model and taxonomy</t>
        </is>
      </c>
      <c r="C27" s="17" t="inlineStr">
        <is>
          <t>Thabiso Matsaba</t>
        </is>
      </c>
      <c r="D27" s="38" t="inlineStr">
        <is>
          <t>Exclude</t>
        </is>
      </c>
      <c r="E27" s="38" t="inlineStr">
        <is>
          <t>Addresses ML/MLOps engineering rather than AI applied to software models (UML/SysML/DSL/metamodels)</t>
        </is>
      </c>
      <c r="F27" s="17" t="inlineStr">
        <is>
          <t>Assessed at full-text; does not meet AI-DME inclusion criteria</t>
        </is>
      </c>
    </row>
    <row r="28" ht="15" customHeight="1" s="12">
      <c r="A28" s="17" t="n">
        <v>26</v>
      </c>
      <c r="B28" s="17" t="inlineStr">
        <is>
          <t>Formal requirements engineering and large language models: A two-way roadmap</t>
        </is>
      </c>
      <c r="C28" s="17" t="inlineStr">
        <is>
          <t>Thabiso Matsaba</t>
        </is>
      </c>
      <c r="D28" s="38" t="inlineStr">
        <is>
          <t>Exclude</t>
        </is>
      </c>
      <c r="E28" s="38" t="inlineStr">
        <is>
          <t>Does not apply an identifiable AI technique to a software model-engineering task (out of AI-DME scope)</t>
        </is>
      </c>
      <c r="F28" s="17" t="inlineStr">
        <is>
          <t>Assessed at full-text; does not meet AI-DME inclusion criteria</t>
        </is>
      </c>
    </row>
    <row r="29" ht="15" customHeight="1" s="12">
      <c r="A29" s="17" t="n">
        <v>27</v>
      </c>
      <c r="B29" s="17" t="inlineStr">
        <is>
          <t>Mitigation strategies for confidentiality violations in software architecture using ranked feature importance</t>
        </is>
      </c>
      <c r="C29" s="17" t="inlineStr">
        <is>
          <t>Thabiso Matsaba</t>
        </is>
      </c>
      <c r="D29" s="38" t="inlineStr">
        <is>
          <t>Exclude</t>
        </is>
      </c>
      <c r="E29" s="38" t="inlineStr">
        <is>
          <t>No identifiable AI technique applied to a model-engineering task</t>
        </is>
      </c>
      <c r="F29" s="17" t="inlineStr">
        <is>
          <t>Assessed at full-text; does not meet AI-DME inclusion criteria</t>
        </is>
      </c>
    </row>
    <row r="30" ht="15" customHeight="1" s="12">
      <c r="A30" s="17" t="n">
        <v>28</v>
      </c>
      <c r="B30" s="17" t="inlineStr">
        <is>
          <t>Generative AI for software architecture. Applications, challenges, and future directions</t>
        </is>
      </c>
      <c r="C30" s="17" t="inlineStr">
        <is>
          <t>Thabiso Matsaba</t>
        </is>
      </c>
      <c r="D30" s="38" t="inlineStr">
        <is>
          <t>Exclude</t>
        </is>
      </c>
      <c r="E30" s="38" t="inlineStr">
        <is>
          <t>Survey/roadmap paper; conceptual discussion without primary empirical or tool contribution meeting inclusion criteria</t>
        </is>
      </c>
      <c r="F30" s="17" t="inlineStr">
        <is>
          <t>Assessed at full-text; does not meet AI-DME inclusion criteria</t>
        </is>
      </c>
    </row>
    <row r="31" ht="15" customHeight="1" s="12">
      <c r="A31" s="17" t="n">
        <v>29</v>
      </c>
      <c r="B31" s="17" t="inlineStr">
        <is>
          <t>A model-based mode-switching framework based on security vulnerability scores</t>
        </is>
      </c>
      <c r="C31" s="17" t="inlineStr">
        <is>
          <t>Thabiso Matsaba</t>
        </is>
      </c>
      <c r="D31" s="38" t="inlineStr">
        <is>
          <t>Exclude</t>
        </is>
      </c>
      <c r="E31" s="38" t="inlineStr">
        <is>
          <t>Model-driven topic present but does not apply an identifiable AI technique (LLM/ML/DL/agents) to generate, transform, validate, repair or evolve software models</t>
        </is>
      </c>
      <c r="F31" s="17" t="inlineStr">
        <is>
          <t>Assessed at full-text; does not meet AI-DME inclusion criteria</t>
        </is>
      </c>
    </row>
    <row r="32" ht="15" customHeight="1" s="12">
      <c r="A32" s="17" t="n">
        <v>30</v>
      </c>
      <c r="B32" s="17" t="inlineStr">
        <is>
          <t>Accessibility of low-code approaches: A systematic literature review</t>
        </is>
      </c>
      <c r="C32" s="17" t="inlineStr">
        <is>
          <t>Thabiso Matsaba</t>
        </is>
      </c>
      <c r="D32" s="38" t="inlineStr">
        <is>
          <t>Exclude</t>
        </is>
      </c>
      <c r="E32" s="38" t="inlineStr">
        <is>
          <t>Secondary/tertiary study (SLR/SMS) – no primary technical contribution applying AI to model-engineering tasks</t>
        </is>
      </c>
      <c r="F32" s="17" t="inlineStr">
        <is>
          <t>Assessed at full-text; does not meet AI-DME inclusion criteria</t>
        </is>
      </c>
    </row>
    <row r="33" ht="15" customHeight="1" s="12">
      <c r="A33" s="17" t="n">
        <v>31</v>
      </c>
      <c r="B33" s="17" t="inlineStr">
        <is>
          <t>Early validation of cyber–physical space systems via multi-concerns integration</t>
        </is>
      </c>
      <c r="C33" s="17" t="inlineStr">
        <is>
          <t>Thabiso Matsaba</t>
        </is>
      </c>
      <c r="D33" s="38" t="inlineStr">
        <is>
          <t>Exclude</t>
        </is>
      </c>
      <c r="E33" s="38" t="inlineStr">
        <is>
          <t>Does not apply an identifiable AI technique to a software model-engineering task (out of AI-DME scope)</t>
        </is>
      </c>
      <c r="F33" s="17" t="inlineStr">
        <is>
          <t>Assessed at full-text; does not meet AI-DME inclusion criteria</t>
        </is>
      </c>
    </row>
    <row r="34" ht="15" customHeight="1" s="12">
      <c r="A34" s="17" t="n">
        <v>32</v>
      </c>
      <c r="B34" s="17" t="inlineStr">
        <is>
          <t>Model driven engineering for machine learning components: A systematic literature review</t>
        </is>
      </c>
      <c r="C34" s="17" t="inlineStr">
        <is>
          <t>Thabiso Matsaba</t>
        </is>
      </c>
      <c r="D34" s="38" t="inlineStr">
        <is>
          <t>Exclude</t>
        </is>
      </c>
      <c r="E34" s="38" t="inlineStr">
        <is>
          <t>Secondary/tertiary study (SLR/SMS) – no primary technical contribution applying AI to model-engineering tasks</t>
        </is>
      </c>
      <c r="F34" s="17" t="inlineStr">
        <is>
          <t>Assessed at full-text; does not meet AI-DME inclusion criteria</t>
        </is>
      </c>
    </row>
    <row r="35" ht="15" customHeight="1" s="12">
      <c r="A35" s="17" t="n">
        <v>33</v>
      </c>
      <c r="B35" s="17" t="inlineStr">
        <is>
          <t>CSAML: A language for aerospace control software architecture synthesis — Modeling, refinement, and verification</t>
        </is>
      </c>
      <c r="C35" s="17" t="inlineStr">
        <is>
          <t>Thabiso Matsaba</t>
        </is>
      </c>
      <c r="D35" s="38" t="inlineStr">
        <is>
          <t>Exclude</t>
        </is>
      </c>
      <c r="E35" s="38" t="inlineStr">
        <is>
          <t>Does not apply an identifiable AI technique to a software model-engineering task (out of AI-DME scope)</t>
        </is>
      </c>
      <c r="F35" s="17" t="inlineStr">
        <is>
          <t>Assessed at full-text; does not meet AI-DME inclusion criteria</t>
        </is>
      </c>
    </row>
    <row r="36" ht="15" customHeight="1" s="12">
      <c r="A36" s="17" t="n">
        <v>34</v>
      </c>
      <c r="B36" s="17" t="inlineStr">
        <is>
          <t>Connecting systems engineering and domain expertise through a toolchain: A simulation-integrated MBSE approach</t>
        </is>
      </c>
      <c r="C36" s="17" t="inlineStr">
        <is>
          <t>Thabiso Matsaba</t>
        </is>
      </c>
      <c r="D36" s="38" t="inlineStr">
        <is>
          <t>Exclude</t>
        </is>
      </c>
      <c r="E36" s="38" t="inlineStr">
        <is>
          <t>Model-driven topic present but does not apply an identifiable AI technique (LLM/ML/DL/agents) to generate, transform, validate, repair or evolve software models</t>
        </is>
      </c>
      <c r="F36" s="17" t="inlineStr">
        <is>
          <t>Assessed at full-text; does not meet AI-DME inclusion criteria</t>
        </is>
      </c>
    </row>
    <row r="37" ht="15" customHeight="1" s="12">
      <c r="A37" s="17" t="n">
        <v>35</v>
      </c>
      <c r="B37" s="17" t="inlineStr">
        <is>
          <t>Identifying testing behaviour patterns in conceptual modelling education</t>
        </is>
      </c>
      <c r="C37" s="17" t="inlineStr">
        <is>
          <t>Thabiso Matsaba</t>
        </is>
      </c>
      <c r="D37" s="38" t="inlineStr">
        <is>
          <t>Exclude</t>
        </is>
      </c>
      <c r="E37" s="38" t="inlineStr">
        <is>
          <t>Does not apply an identifiable AI technique to a software model-engineering task (out of AI-DME scope)</t>
        </is>
      </c>
      <c r="F37" s="17" t="inlineStr">
        <is>
          <t>Assessed at full-text; does not meet AI-DME inclusion criteria</t>
        </is>
      </c>
    </row>
    <row r="38" ht="15" customHeight="1" s="12">
      <c r="A38" s="17" t="n">
        <v>36</v>
      </c>
      <c r="B38" s="17" t="inlineStr">
        <is>
          <t>Extracting finite state models from i* models</t>
        </is>
      </c>
      <c r="C38" s="17" t="inlineStr">
        <is>
          <t>Thabiso Matsaba</t>
        </is>
      </c>
      <c r="D38" s="38" t="inlineStr">
        <is>
          <t>Exclude</t>
        </is>
      </c>
      <c r="E38" s="38" t="inlineStr">
        <is>
          <t>Does not apply an identifiable AI technique to a software model-engineering task (out of AI-DME scope)</t>
        </is>
      </c>
      <c r="F38" s="17" t="inlineStr">
        <is>
          <t>Assessed at full-text; does not meet AI-DME inclusion criteria</t>
        </is>
      </c>
    </row>
    <row r="39" ht="15" customHeight="1" s="12">
      <c r="A39" s="17" t="n">
        <v>37</v>
      </c>
      <c r="B39" s="17" t="inlineStr">
        <is>
          <t>Systematic composition of independent language features</t>
        </is>
      </c>
      <c r="C39" s="17" t="inlineStr">
        <is>
          <t>Thabiso Matsaba</t>
        </is>
      </c>
      <c r="D39" s="38" t="inlineStr">
        <is>
          <t>Exclude</t>
        </is>
      </c>
      <c r="E39" s="38" t="inlineStr">
        <is>
          <t>Does not apply an identifiable AI technique to a software model-engineering task (out of AI-DME scope)</t>
        </is>
      </c>
      <c r="F39" s="17" t="inlineStr">
        <is>
          <t>Assessed at full-text; does not meet AI-DME inclusion criteria</t>
        </is>
      </c>
    </row>
    <row r="40" ht="15" customHeight="1" s="12">
      <c r="A40" s="17" t="n">
        <v>38</v>
      </c>
      <c r="B40" s="17" t="inlineStr">
        <is>
          <t>Evolution of software in automated production systems: Challenges and research directions</t>
        </is>
      </c>
      <c r="C40" s="17" t="inlineStr">
        <is>
          <t>Thabiso Matsaba</t>
        </is>
      </c>
      <c r="D40" s="38" t="inlineStr">
        <is>
          <t>Exclude</t>
        </is>
      </c>
      <c r="E40" s="38" t="inlineStr">
        <is>
          <t>Does not apply an identifiable AI technique to a software model-engineering task (out of AI-DME scope)</t>
        </is>
      </c>
      <c r="F40" s="17" t="inlineStr">
        <is>
          <t>Assessed at full-text; does not meet AI-DME inclusion criteria</t>
        </is>
      </c>
    </row>
    <row r="41" ht="15" customHeight="1" s="12">
      <c r="A41" s="17" t="n">
        <v>39</v>
      </c>
      <c r="B41" s="17" t="inlineStr">
        <is>
          <t>Dynamic analysis of quantum annealing programs</t>
        </is>
      </c>
      <c r="C41" s="17" t="inlineStr">
        <is>
          <t>Thabiso Matsaba</t>
        </is>
      </c>
      <c r="D41" s="38" t="inlineStr">
        <is>
          <t>Exclude</t>
        </is>
      </c>
      <c r="E41" s="38" t="inlineStr">
        <is>
          <t>Does not apply an identifiable AI technique to a software model-engineering task (out of AI-DME scope)</t>
        </is>
      </c>
      <c r="F41" s="17" t="inlineStr">
        <is>
          <t>Assessed at full-text; does not meet AI-DME inclusion criteria</t>
        </is>
      </c>
    </row>
    <row r="42" ht="15" customHeight="1" s="12">
      <c r="A42" s="17" t="n">
        <v>40</v>
      </c>
      <c r="B42" s="17" t="inlineStr">
        <is>
          <t>A bibliometric assessment of software engineering scholars and institutions (2010–2017)</t>
        </is>
      </c>
      <c r="C42" s="17" t="inlineStr">
        <is>
          <t>Thabiso Matsaba</t>
        </is>
      </c>
      <c r="D42" s="38" t="inlineStr">
        <is>
          <t>Exclude</t>
        </is>
      </c>
      <c r="E42" s="38" t="inlineStr">
        <is>
          <t>Does not apply an identifiable AI technique to a software model-engineering task (out of AI-DME scope)</t>
        </is>
      </c>
      <c r="F42" s="17" t="inlineStr">
        <is>
          <t>Assessed at full-text; does not meet AI-DME inclusion criteria</t>
        </is>
      </c>
    </row>
    <row r="43" ht="15" customHeight="1" s="12">
      <c r="A43" s="17" t="n">
        <v>41</v>
      </c>
      <c r="B43" s="17" t="inlineStr">
        <is>
          <t>EdgeWorkflow: One click to test and deploy your workflow applications to the edge</t>
        </is>
      </c>
      <c r="C43" s="17" t="inlineStr">
        <is>
          <t>Thabiso Matsaba</t>
        </is>
      </c>
      <c r="D43" s="38" t="inlineStr">
        <is>
          <t>Exclude</t>
        </is>
      </c>
      <c r="E43" s="38" t="inlineStr">
        <is>
          <t>Does not apply an identifiable AI technique to a software model-engineering task (out of AI-DME scope)</t>
        </is>
      </c>
      <c r="F43" s="17" t="inlineStr">
        <is>
          <t>Assessed at full-text; does not meet AI-DME inclusion criteria</t>
        </is>
      </c>
    </row>
    <row r="44" ht="15" customHeight="1" s="12">
      <c r="A44" s="17" t="n">
        <v>42</v>
      </c>
      <c r="B44" s="17" t="inlineStr">
        <is>
          <t>A DEVS-based MBSE methodology for seamless deployment via Formal Digital Twin architectures</t>
        </is>
      </c>
      <c r="C44" s="17" t="inlineStr">
        <is>
          <t>Thabiso Matsaba</t>
        </is>
      </c>
      <c r="D44" s="38" t="inlineStr">
        <is>
          <t>Exclude</t>
        </is>
      </c>
      <c r="E44" s="38" t="inlineStr">
        <is>
          <t>Does not apply an identifiable AI technique to a software model-engineering task (out of AI-DME scope)</t>
        </is>
      </c>
      <c r="F44" s="17" t="inlineStr">
        <is>
          <t>Assessed at full-text; does not meet AI-DME inclusion criteria</t>
        </is>
      </c>
    </row>
    <row r="45" ht="15" customHeight="1" s="12">
      <c r="A45" s="17" t="n">
        <v>43</v>
      </c>
      <c r="B45" s="17" t="inlineStr">
        <is>
          <t>A controlled experiment to evaluate the understandability of KAOS and i* for modeling Teleo-Reactive systems</t>
        </is>
      </c>
      <c r="C45" s="17" t="inlineStr">
        <is>
          <t>Thabiso Matsaba</t>
        </is>
      </c>
      <c r="D45" s="38" t="inlineStr">
        <is>
          <t>Exclude</t>
        </is>
      </c>
      <c r="E45" s="38" t="inlineStr">
        <is>
          <t>Does not apply an identifiable AI technique to a software model-engineering task (out of AI-DME scope)</t>
        </is>
      </c>
      <c r="F45" s="17" t="inlineStr">
        <is>
          <t>Assessed at full-text; does not meet AI-DME inclusion criteria</t>
        </is>
      </c>
    </row>
    <row r="46" ht="15" customHeight="1" s="12">
      <c r="A46" s="17" t="n">
        <v>44</v>
      </c>
      <c r="B46" s="17" t="inlineStr">
        <is>
          <t>Architecting data-intensive applications: From architectural design to data quality</t>
        </is>
      </c>
      <c r="C46" s="17" t="inlineStr">
        <is>
          <t>Thabiso Matsaba</t>
        </is>
      </c>
      <c r="D46" s="38" t="inlineStr">
        <is>
          <t>Exclude</t>
        </is>
      </c>
      <c r="E46" s="38" t="inlineStr">
        <is>
          <t>Does not apply an identifiable AI technique to a software model-engineering task (out of AI-DME scope)</t>
        </is>
      </c>
      <c r="F46" s="17" t="inlineStr">
        <is>
          <t>Assessed at full-text; does not meet AI-DME inclusion criteria</t>
        </is>
      </c>
    </row>
    <row r="47" ht="15" customHeight="1" s="12">
      <c r="A47" s="17" t="n">
        <v>45</v>
      </c>
      <c r="B47" s="17" t="inlineStr">
        <is>
          <t>Trust requirements in sociotechnical systems: A systematic literature review</t>
        </is>
      </c>
      <c r="C47" s="17" t="inlineStr">
        <is>
          <t>Thabiso Matsaba</t>
        </is>
      </c>
      <c r="D47" s="38" t="inlineStr">
        <is>
          <t>Exclude</t>
        </is>
      </c>
      <c r="E47" s="38" t="inlineStr">
        <is>
          <t>Secondary/tertiary study (SLR/SMS) – no primary technical contribution applying AI to model-engineering tasks</t>
        </is>
      </c>
      <c r="F47" s="17" t="inlineStr">
        <is>
          <t>Assessed at full-text; does not meet AI-DME inclusion criteria</t>
        </is>
      </c>
    </row>
    <row r="48" ht="15" customHeight="1" s="12">
      <c r="A48" s="17" t="n">
        <v>46</v>
      </c>
      <c r="B48" s="17" t="inlineStr">
        <is>
          <t>Supporting semi-automatic co-evolution of architecture and fault tree models</t>
        </is>
      </c>
      <c r="C48" s="17" t="inlineStr">
        <is>
          <t>Thabiso Matsaba</t>
        </is>
      </c>
      <c r="D48" s="38" t="inlineStr">
        <is>
          <t>Exclude</t>
        </is>
      </c>
      <c r="E48" s="38" t="inlineStr">
        <is>
          <t>Does not apply an identifiable AI technique to a software model-engineering task (out of AI-DME scope)</t>
        </is>
      </c>
      <c r="F48" s="17" t="inlineStr">
        <is>
          <t>Assessed at full-text; does not meet AI-DME inclusion criteria</t>
        </is>
      </c>
    </row>
    <row r="49" ht="15" customHeight="1" s="12">
      <c r="A49" s="17" t="n">
        <v>47</v>
      </c>
      <c r="B49" s="17" t="inlineStr">
        <is>
          <t>A model-driven approach for constructing ambient assisted-living multi-agent systems customized for Parkinson patients</t>
        </is>
      </c>
      <c r="C49" s="17" t="inlineStr">
        <is>
          <t>Thabiso Matsaba</t>
        </is>
      </c>
      <c r="D49" s="38" t="inlineStr">
        <is>
          <t>Exclude</t>
        </is>
      </c>
      <c r="E49" s="38" t="inlineStr">
        <is>
          <t>Model-driven topic present but does not apply an identifiable AI technique (LLM/ML/DL/agents) to generate, transform, validate, repair or evolve software models</t>
        </is>
      </c>
      <c r="F49" s="17" t="inlineStr">
        <is>
          <t>Assessed at full-text; does not meet AI-DME inclusion criteria</t>
        </is>
      </c>
    </row>
    <row r="50" ht="15" customHeight="1" s="12">
      <c r="A50" s="17" t="n">
        <v>48</v>
      </c>
      <c r="B50" s="17" t="inlineStr">
        <is>
          <t>A Systematic Literature Review of iStar extensions</t>
        </is>
      </c>
      <c r="C50" s="17" t="inlineStr">
        <is>
          <t>Thabiso Matsaba</t>
        </is>
      </c>
      <c r="D50" s="38" t="inlineStr">
        <is>
          <t>Exclude</t>
        </is>
      </c>
      <c r="E50" s="38" t="inlineStr">
        <is>
          <t>Secondary/tertiary study (SLR/SMS) – no primary technical contribution applying AI to model-engineering tasks</t>
        </is>
      </c>
      <c r="F50" s="17" t="inlineStr">
        <is>
          <t>Assessed at full-text; does not meet AI-DME inclusion criteria</t>
        </is>
      </c>
    </row>
    <row r="51" ht="15" customHeight="1" s="12">
      <c r="A51" s="17" t="n">
        <v>49</v>
      </c>
      <c r="B51" s="17" t="inlineStr">
        <is>
          <t>Commit-time defect prediction using one-class classification</t>
        </is>
      </c>
      <c r="C51" s="17" t="inlineStr">
        <is>
          <t>Thabiso Matsaba</t>
        </is>
      </c>
      <c r="D51" s="38" t="inlineStr">
        <is>
          <t>Exclude</t>
        </is>
      </c>
      <c r="E51" s="38" t="inlineStr">
        <is>
          <t>Uses 'model' to mean a predictive machine-learning model (not a software/design model)</t>
        </is>
      </c>
      <c r="F51" s="17" t="inlineStr">
        <is>
          <t>Assessed at full-text; does not meet AI-DME inclusion criteria</t>
        </is>
      </c>
    </row>
    <row r="52" ht="15" customHeight="1" s="12">
      <c r="A52" s="17" t="n">
        <v>50</v>
      </c>
      <c r="B52" s="17" t="inlineStr">
        <is>
          <t>Automated engineering of domain-specific metamorphic testing environments</t>
        </is>
      </c>
      <c r="C52" s="17" t="inlineStr">
        <is>
          <t>Thabiso Matsaba</t>
        </is>
      </c>
      <c r="D52" s="38" t="inlineStr">
        <is>
          <t>Exclude</t>
        </is>
      </c>
      <c r="E52" s="38" t="inlineStr">
        <is>
          <t>Model-driven topic present but does not apply an identifiable AI technique (LLM/ML/DL/agents) to generate, transform, validate, repair or evolve software models</t>
        </is>
      </c>
      <c r="F52" s="17" t="inlineStr">
        <is>
          <t>Assessed at full-text; does not meet AI-DME inclusion criteria</t>
        </is>
      </c>
    </row>
    <row r="53" ht="15" customHeight="1" s="12">
      <c r="A53" s="17" t="n">
        <v>51</v>
      </c>
      <c r="B53" s="17" t="inlineStr">
        <is>
          <t>Architectural support for software performance in continuous software engineering: A systematic mapping study</t>
        </is>
      </c>
      <c r="C53" s="17" t="inlineStr">
        <is>
          <t>Thabiso Matsaba</t>
        </is>
      </c>
      <c r="D53" s="38" t="inlineStr">
        <is>
          <t>Exclude</t>
        </is>
      </c>
      <c r="E53" s="38" t="inlineStr">
        <is>
          <t>Secondary/tertiary study (SLR/SMS) – no primary technical contribution applying AI to model-engineering tasks</t>
        </is>
      </c>
      <c r="F53" s="17" t="inlineStr">
        <is>
          <t>Assessed at full-text; does not meet AI-DME inclusion criteria</t>
        </is>
      </c>
    </row>
    <row r="54" ht="15" customHeight="1" s="12">
      <c r="A54" s="17" t="n">
        <v>52</v>
      </c>
      <c r="B54" s="17" t="inlineStr">
        <is>
          <t>ACCESS: Assurance Case Centric Engineering of Safety–critical Systems</t>
        </is>
      </c>
      <c r="C54" s="17" t="inlineStr">
        <is>
          <t>Thabiso Matsaba</t>
        </is>
      </c>
      <c r="D54" s="38" t="inlineStr">
        <is>
          <t>Exclude</t>
        </is>
      </c>
      <c r="E54" s="38" t="inlineStr">
        <is>
          <t>Model-driven topic present but does not apply an identifiable AI technique (LLM/ML/DL/agents) to generate, transform, validate, repair or evolve software models</t>
        </is>
      </c>
      <c r="F54" s="17" t="inlineStr">
        <is>
          <t>Assessed at full-text; does not meet AI-DME inclusion criteria</t>
        </is>
      </c>
    </row>
    <row r="55" ht="15" customHeight="1" s="12">
      <c r="A55" s="17" t="n">
        <v>53</v>
      </c>
      <c r="B55" s="17" t="inlineStr">
        <is>
          <t>Towards the automated extraction and refactoring of NoSQL schemas from application code</t>
        </is>
      </c>
      <c r="C55" s="17" t="inlineStr">
        <is>
          <t>Thabiso Matsaba</t>
        </is>
      </c>
      <c r="D55" s="38" t="inlineStr">
        <is>
          <t>Exclude</t>
        </is>
      </c>
      <c r="E55" s="38" t="inlineStr">
        <is>
          <t>Does not apply an identifiable AI technique to a software model-engineering task (out of AI-DME scope)</t>
        </is>
      </c>
      <c r="F55" s="17" t="inlineStr">
        <is>
          <t>Assessed at full-text; does not meet AI-DME inclusion criteria</t>
        </is>
      </c>
    </row>
    <row r="56" ht="15" customHeight="1" s="12">
      <c r="A56" s="17" t="n">
        <v>54</v>
      </c>
      <c r="B56" s="17" t="inlineStr">
        <is>
          <t>Model based system assurance using the structured assurance case metamodel</t>
        </is>
      </c>
      <c r="C56" s="17" t="inlineStr">
        <is>
          <t>Thabiso Matsaba</t>
        </is>
      </c>
      <c r="D56" s="38" t="inlineStr">
        <is>
          <t>Exclude</t>
        </is>
      </c>
      <c r="E56" s="38" t="inlineStr">
        <is>
          <t>Model-driven topic present but does not apply an identifiable AI technique (LLM/ML/DL/agents) to generate, transform, validate, repair or evolve software models</t>
        </is>
      </c>
      <c r="F56" s="17" t="inlineStr">
        <is>
          <t>Assessed at full-text; does not meet AI-DME inclusion criteria</t>
        </is>
      </c>
    </row>
    <row r="57" ht="15" customHeight="1" s="12">
      <c r="A57" s="17" t="n">
        <v>55</v>
      </c>
      <c r="B57" s="17" t="inlineStr">
        <is>
          <t>Using deep temporal convolutional networks to just-in-time forecast technical debt principal</t>
        </is>
      </c>
      <c r="C57" s="17" t="inlineStr">
        <is>
          <t>Thabiso Matsaba</t>
        </is>
      </c>
      <c r="D57" s="38" t="inlineStr">
        <is>
          <t>Exclude</t>
        </is>
      </c>
      <c r="E57" s="38" t="inlineStr">
        <is>
          <t>Does not apply an identifiable AI technique to a software model-engineering task (out of AI-DME scope)</t>
        </is>
      </c>
      <c r="F57" s="17" t="inlineStr">
        <is>
          <t>Assessed at full-text; does not meet AI-DME inclusion criteria</t>
        </is>
      </c>
    </row>
    <row r="58" ht="15" customHeight="1" s="12">
      <c r="A58" s="17" t="n">
        <v>56</v>
      </c>
      <c r="B58" s="17" t="inlineStr">
        <is>
          <t>A systematic review on security and safety of self-adaptive systems</t>
        </is>
      </c>
      <c r="C58" s="17" t="inlineStr">
        <is>
          <t>Thabiso Matsaba</t>
        </is>
      </c>
      <c r="D58" s="38" t="inlineStr">
        <is>
          <t>Exclude</t>
        </is>
      </c>
      <c r="E58" s="38" t="inlineStr">
        <is>
          <t>Does not apply an identifiable AI technique to a software model-engineering task (out of AI-DME scope)</t>
        </is>
      </c>
      <c r="F58" s="17" t="inlineStr">
        <is>
          <t>Assessed at full-text; does not meet AI-DME inclusion criteria</t>
        </is>
      </c>
    </row>
    <row r="59" ht="15" customHeight="1" s="12">
      <c r="A59" s="17" t="n">
        <v>57</v>
      </c>
      <c r="B59" s="17" t="inlineStr">
        <is>
          <t>The state of the art on design patterns: A systematic mapping of the literature</t>
        </is>
      </c>
      <c r="C59" s="17" t="inlineStr">
        <is>
          <t>Thabiso Matsaba</t>
        </is>
      </c>
      <c r="D59" s="38" t="inlineStr">
        <is>
          <t>Exclude</t>
        </is>
      </c>
      <c r="E59" s="38" t="inlineStr">
        <is>
          <t>Secondary/tertiary study (SLR/SMS) – no primary technical contribution applying AI to model-engineering tasks</t>
        </is>
      </c>
      <c r="F59" s="17" t="inlineStr">
        <is>
          <t>Assessed at full-text; does not meet AI-DME inclusion criteria</t>
        </is>
      </c>
    </row>
    <row r="60" ht="15" customHeight="1" s="12">
      <c r="A60" s="17" t="n">
        <v>58</v>
      </c>
      <c r="B60" s="17" t="inlineStr">
        <is>
          <t>Requirements-driven database evolution: A systematic literature review</t>
        </is>
      </c>
      <c r="C60" s="17" t="inlineStr">
        <is>
          <t>Thabiso Matsaba</t>
        </is>
      </c>
      <c r="D60" s="38" t="inlineStr">
        <is>
          <t>Exclude</t>
        </is>
      </c>
      <c r="E60" s="38" t="inlineStr">
        <is>
          <t>Secondary/tertiary study (SLR/SMS) – no primary technical contribution applying AI to model-engineering tasks</t>
        </is>
      </c>
      <c r="F60" s="17" t="inlineStr">
        <is>
          <t>Assessed at full-text; does not meet AI-DME inclusion criteria</t>
        </is>
      </c>
    </row>
    <row r="61" ht="15" customHeight="1" s="12">
      <c r="A61" s="17" t="n">
        <v>59</v>
      </c>
      <c r="B61" s="17" t="inlineStr">
        <is>
          <t>Automated inference of likely metamorphic relations for model transformations</t>
        </is>
      </c>
      <c r="C61" s="17" t="inlineStr">
        <is>
          <t>Thabiso Matsaba</t>
        </is>
      </c>
      <c r="D61" s="38" t="inlineStr">
        <is>
          <t>Exclude</t>
        </is>
      </c>
      <c r="E61" s="38" t="inlineStr">
        <is>
          <t>Model-driven topic present but does not apply an identifiable AI technique (LLM/ML/DL/agents) to generate, transform, validate, repair or evolve software models</t>
        </is>
      </c>
      <c r="F61" s="17" t="inlineStr">
        <is>
          <t>Assessed at full-text; does not meet AI-DME inclusion criteria</t>
        </is>
      </c>
    </row>
    <row r="62" ht="15" customHeight="1" s="12">
      <c r="A62" s="17" t="n">
        <v>60</v>
      </c>
      <c r="B62" s="17" t="inlineStr">
        <is>
          <t>Software traceability in the automotive domain: Challenges and solutions</t>
        </is>
      </c>
      <c r="C62" s="17" t="inlineStr">
        <is>
          <t>Thabiso Matsaba</t>
        </is>
      </c>
      <c r="D62" s="38" t="inlineStr">
        <is>
          <t>Exclude</t>
        </is>
      </c>
      <c r="E62" s="38" t="inlineStr">
        <is>
          <t>Does not apply an identifiable AI technique to a software model-engineering task (out of AI-DME scope)</t>
        </is>
      </c>
      <c r="F62" s="17" t="inlineStr">
        <is>
          <t>Assessed at full-text; does not meet AI-DME inclusion criteria</t>
        </is>
      </c>
    </row>
    <row r="63" ht="15" customHeight="1" s="12">
      <c r="A63" s="17" t="n">
        <v>61</v>
      </c>
      <c r="B63" s="17" t="inlineStr">
        <is>
          <t>A model-based solution for automated (Re-)engineering of task-oriented chatbots</t>
        </is>
      </c>
      <c r="C63" s="17" t="inlineStr">
        <is>
          <t>Thabiso Matsaba</t>
        </is>
      </c>
      <c r="D63" s="38" t="inlineStr">
        <is>
          <t>Exclude</t>
        </is>
      </c>
      <c r="E63" s="38" t="inlineStr">
        <is>
          <t>Model-driven topic present but does not apply an identifiable AI technique (LLM/ML/DL/agents) to generate, transform, validate, repair or evolve software models</t>
        </is>
      </c>
      <c r="F63" s="17" t="inlineStr">
        <is>
          <t>Assessed at full-text; does not meet AI-DME inclusion criteria</t>
        </is>
      </c>
    </row>
    <row r="64" ht="15" customHeight="1" s="12">
      <c r="A64" s="17" t="n">
        <v>62</v>
      </c>
      <c r="B64" s="17" t="inlineStr">
        <is>
          <t>A family of experiments to generate graphical user interfaces from BPMN models with stereotypes</t>
        </is>
      </c>
      <c r="C64" s="17" t="inlineStr">
        <is>
          <t>Thabiso Matsaba</t>
        </is>
      </c>
      <c r="D64" s="38" t="inlineStr">
        <is>
          <t>Exclude</t>
        </is>
      </c>
      <c r="E64" s="38" t="inlineStr">
        <is>
          <t>Model-driven topic present but does not apply an identifiable AI technique (LLM/ML/DL/agents) to generate, transform, validate, repair or evolve software models</t>
        </is>
      </c>
      <c r="F64" s="17" t="inlineStr">
        <is>
          <t>Assessed at full-text; does not meet AI-DME inclusion criteria</t>
        </is>
      </c>
    </row>
    <row r="65" ht="15" customHeight="1" s="12">
      <c r="A65" s="17" t="n">
        <v>63</v>
      </c>
      <c r="B65" s="17" t="inlineStr">
        <is>
          <t>Model transformation and property preservation in rigorous software development: A systematic literature review</t>
        </is>
      </c>
      <c r="C65" s="17" t="inlineStr">
        <is>
          <t>Thabiso Matsaba</t>
        </is>
      </c>
      <c r="D65" s="38" t="inlineStr">
        <is>
          <t>Exclude</t>
        </is>
      </c>
      <c r="E65" s="38" t="inlineStr">
        <is>
          <t>Secondary/tertiary study (SLR/SMS) – no primary technical contribution applying AI to model-engineering tasks</t>
        </is>
      </c>
      <c r="F65" s="17" t="inlineStr">
        <is>
          <t>Assessed at full-text; does not meet AI-DME inclusion criteria</t>
        </is>
      </c>
    </row>
    <row r="66" ht="15" customHeight="1" s="12">
      <c r="A66" s="17" t="n">
        <v>64</v>
      </c>
      <c r="B66" s="17" t="inlineStr">
        <is>
          <t>Investigating automated change analysis in FinTech regulations</t>
        </is>
      </c>
      <c r="C66" s="17" t="inlineStr">
        <is>
          <t>Thabiso Matsaba</t>
        </is>
      </c>
      <c r="D66" s="38" t="inlineStr">
        <is>
          <t>Exclude</t>
        </is>
      </c>
      <c r="E66" s="38" t="inlineStr">
        <is>
          <t>Does not apply an identifiable AI technique to a software model-engineering task (out of AI-DME scope)</t>
        </is>
      </c>
      <c r="F66" s="17" t="inlineStr">
        <is>
          <t>Assessed at full-text; does not meet AI-DME inclusion criteria</t>
        </is>
      </c>
    </row>
    <row r="67" ht="15" customHeight="1" s="12">
      <c r="A67" s="17" t="n">
        <v>65</v>
      </c>
      <c r="B67" s="17" t="inlineStr">
        <is>
          <t>MAS-ML 2.0: Supporting the modelling of multi-agent systems with different agent architectures</t>
        </is>
      </c>
      <c r="C67" s="17" t="inlineStr">
        <is>
          <t>Thabiso Matsaba</t>
        </is>
      </c>
      <c r="D67" s="38" t="inlineStr">
        <is>
          <t>Exclude</t>
        </is>
      </c>
      <c r="E67" s="38" t="inlineStr">
        <is>
          <t>Model-driven topic present but does not apply an identifiable AI technique (LLM/ML/DL/agents) to generate, transform, validate, repair or evolve software models</t>
        </is>
      </c>
      <c r="F67" s="17" t="inlineStr">
        <is>
          <t>Assessed at full-text; does not meet AI-DME inclusion criteria</t>
        </is>
      </c>
    </row>
    <row r="68" ht="15" customHeight="1" s="12">
      <c r="A68" s="17" t="n">
        <v>66</v>
      </c>
      <c r="B68" s="17" t="inlineStr">
        <is>
          <t>Software architectures for robotic systems: A systematic mapping study</t>
        </is>
      </c>
      <c r="C68" s="17" t="inlineStr">
        <is>
          <t>Thabiso Matsaba</t>
        </is>
      </c>
      <c r="D68" s="38" t="inlineStr">
        <is>
          <t>Exclude</t>
        </is>
      </c>
      <c r="E68" s="38" t="inlineStr">
        <is>
          <t>Secondary/tertiary study (SLR/SMS) – no primary technical contribution applying AI to model-engineering tasks</t>
        </is>
      </c>
      <c r="F68" s="17" t="inlineStr">
        <is>
          <t>Assessed at full-text; does not meet AI-DME inclusion criteria</t>
        </is>
      </c>
    </row>
    <row r="69" ht="15" customHeight="1" s="12">
      <c r="A69" s="17" t="n">
        <v>67</v>
      </c>
      <c r="B69" s="17" t="inlineStr">
        <is>
          <t>Software architecture for quantum computing systems — A systematic review</t>
        </is>
      </c>
      <c r="C69" s="17" t="inlineStr">
        <is>
          <t>Thabiso Matsaba</t>
        </is>
      </c>
      <c r="D69" s="38" t="inlineStr">
        <is>
          <t>Exclude</t>
        </is>
      </c>
      <c r="E69" s="38" t="inlineStr">
        <is>
          <t>Secondary/tertiary study (SLR/SMS) – no primary technical contribution applying AI to model-engineering tasks</t>
        </is>
      </c>
      <c r="F69" s="17" t="inlineStr">
        <is>
          <t>Assessed at full-text; does not meet AI-DME inclusion criteria</t>
        </is>
      </c>
    </row>
    <row r="70" ht="15" customHeight="1" s="12">
      <c r="A70" s="17" t="n">
        <v>68</v>
      </c>
      <c r="B70" s="17" t="inlineStr">
        <is>
          <t>On the engineering of robust microservice architectures through anti-pattern recognition</t>
        </is>
      </c>
      <c r="C70" s="17" t="inlineStr">
        <is>
          <t>Thabiso Matsaba</t>
        </is>
      </c>
      <c r="D70" s="38" t="inlineStr">
        <is>
          <t>Exclude</t>
        </is>
      </c>
      <c r="E70" s="38" t="inlineStr">
        <is>
          <t>Does not apply an identifiable AI technique to a software model-engineering task (out of AI-DME scope)</t>
        </is>
      </c>
      <c r="F70" s="17" t="inlineStr">
        <is>
          <t>Assessed at full-text; does not meet AI-DME inclusion criteria</t>
        </is>
      </c>
    </row>
    <row r="71" ht="15" customHeight="1" s="12">
      <c r="A71" s="17" t="n">
        <v>69</v>
      </c>
      <c r="B71" s="17" t="inlineStr">
        <is>
          <t>Retriever: A view-based approach to reverse engineering software architecture models</t>
        </is>
      </c>
      <c r="C71" s="17" t="inlineStr">
        <is>
          <t>Thabiso Matsaba</t>
        </is>
      </c>
      <c r="D71" s="38" t="inlineStr">
        <is>
          <t>Exclude</t>
        </is>
      </c>
      <c r="E71" s="38" t="inlineStr">
        <is>
          <t>Does not apply an identifiable AI technique to a software model-engineering task (out of AI-DME scope)</t>
        </is>
      </c>
      <c r="F71" s="17" t="inlineStr">
        <is>
          <t>Assessed at full-text; does not meet AI-DME inclusion criteria</t>
        </is>
      </c>
    </row>
    <row r="72" ht="15" customHeight="1" s="12">
      <c r="A72" s="17" t="n">
        <v>70</v>
      </c>
      <c r="B72" s="17" t="inlineStr">
        <is>
          <t>Architecting ML-enabled systems: Challenges, best practices, and design decisions</t>
        </is>
      </c>
      <c r="C72" s="17" t="inlineStr">
        <is>
          <t>Thabiso Matsaba</t>
        </is>
      </c>
      <c r="D72" s="38" t="inlineStr">
        <is>
          <t>Exclude</t>
        </is>
      </c>
      <c r="E72" s="38" t="inlineStr">
        <is>
          <t>Does not apply an identifiable AI technique to a software model-engineering task (out of AI-DME scope)</t>
        </is>
      </c>
      <c r="F72" s="17" t="inlineStr">
        <is>
          <t>Assessed at full-text; does not meet AI-DME inclusion criteria</t>
        </is>
      </c>
    </row>
    <row r="73" ht="15" customHeight="1" s="12">
      <c r="A73" s="17" t="n">
        <v>71</v>
      </c>
      <c r="B73" s="17" t="inlineStr">
        <is>
          <t>Testing bidirectional model transformation using metamorphic testing</t>
        </is>
      </c>
      <c r="C73" s="17" t="inlineStr">
        <is>
          <t>Thabiso Matsaba</t>
        </is>
      </c>
      <c r="D73" s="38" t="inlineStr">
        <is>
          <t>Exclude</t>
        </is>
      </c>
      <c r="E73" s="38" t="inlineStr">
        <is>
          <t>Model-driven topic present but does not apply an identifiable AI technique (LLM/ML/DL/agents) to generate, transform, validate, repair or evolve software models</t>
        </is>
      </c>
      <c r="F73" s="17" t="inlineStr">
        <is>
          <t>Assessed at full-text; does not meet AI-DME inclusion criteria</t>
        </is>
      </c>
    </row>
    <row r="74" ht="15" customHeight="1" s="12">
      <c r="A74" s="17" t="n">
        <v>72</v>
      </c>
      <c r="B74" s="17" t="inlineStr">
        <is>
          <t>Understanding the landscape of software modelling assistants for MDSE tools: A systematic mapping</t>
        </is>
      </c>
      <c r="C74" s="17" t="inlineStr">
        <is>
          <t>Thabiso Matsaba</t>
        </is>
      </c>
      <c r="D74" s="38" t="inlineStr">
        <is>
          <t>Exclude</t>
        </is>
      </c>
      <c r="E74" s="38" t="inlineStr">
        <is>
          <t>Secondary/tertiary study (SLR/SMS) – no primary technical contribution applying AI to model-engineering tasks</t>
        </is>
      </c>
      <c r="F74" s="17" t="inlineStr">
        <is>
          <t>Assessed at full-text; does not meet AI-DME inclusion criteria</t>
        </is>
      </c>
    </row>
    <row r="75" ht="15" customHeight="1" s="12">
      <c r="A75" s="17" t="n">
        <v>73</v>
      </c>
      <c r="B75" s="17" t="inlineStr">
        <is>
          <t>Extracting REST resource models from procedure-oriented service interfaces</t>
        </is>
      </c>
      <c r="C75" s="17" t="inlineStr">
        <is>
          <t>Thabiso Matsaba</t>
        </is>
      </c>
      <c r="D75" s="38" t="inlineStr">
        <is>
          <t>Exclude</t>
        </is>
      </c>
      <c r="E75" s="38" t="inlineStr">
        <is>
          <t>Does not apply an identifiable AI technique to a software model-engineering task (out of AI-DME scope)</t>
        </is>
      </c>
      <c r="F75" s="17" t="inlineStr">
        <is>
          <t>Assessed at full-text; does not meet AI-DME inclusion criteria</t>
        </is>
      </c>
    </row>
    <row r="76" ht="15" customHeight="1" s="12">
      <c r="A76" s="17" t="n">
        <v>74</v>
      </c>
      <c r="B76" s="17" t="inlineStr">
        <is>
          <t>Facilitating the co-evolution of semantic descriptions in standards and models</t>
        </is>
      </c>
      <c r="C76" s="17" t="inlineStr">
        <is>
          <t>Thabiso Matsaba</t>
        </is>
      </c>
      <c r="D76" s="38" t="inlineStr">
        <is>
          <t>Exclude</t>
        </is>
      </c>
      <c r="E76" s="38" t="inlineStr">
        <is>
          <t>Does not apply an identifiable AI technique to a software model-engineering task (out of AI-DME scope)</t>
        </is>
      </c>
      <c r="F76" s="17" t="inlineStr">
        <is>
          <t>Assessed at full-text; does not meet AI-DME inclusion criteria</t>
        </is>
      </c>
    </row>
    <row r="77" ht="15" customHeight="1" s="12">
      <c r="A77" s="17" t="n">
        <v>75</v>
      </c>
      <c r="B77" s="17" t="inlineStr">
        <is>
          <t>A generic approach to model generation operations</t>
        </is>
      </c>
      <c r="C77" s="17" t="inlineStr">
        <is>
          <t>Thabiso Matsaba</t>
        </is>
      </c>
      <c r="D77" s="38" t="inlineStr">
        <is>
          <t>Exclude</t>
        </is>
      </c>
      <c r="E77" s="38" t="inlineStr">
        <is>
          <t>Model-driven topic present but does not apply an identifiable AI technique (LLM/ML/DL/agents) to generate, transform, validate, repair or evolve software models</t>
        </is>
      </c>
      <c r="F77" s="17" t="inlineStr">
        <is>
          <t>Assessed at full-text; does not meet AI-DME inclusion criteria</t>
        </is>
      </c>
    </row>
    <row r="78" ht="15" customHeight="1" s="12">
      <c r="A78" s="17" t="n">
        <v>76</v>
      </c>
      <c r="B78" s="17" t="inlineStr">
        <is>
          <t>The impact of tailoring criteria on agile practices adoption: A survey with novice agile practitioners in Brazil</t>
        </is>
      </c>
      <c r="C78" s="17" t="inlineStr">
        <is>
          <t>Thabiso Matsaba</t>
        </is>
      </c>
      <c r="D78" s="38" t="inlineStr">
        <is>
          <t>Exclude</t>
        </is>
      </c>
      <c r="E78" s="38" t="inlineStr">
        <is>
          <t>Does not apply an identifiable AI technique to a software model-engineering task (out of AI-DME scope)</t>
        </is>
      </c>
      <c r="F78" s="17" t="inlineStr">
        <is>
          <t>Assessed at full-text; does not meet AI-DME inclusion criteria</t>
        </is>
      </c>
    </row>
    <row r="79" ht="15" customHeight="1" s="12">
      <c r="A79" s="17" t="n">
        <v>77</v>
      </c>
      <c r="B79" s="17" t="inlineStr">
        <is>
          <t>Architectural conformance checking for KDM-represented systems</t>
        </is>
      </c>
      <c r="C79" s="17" t="inlineStr">
        <is>
          <t>Thabiso Matsaba</t>
        </is>
      </c>
      <c r="D79" s="38" t="inlineStr">
        <is>
          <t>Exclude</t>
        </is>
      </c>
      <c r="E79" s="38" t="inlineStr">
        <is>
          <t>Model-driven topic present but does not apply an identifiable AI technique (LLM/ML/DL/agents) to generate, transform, validate, repair or evolve software models</t>
        </is>
      </c>
      <c r="F79" s="17" t="inlineStr">
        <is>
          <t>Assessed at full-text; does not meet AI-DME inclusion criteria</t>
        </is>
      </c>
    </row>
    <row r="80" ht="15" customHeight="1" s="12">
      <c r="A80" s="17" t="n">
        <v>78</v>
      </c>
      <c r="B80" s="17" t="inlineStr">
        <is>
          <t>Personalization goals for run-time adaptation of IoT-based assistance applications for the elderly</t>
        </is>
      </c>
      <c r="C80" s="17" t="inlineStr">
        <is>
          <t>Thabiso Matsaba</t>
        </is>
      </c>
      <c r="D80" s="38" t="inlineStr">
        <is>
          <t>Exclude</t>
        </is>
      </c>
      <c r="E80" s="38" t="inlineStr">
        <is>
          <t>Does not apply an identifiable AI technique to a software model-engineering task (out of AI-DME scope)</t>
        </is>
      </c>
      <c r="F80" s="17" t="inlineStr">
        <is>
          <t>Assessed at full-text; does not meet AI-DME inclusion criteria</t>
        </is>
      </c>
    </row>
    <row r="81" ht="15" customHeight="1" s="12">
      <c r="A81" s="17" t="n">
        <v>79</v>
      </c>
      <c r="B81" s="17" t="inlineStr">
        <is>
          <t>Handling conflicts in consistency management of multi-level models in collaborative Digital Twins modelling environments</t>
        </is>
      </c>
      <c r="C81" s="17" t="inlineStr">
        <is>
          <t>Thabiso Matsaba</t>
        </is>
      </c>
      <c r="D81" s="38" t="inlineStr">
        <is>
          <t>Exclude</t>
        </is>
      </c>
      <c r="E81" s="38" t="inlineStr">
        <is>
          <t>Does not apply an identifiable AI technique to a software model-engineering task (out of AI-DME scope)</t>
        </is>
      </c>
      <c r="F81" s="17" t="inlineStr">
        <is>
          <t>Assessed at full-text; does not meet AI-DME inclusion criteria</t>
        </is>
      </c>
    </row>
    <row r="82" ht="15" customHeight="1" s="12">
      <c r="A82" s="17" t="n">
        <v>80</v>
      </c>
      <c r="B82" s="17" t="inlineStr">
        <is>
          <t>GPTSniffer: A CodeBERT-based classifier to detect source code written by ChatGPT</t>
        </is>
      </c>
      <c r="C82" s="17" t="inlineStr">
        <is>
          <t>Thabiso Matsaba</t>
        </is>
      </c>
      <c r="D82" s="38" t="inlineStr">
        <is>
          <t>Exclude</t>
        </is>
      </c>
      <c r="E82" s="38" t="inlineStr">
        <is>
          <t>Does not apply an identifiable AI technique to a software model-engineering task (out of AI-DME scope)</t>
        </is>
      </c>
      <c r="F82" s="17" t="inlineStr">
        <is>
          <t>Assessed at full-text; does not meet AI-DME inclusion criteria</t>
        </is>
      </c>
    </row>
    <row r="83" ht="15" customHeight="1" s="12">
      <c r="A83" s="17" t="n">
        <v>81</v>
      </c>
      <c r="B83" s="17" t="inlineStr">
        <is>
          <t>Mapping the structure and evolution of software testing research over the past three decades</t>
        </is>
      </c>
      <c r="C83" s="17" t="inlineStr">
        <is>
          <t>Thabiso Matsaba</t>
        </is>
      </c>
      <c r="D83" s="38" t="inlineStr">
        <is>
          <t>Exclude</t>
        </is>
      </c>
      <c r="E83" s="38" t="inlineStr">
        <is>
          <t>Does not apply an identifiable AI technique to a software model-engineering task (out of AI-DME scope)</t>
        </is>
      </c>
      <c r="F83" s="17" t="inlineStr">
        <is>
          <t>Assessed at full-text; does not meet AI-DME inclusion criteria</t>
        </is>
      </c>
    </row>
    <row r="84" ht="15" customHeight="1" s="12">
      <c r="A84" s="17" t="n">
        <v>82</v>
      </c>
      <c r="B84" s="17" t="inlineStr">
        <is>
          <t>SemuFuzz: An efficient fuzzing approach for deep learning libraries based on semantic representation</t>
        </is>
      </c>
      <c r="C84" s="17" t="inlineStr">
        <is>
          <t>Thabiso Matsaba</t>
        </is>
      </c>
      <c r="D84" s="38" t="inlineStr">
        <is>
          <t>Exclude</t>
        </is>
      </c>
      <c r="E84" s="38" t="inlineStr">
        <is>
          <t>Does not apply an identifiable AI technique to a software model-engineering task (out of AI-DME scope)</t>
        </is>
      </c>
      <c r="F84" s="17" t="inlineStr">
        <is>
          <t>Assessed at full-text; does not meet AI-DME inclusion criteria</t>
        </is>
      </c>
    </row>
    <row r="85" ht="15" customHeight="1" s="12">
      <c r="A85" s="17" t="n">
        <v>83</v>
      </c>
      <c r="B85" s="17" t="inlineStr">
        <is>
          <t>Extracting SBVR business vocabularies and business rules from UML use case diagrams</t>
        </is>
      </c>
      <c r="C85" s="17" t="inlineStr">
        <is>
          <t>Thabiso Matsaba</t>
        </is>
      </c>
      <c r="D85" s="38" t="inlineStr">
        <is>
          <t>Exclude</t>
        </is>
      </c>
      <c r="E85" s="38" t="inlineStr">
        <is>
          <t>Model-driven topic present but does not apply an identifiable AI technique (LLM/ML/DL/agents) to generate, transform, validate, repair or evolve software models</t>
        </is>
      </c>
      <c r="F85" s="17" t="inlineStr">
        <is>
          <t>Assessed at full-text; does not meet AI-DME inclusion criteria</t>
        </is>
      </c>
    </row>
    <row r="86" ht="15" customHeight="1" s="12">
      <c r="A86" s="17" t="n">
        <v>84</v>
      </c>
      <c r="B86" s="17" t="inlineStr">
        <is>
          <t>GRuM — A flexible model-driven runtime monitoring framework and its application to automated aerial and ground vehicles</t>
        </is>
      </c>
      <c r="C86" s="17" t="inlineStr">
        <is>
          <t>Thabiso Matsaba</t>
        </is>
      </c>
      <c r="D86" s="38" t="inlineStr">
        <is>
          <t>Exclude</t>
        </is>
      </c>
      <c r="E86" s="38" t="inlineStr">
        <is>
          <t>Model-driven topic present but does not apply an identifiable AI technique (LLM/ML/DL/agents) to generate, transform, validate, repair or evolve software models</t>
        </is>
      </c>
      <c r="F86" s="17" t="inlineStr">
        <is>
          <t>Assessed at full-text; does not meet AI-DME inclusion criteria</t>
        </is>
      </c>
    </row>
    <row r="87" ht="15" customHeight="1" s="12">
      <c r="A87" s="17" t="n">
        <v>85</v>
      </c>
      <c r="B87" s="17" t="inlineStr">
        <is>
          <t>Verifying contracts among software components: An ontology-based approach</t>
        </is>
      </c>
      <c r="C87" s="17" t="inlineStr">
        <is>
          <t>Thabiso Matsaba</t>
        </is>
      </c>
      <c r="D87" s="38" t="inlineStr">
        <is>
          <t>Exclude</t>
        </is>
      </c>
      <c r="E87" s="38" t="inlineStr">
        <is>
          <t>Does not apply an identifiable AI technique to a software model-engineering task (out of AI-DME scope)</t>
        </is>
      </c>
      <c r="F87" s="17" t="inlineStr">
        <is>
          <t>Assessed at full-text; does not meet AI-DME inclusion criteria</t>
        </is>
      </c>
    </row>
    <row r="88" ht="15" customHeight="1" s="12">
      <c r="A88" s="17" t="n">
        <v>86</v>
      </c>
      <c r="B88" s="17" t="inlineStr">
        <is>
          <t>Modeling, analyzing and predicting security cascading attacks in smart buildings systems-of-systems</t>
        </is>
      </c>
      <c r="C88" s="17" t="inlineStr">
        <is>
          <t>Thabiso Matsaba</t>
        </is>
      </c>
      <c r="D88" s="38" t="inlineStr">
        <is>
          <t>Exclude</t>
        </is>
      </c>
      <c r="E88" s="38" t="inlineStr">
        <is>
          <t>Does not apply an identifiable AI technique to a software model-engineering task (out of AI-DME scope)</t>
        </is>
      </c>
      <c r="F88" s="17" t="inlineStr">
        <is>
          <t>Assessed at full-text; does not meet AI-DME inclusion criteria</t>
        </is>
      </c>
    </row>
    <row r="89" ht="15" customHeight="1" s="12">
      <c r="A89" s="17" t="n">
        <v>87</v>
      </c>
      <c r="B89" s="17" t="inlineStr">
        <is>
          <t>Optimization methods for model-implemented fault injection in cyber–physical systems: A Systematic Literature Review</t>
        </is>
      </c>
      <c r="C89" s="17" t="inlineStr">
        <is>
          <t>Thabiso Matsaba</t>
        </is>
      </c>
      <c r="D89" s="38" t="inlineStr">
        <is>
          <t>Exclude</t>
        </is>
      </c>
      <c r="E89" s="38" t="inlineStr">
        <is>
          <t>Secondary/tertiary study (SLR/SMS) – no primary technical contribution applying AI to model-engineering tasks</t>
        </is>
      </c>
      <c r="F89" s="17" t="inlineStr">
        <is>
          <t>Assessed at full-text; does not meet AI-DME inclusion criteria</t>
        </is>
      </c>
    </row>
    <row r="90" ht="15" customHeight="1" s="12">
      <c r="A90" s="17" t="n">
        <v>88</v>
      </c>
      <c r="B90" s="17" t="inlineStr">
        <is>
          <t>Developing software systems to Big Data platform based on MapReduce model: An approach based on Model Driven Engineering</t>
        </is>
      </c>
      <c r="C90" s="17" t="inlineStr">
        <is>
          <t>Thabiso Matsaba</t>
        </is>
      </c>
      <c r="D90" s="38" t="inlineStr">
        <is>
          <t>Exclude</t>
        </is>
      </c>
      <c r="E90" s="38" t="inlineStr">
        <is>
          <t>Does not apply an identifiable AI technique to a software model-engineering task (out of AI-DME scope)</t>
        </is>
      </c>
      <c r="F90" s="17" t="inlineStr">
        <is>
          <t>Assessed at full-text; does not meet AI-DME inclusion criteria</t>
        </is>
      </c>
    </row>
    <row r="91" ht="15" customHeight="1" s="12">
      <c r="A91" s="17" t="n">
        <v>89</v>
      </c>
      <c r="B91" s="17" t="inlineStr">
        <is>
          <t>Finding faults: A scoping study of fault diagnostics for Industrial Cyber–Physical Systems</t>
        </is>
      </c>
      <c r="C91" s="17" t="inlineStr">
        <is>
          <t>Thabiso Matsaba</t>
        </is>
      </c>
      <c r="D91" s="38" t="inlineStr">
        <is>
          <t>Exclude</t>
        </is>
      </c>
      <c r="E91" s="38" t="inlineStr">
        <is>
          <t>Does not apply an identifiable AI technique to a software model-engineering task (out of AI-DME scope)</t>
        </is>
      </c>
      <c r="F91" s="17" t="inlineStr">
        <is>
          <t>Assessed at full-text; does not meet AI-DME inclusion criteria</t>
        </is>
      </c>
    </row>
    <row r="92" ht="15" customHeight="1" s="12">
      <c r="A92" s="17" t="n">
        <v>90</v>
      </c>
      <c r="B92" s="17" t="inlineStr">
        <is>
          <t>A data-driven decision model for selecting ML models in research software</t>
        </is>
      </c>
      <c r="C92" s="17" t="inlineStr">
        <is>
          <t>Thabiso Matsaba</t>
        </is>
      </c>
      <c r="D92" s="38" t="inlineStr">
        <is>
          <t>Exclude</t>
        </is>
      </c>
      <c r="E92" s="38" t="inlineStr">
        <is>
          <t>Does not apply an identifiable AI technique to a software model-engineering task (out of AI-DME scope)</t>
        </is>
      </c>
      <c r="F92" s="17" t="inlineStr">
        <is>
          <t>Assessed at full-text; does not meet AI-DME inclusion criteria</t>
        </is>
      </c>
    </row>
    <row r="93" ht="15" customHeight="1" s="12">
      <c r="A93" s="17" t="n">
        <v>91</v>
      </c>
      <c r="B93" s="17" t="inlineStr">
        <is>
          <t>Developing Mobile Applications Via Model Driven Development: A Systematic Literature Review</t>
        </is>
      </c>
      <c r="C93" s="17" t="inlineStr">
        <is>
          <t>Thabiso Matsaba</t>
        </is>
      </c>
      <c r="D93" s="38" t="inlineStr">
        <is>
          <t>Exclude</t>
        </is>
      </c>
      <c r="E93" s="38" t="inlineStr">
        <is>
          <t>Secondary/tertiary study (SLR/SMS) – no primary technical contribution applying AI to model-engineering tasks</t>
        </is>
      </c>
      <c r="F93" s="17" t="inlineStr">
        <is>
          <t>Assessed at full-text; does not meet AI-DME inclusion criteria</t>
        </is>
      </c>
    </row>
    <row r="94" ht="15" customHeight="1" s="12">
      <c r="A94" s="17" t="n">
        <v>92</v>
      </c>
      <c r="B94" s="17" t="inlineStr">
        <is>
          <t>A conceptual and architectural characterization of antifragile systems</t>
        </is>
      </c>
      <c r="C94" s="17" t="inlineStr">
        <is>
          <t>Thabiso Matsaba</t>
        </is>
      </c>
      <c r="D94" s="38" t="inlineStr">
        <is>
          <t>Exclude</t>
        </is>
      </c>
      <c r="E94" s="38" t="inlineStr">
        <is>
          <t>No identifiable AI technique applied to a model-engineering task</t>
        </is>
      </c>
      <c r="F94" s="17" t="inlineStr">
        <is>
          <t>Assessed at full-text; does not meet AI-DME inclusion criteria</t>
        </is>
      </c>
    </row>
    <row r="95" ht="15" customHeight="1" s="12">
      <c r="A95" s="17" t="n">
        <v>93</v>
      </c>
      <c r="B95" s="17" t="inlineStr">
        <is>
          <t>Model-based safety analysis of requirement specifications</t>
        </is>
      </c>
      <c r="C95" s="17" t="inlineStr">
        <is>
          <t>Thabiso Matsaba</t>
        </is>
      </c>
      <c r="D95" s="38" t="inlineStr">
        <is>
          <t>Exclude</t>
        </is>
      </c>
      <c r="E95" s="38" t="inlineStr">
        <is>
          <t>Formal/model-based analysis without identifiable AI technique applied to model engineering</t>
        </is>
      </c>
      <c r="F95" s="17" t="inlineStr">
        <is>
          <t>Assessed at full-text; does not meet AI-DME inclusion criteria</t>
        </is>
      </c>
    </row>
    <row r="96" ht="15" customHeight="1" s="12">
      <c r="A96" s="17" t="n">
        <v>94</v>
      </c>
      <c r="B96" s="17" t="inlineStr">
        <is>
          <t>Runtime composition in dynamic system of systems: A systematic review of challenges, solutions, tools, and evaluation methods</t>
        </is>
      </c>
      <c r="C96" s="17" t="inlineStr">
        <is>
          <t>Thabiso Matsaba</t>
        </is>
      </c>
      <c r="D96" s="38" t="inlineStr">
        <is>
          <t>Exclude</t>
        </is>
      </c>
      <c r="E96" s="38" t="inlineStr">
        <is>
          <t>Runtime composition / SoS focus; does not apply AI to software model generation, validation or transformation</t>
        </is>
      </c>
      <c r="F96" s="17" t="inlineStr">
        <is>
          <t>Assessed at full-text; does not meet AI-DME inclusion criteria</t>
        </is>
      </c>
    </row>
    <row r="97" ht="15" customHeight="1" s="12">
      <c r="A97" s="17" t="n">
        <v>95</v>
      </c>
      <c r="B97" s="17" t="inlineStr">
        <is>
          <t>Supporting meta-model-based language evolution and rapid prototyping with automated grammar transformation</t>
        </is>
      </c>
      <c r="C97" s="17" t="inlineStr">
        <is>
          <t>Thabiso Matsaba</t>
        </is>
      </c>
      <c r="D97" s="38" t="inlineStr">
        <is>
          <t>Exclude</t>
        </is>
      </c>
      <c r="E97" s="38" t="inlineStr">
        <is>
          <t>Language/metamodel evolution tooling; no AI technique used</t>
        </is>
      </c>
      <c r="F97" s="17" t="inlineStr">
        <is>
          <t>Assessed at full-text; does not meet AI-DME inclusion criteria</t>
        </is>
      </c>
    </row>
    <row r="98" ht="15" customHeight="1" s="12">
      <c r="A98" s="17" t="n">
        <v>96</v>
      </c>
      <c r="B98" s="17" t="inlineStr">
        <is>
          <t>An architectural perspective on MLOps: Structures, processes, tools, and stakeholders</t>
        </is>
      </c>
      <c r="C98" s="17" t="inlineStr">
        <is>
          <t>Thabiso Matsaba</t>
        </is>
      </c>
      <c r="D98" s="38" t="inlineStr">
        <is>
          <t>Exclude</t>
        </is>
      </c>
      <c r="E98" s="38" t="inlineStr">
        <is>
          <t>Addresses ML/MLOps engineering rather than AI applied to software models (UML/SysML/DSL/metamodels)</t>
        </is>
      </c>
      <c r="F98" s="17" t="inlineStr">
        <is>
          <t>Assessed at full-text; does not meet AI-DME inclusion criteria</t>
        </is>
      </c>
    </row>
    <row r="99" ht="15" customHeight="1" s="12">
      <c r="A99" s="17" t="n">
        <v>97</v>
      </c>
      <c r="B99" s="17" t="inlineStr">
        <is>
          <t>Evolving models in Model-Driven Engineering: State-of-the-art and future challenges</t>
        </is>
      </c>
      <c r="C99" s="17" t="inlineStr">
        <is>
          <t>Thabiso Matsaba</t>
        </is>
      </c>
      <c r="D99" s="38" t="inlineStr">
        <is>
          <t>Exclude</t>
        </is>
      </c>
      <c r="E99" s="38" t="inlineStr">
        <is>
          <t>Conceptual/state-of-the-art discussion without a technical AI contribution to model engineering</t>
        </is>
      </c>
      <c r="F99" s="17" t="inlineStr">
        <is>
          <t>Assessed at full-text; does not meet AI-DME inclusion criteria</t>
        </is>
      </c>
    </row>
    <row r="100" ht="15" customHeight="1" s="12">
      <c r="A100" s="17" t="n">
        <v>98</v>
      </c>
      <c r="B100" s="17" t="inlineStr">
        <is>
          <t>A systematic literature review on model-based requirements engineering</t>
        </is>
      </c>
      <c r="C100" s="17" t="inlineStr">
        <is>
          <t>Thabiso Matsaba</t>
        </is>
      </c>
      <c r="D100" s="38" t="inlineStr">
        <is>
          <t>Exclude</t>
        </is>
      </c>
      <c r="E100" s="38" t="inlineStr">
        <is>
          <t>Secondary/tertiary study (SLR/SMS) – no primary technical contribution applying AI to model-engineering tasks</t>
        </is>
      </c>
      <c r="F100" s="17" t="inlineStr">
        <is>
          <t>Assessed at full-text; does not meet AI-DME inclusion criteria</t>
        </is>
      </c>
    </row>
    <row r="101" ht="15" customHeight="1" s="12">
      <c r="A101" s="17" t="n">
        <v>99</v>
      </c>
      <c r="B101" s="17" t="inlineStr">
        <is>
          <t>Specifying uncertainty in use case models</t>
        </is>
      </c>
      <c r="C101" s="17" t="inlineStr">
        <is>
          <t>Thabiso Matsaba</t>
        </is>
      </c>
      <c r="D101" s="38" t="inlineStr">
        <is>
          <t>Exclude</t>
        </is>
      </c>
      <c r="E101" s="38" t="inlineStr">
        <is>
          <t>No identifiable AI technique; traditional modelling extension only</t>
        </is>
      </c>
      <c r="F101" s="17" t="inlineStr">
        <is>
          <t>Assessed at full-text; does not meet AI-DME inclusion criteria</t>
        </is>
      </c>
    </row>
    <row r="102" ht="15" customHeight="1" s="12">
      <c r="A102" s="17" t="n">
        <v>100</v>
      </c>
      <c r="B102" s="17" t="inlineStr">
        <is>
          <t>Performance comparison of query-based techniques for anti-pattern detection</t>
        </is>
      </c>
      <c r="C102" s="17" t="inlineStr">
        <is>
          <t>Thabiso Matsaba</t>
        </is>
      </c>
      <c r="D102" s="38" t="inlineStr">
        <is>
          <t>Exclude</t>
        </is>
      </c>
      <c r="E102" s="38" t="inlineStr">
        <is>
          <t>Does not apply an identifiable AI technique to a software model-engineering task (out of AI-DME scope)</t>
        </is>
      </c>
      <c r="F102" s="17" t="inlineStr">
        <is>
          <t>Assessed at full-text; does not meet AI-DME inclusion criteria</t>
        </is>
      </c>
    </row>
    <row r="103" ht="15" customHeight="1" s="12">
      <c r="A103" s="17" t="n">
        <v>101</v>
      </c>
      <c r="B103" s="17" t="inlineStr">
        <is>
          <t>Structured policy modeling and context-aware generation for multi-jurisdictional compliance in global software systems</t>
        </is>
      </c>
      <c r="C103" s="17" t="inlineStr">
        <is>
          <t>Thabiso Matsaba</t>
        </is>
      </c>
      <c r="D103" s="38" t="inlineStr">
        <is>
          <t>Exclude</t>
        </is>
      </c>
      <c r="E103" s="38" t="inlineStr">
        <is>
          <t>Does not apply an identifiable AI technique to a software model-engineering task (out of AI-DME scope)</t>
        </is>
      </c>
      <c r="F103" s="17" t="inlineStr">
        <is>
          <t>Assessed at full-text; does not meet AI-DME inclusion criteria</t>
        </is>
      </c>
    </row>
    <row r="104" ht="15" customHeight="1" s="12">
      <c r="A104" s="17" t="n">
        <v>102</v>
      </c>
      <c r="B104" s="17" t="inlineStr">
        <is>
          <t>A method to generate reusable safety case argument-fragments from compositional safety analysis</t>
        </is>
      </c>
      <c r="C104" s="17" t="inlineStr">
        <is>
          <t>Thabiso Matsaba</t>
        </is>
      </c>
      <c r="D104" s="38" t="inlineStr">
        <is>
          <t>Exclude</t>
        </is>
      </c>
      <c r="E104" s="38" t="inlineStr">
        <is>
          <t>Does not apply an identifiable AI technique to a software model-engineering task (out of AI-DME scope)</t>
        </is>
      </c>
      <c r="F104" s="17" t="inlineStr">
        <is>
          <t>Assessed at full-text; does not meet AI-DME inclusion criteria</t>
        </is>
      </c>
    </row>
    <row r="105" ht="15" customHeight="1" s="12">
      <c r="A105" s="17" t="n">
        <v>103</v>
      </c>
      <c r="B105" s="17" t="inlineStr">
        <is>
          <t>Understanding the issues, their causes and solutions in microservices systems: An empirical study</t>
        </is>
      </c>
      <c r="C105" s="17" t="inlineStr">
        <is>
          <t>Thabiso Matsaba</t>
        </is>
      </c>
      <c r="D105" s="38" t="inlineStr">
        <is>
          <t>Exclude</t>
        </is>
      </c>
      <c r="E105" s="38" t="inlineStr">
        <is>
          <t>Microservices maintenance/anti-patterns study; no AI applied to software model generation or transformation</t>
        </is>
      </c>
      <c r="F105" s="17" t="inlineStr">
        <is>
          <t>Assessed at full-text; does not meet AI-DME inclusion criteria</t>
        </is>
      </c>
    </row>
    <row r="106" ht="15" customHeight="1" s="12">
      <c r="A106" s="17" t="n">
        <v>104</v>
      </c>
      <c r="B106" s="17" t="inlineStr">
        <is>
          <t>Software product families from a phylogenetics perspective for video game content generation</t>
        </is>
      </c>
      <c r="C106" s="17" t="inlineStr">
        <is>
          <t>Thabiso Matsaba</t>
        </is>
      </c>
      <c r="D106" s="38" t="inlineStr">
        <is>
          <t>Exclude</t>
        </is>
      </c>
      <c r="E106" s="38" t="inlineStr">
        <is>
          <t>Does not apply an identifiable AI technique to a software model-engineering task (out of AI-DME scope)</t>
        </is>
      </c>
      <c r="F106" s="17" t="inlineStr">
        <is>
          <t>Assessed at full-text; does not meet AI-DME inclusion criteria</t>
        </is>
      </c>
    </row>
    <row r="107" ht="15" customHeight="1" s="12">
      <c r="A107" s="17" t="n">
        <v>105</v>
      </c>
      <c r="B107" s="17" t="inlineStr">
        <is>
          <t>Engineering context-aware systems and applications: A survey</t>
        </is>
      </c>
      <c r="C107" s="17" t="inlineStr">
        <is>
          <t>Thabiso Matsaba</t>
        </is>
      </c>
      <c r="D107" s="38" t="inlineStr">
        <is>
          <t>Exclude</t>
        </is>
      </c>
      <c r="E107" s="38" t="inlineStr">
        <is>
          <t>Does not address software or systems modelling with AI (context-aware/ubiquitous systems focus)</t>
        </is>
      </c>
      <c r="F107" s="17" t="inlineStr">
        <is>
          <t>Assessed at full-text; does not meet AI-DME inclusion criteria</t>
        </is>
      </c>
    </row>
    <row r="108" ht="15" customHeight="1" s="12">
      <c r="A108" s="17" t="n">
        <v>106</v>
      </c>
      <c r="B108" s="17" t="inlineStr">
        <is>
          <t>Safety for mobile robotic systems: A systematic mapping study from a software engineering perspective</t>
        </is>
      </c>
      <c r="C108" s="17" t="inlineStr">
        <is>
          <t>Thabiso Matsaba</t>
        </is>
      </c>
      <c r="D108" s="38" t="inlineStr">
        <is>
          <t>Exclude</t>
        </is>
      </c>
      <c r="E108" s="38" t="inlineStr">
        <is>
          <t>Secondary/tertiary study (SLR/SMS) – no primary technical contribution applying AI to model-engineering tasks</t>
        </is>
      </c>
      <c r="F108" s="17" t="inlineStr">
        <is>
          <t>Assessed at full-text; does not meet AI-DME inclusion criteria</t>
        </is>
      </c>
    </row>
    <row r="109" ht="15" customHeight="1" s="12">
      <c r="A109" s="17" t="n">
        <v>107</v>
      </c>
      <c r="B109" s="17" t="inlineStr">
        <is>
          <t>Understanding the challenges and requirements for facilitating iStar learning: An empirical study with iStar learners</t>
        </is>
      </c>
      <c r="C109" s="17" t="inlineStr">
        <is>
          <t>Thabiso Matsaba</t>
        </is>
      </c>
      <c r="D109" s="38" t="inlineStr">
        <is>
          <t>Exclude</t>
        </is>
      </c>
      <c r="E109" s="38" t="inlineStr">
        <is>
          <t>Does not apply an identifiable AI technique to a software model-engineering task (out of AI-DME scope)</t>
        </is>
      </c>
      <c r="F109" s="17" t="inlineStr">
        <is>
          <t>Assessed at full-text; does not meet AI-DME inclusion criteria</t>
        </is>
      </c>
    </row>
    <row r="110" ht="15" customHeight="1" s="12">
      <c r="A110" s="17" t="n">
        <v>108</v>
      </c>
      <c r="B110" s="17" t="inlineStr">
        <is>
          <t>An OSLC-based environment for system-level functional testing of ERTMS/ETCS controllers</t>
        </is>
      </c>
      <c r="C110" s="17" t="inlineStr">
        <is>
          <t>Thabiso Matsaba</t>
        </is>
      </c>
      <c r="D110" s="38" t="inlineStr">
        <is>
          <t>Exclude</t>
        </is>
      </c>
      <c r="E110" s="38" t="inlineStr">
        <is>
          <t>Does not apply an identifiable AI technique to a software model-engineering task (out of AI-DME scope)</t>
        </is>
      </c>
      <c r="F110" s="17" t="inlineStr">
        <is>
          <t>Assessed at full-text; does not meet AI-DME inclusion criteria</t>
        </is>
      </c>
    </row>
    <row r="111" ht="15" customHeight="1" s="12">
      <c r="A111" s="17" t="n">
        <v>109</v>
      </c>
      <c r="B111" s="17" t="inlineStr">
        <is>
          <t>Probabilistic program performance analysis with confidence intervals</t>
        </is>
      </c>
      <c r="C111" s="17" t="inlineStr">
        <is>
          <t>Thabiso Matsaba</t>
        </is>
      </c>
      <c r="D111" s="38" t="inlineStr">
        <is>
          <t>Exclude</t>
        </is>
      </c>
      <c r="E111" s="38" t="inlineStr">
        <is>
          <t>Formal/model-based analysis without identifiable AI technique applied to model engineering</t>
        </is>
      </c>
      <c r="F111" s="17" t="inlineStr">
        <is>
          <t>Assessed at full-text; does not meet AI-DME inclusion criteria</t>
        </is>
      </c>
    </row>
    <row r="112" ht="15" customHeight="1" s="12">
      <c r="A112" s="17" t="n">
        <v>110</v>
      </c>
      <c r="B112" s="17" t="inlineStr">
        <is>
          <t>AMon: A domain-specific language and framework for adaptive monitoring of Cyber–Physical Systems</t>
        </is>
      </c>
      <c r="C112" s="17" t="inlineStr">
        <is>
          <t>Thabiso Matsaba</t>
        </is>
      </c>
      <c r="D112" s="38" t="inlineStr">
        <is>
          <t>Exclude</t>
        </is>
      </c>
      <c r="E112" s="38" t="inlineStr">
        <is>
          <t>Model-driven topic present but does not apply an identifiable AI technique (LLM/ML/DL/agents) to generate, transform, validate, repair or evolve software models</t>
        </is>
      </c>
      <c r="F112" s="17" t="inlineStr">
        <is>
          <t>Assessed at full-text; does not meet AI-DME inclusion criteria</t>
        </is>
      </c>
    </row>
    <row r="113" ht="15" customHeight="1" s="12">
      <c r="A113" s="17" t="n">
        <v>111</v>
      </c>
      <c r="B113" s="17" t="inlineStr">
        <is>
          <t>The Symposium on Search-Based Software Engineering: Past, Present and Future</t>
        </is>
      </c>
      <c r="C113" s="17" t="inlineStr">
        <is>
          <t>Thabiso Matsaba</t>
        </is>
      </c>
      <c r="D113" s="38" t="inlineStr">
        <is>
          <t>Exclude</t>
        </is>
      </c>
      <c r="E113" s="38" t="inlineStr">
        <is>
          <t>SBSE survey/optimisation focus; does not apply AI to generate, transform, validate or evolve software models</t>
        </is>
      </c>
      <c r="F113" s="17" t="inlineStr">
        <is>
          <t>Assessed at full-text; does not meet AI-DME inclusion criteria</t>
        </is>
      </c>
    </row>
    <row r="114" ht="15" customHeight="1" s="12">
      <c r="A114" s="17" t="n">
        <v>112</v>
      </c>
      <c r="B114" s="17" t="inlineStr">
        <is>
          <t>Deriving architectural models from requirements specifications: A systematic mapping study</t>
        </is>
      </c>
      <c r="C114" s="17" t="inlineStr">
        <is>
          <t>Thabiso Matsaba</t>
        </is>
      </c>
      <c r="D114" s="38" t="inlineStr">
        <is>
          <t>Exclude</t>
        </is>
      </c>
      <c r="E114" s="38" t="inlineStr">
        <is>
          <t>Secondary/tertiary study (SLR/SMS) – no primary technical contribution applying AI to model-engineering tasks</t>
        </is>
      </c>
      <c r="F114" s="17" t="inlineStr">
        <is>
          <t>Assessed at full-text; does not meet AI-DME inclusion criteria</t>
        </is>
      </c>
    </row>
    <row r="115" ht="15" customHeight="1" s="12">
      <c r="A115" s="17" t="n">
        <v>113</v>
      </c>
      <c r="B115" s="17" t="inlineStr">
        <is>
          <t>CrossRec: Supporting software developers by recommending third-party libraries</t>
        </is>
      </c>
      <c r="C115" s="17" t="inlineStr">
        <is>
          <t>Thabiso Matsaba</t>
        </is>
      </c>
      <c r="D115" s="38" t="inlineStr">
        <is>
          <t>Exclude</t>
        </is>
      </c>
      <c r="E115" s="38" t="inlineStr">
        <is>
          <t>Does not apply an identifiable AI technique to a software model-engineering task (out of AI-DME scope)</t>
        </is>
      </c>
      <c r="F115" s="17" t="inlineStr">
        <is>
          <t>Assessed at full-text; does not meet AI-DME inclusion criteria</t>
        </is>
      </c>
    </row>
    <row r="116" ht="15" customHeight="1" s="12">
      <c r="A116" s="17" t="n">
        <v>114</v>
      </c>
      <c r="B116" s="17" t="inlineStr">
        <is>
          <t>Interactive semi-automated specification mining for debugging: An experience report</t>
        </is>
      </c>
      <c r="C116" s="17" t="inlineStr">
        <is>
          <t>Thabiso Matsaba</t>
        </is>
      </c>
      <c r="D116" s="38" t="inlineStr">
        <is>
          <t>Exclude</t>
        </is>
      </c>
      <c r="E116" s="38" t="inlineStr">
        <is>
          <t>Does not apply an identifiable AI technique to a software model-engineering task (out of AI-DME scope)</t>
        </is>
      </c>
      <c r="F116" s="17" t="inlineStr">
        <is>
          <t>Assessed at full-text; does not meet AI-DME inclusion criteria</t>
        </is>
      </c>
    </row>
    <row r="117" ht="15" customHeight="1" s="12">
      <c r="A117" s="17" t="n">
        <v>115</v>
      </c>
      <c r="B117" s="17" t="inlineStr">
        <is>
          <t>A meta-model for software protections and reverse engineering attacks</t>
        </is>
      </c>
      <c r="C117" s="17" t="inlineStr">
        <is>
          <t>Thabiso Matsaba</t>
        </is>
      </c>
      <c r="D117" s="38" t="inlineStr">
        <is>
          <t>Exclude</t>
        </is>
      </c>
      <c r="E117" s="38" t="inlineStr">
        <is>
          <t>Does not apply an identifiable AI technique to a software model-engineering task (out of AI-DME scope)</t>
        </is>
      </c>
      <c r="F117" s="17" t="inlineStr">
        <is>
          <t>Assessed at full-text; does not meet AI-DME inclusion criteria</t>
        </is>
      </c>
    </row>
    <row r="118" ht="15" customHeight="1" s="12">
      <c r="A118" s="17" t="n">
        <v>116</v>
      </c>
      <c r="B118" s="17" t="inlineStr">
        <is>
          <t>A survey of many-objective optimisation in search-based software engineering</t>
        </is>
      </c>
      <c r="C118" s="17" t="inlineStr">
        <is>
          <t>Thabiso Matsaba</t>
        </is>
      </c>
      <c r="D118" s="38" t="inlineStr">
        <is>
          <t>Exclude</t>
        </is>
      </c>
      <c r="E118" s="38" t="inlineStr">
        <is>
          <t>SBSE survey/optimisation focus; does not apply AI to generate, transform, validate or evolve software models</t>
        </is>
      </c>
      <c r="F118" s="17" t="inlineStr">
        <is>
          <t>Assessed at full-text; does not meet AI-DME inclusion criteria</t>
        </is>
      </c>
    </row>
    <row r="119" ht="15" customHeight="1" s="12">
      <c r="A119" s="17" t="n">
        <v>117</v>
      </c>
      <c r="B119" s="17" t="inlineStr">
        <is>
          <t>A framework for modelling tactical decision-making in autonomous systems</t>
        </is>
      </c>
      <c r="C119" s="17" t="inlineStr">
        <is>
          <t>Thabiso Matsaba</t>
        </is>
      </c>
      <c r="D119" s="38" t="inlineStr">
        <is>
          <t>Exclude</t>
        </is>
      </c>
      <c r="E119" s="38" t="inlineStr">
        <is>
          <t>Does not apply an identifiable AI technique to a software model-engineering task (out of AI-DME scope)</t>
        </is>
      </c>
      <c r="F119" s="17" t="inlineStr">
        <is>
          <t>Assessed at full-text; does not meet AI-DME inclusion criteria</t>
        </is>
      </c>
    </row>
    <row r="120" ht="15" customHeight="1" s="12">
      <c r="A120" s="17" t="n">
        <v>118</v>
      </c>
      <c r="B120" s="17" t="inlineStr">
        <is>
          <t>Compositional security analysis of dynamic component-based systems</t>
        </is>
      </c>
      <c r="C120" s="17" t="inlineStr">
        <is>
          <t>Thabiso Matsaba</t>
        </is>
      </c>
      <c r="D120" s="38" t="inlineStr">
        <is>
          <t>Exclude</t>
        </is>
      </c>
      <c r="E120" s="38" t="inlineStr">
        <is>
          <t>No identifiable AI technique applied to a model-engineering task</t>
        </is>
      </c>
      <c r="F120" s="17" t="inlineStr">
        <is>
          <t>Assessed at full-text; does not meet AI-DME inclusion criteria</t>
        </is>
      </c>
    </row>
    <row r="121" ht="15" customHeight="1" s="12">
      <c r="A121" s="17" t="n">
        <v>119</v>
      </c>
      <c r="B121" s="17" t="inlineStr">
        <is>
          <t>A systematic review on the engineering of software for ubiquitous systems</t>
        </is>
      </c>
      <c r="C121" s="17" t="inlineStr">
        <is>
          <t>Thabiso Matsaba</t>
        </is>
      </c>
      <c r="D121" s="38" t="inlineStr">
        <is>
          <t>Exclude</t>
        </is>
      </c>
      <c r="E121" s="38" t="inlineStr">
        <is>
          <t>Secondary/tertiary study (SLR/SMS) – no primary technical contribution applying AI to model-engineering tasks</t>
        </is>
      </c>
      <c r="F121" s="17" t="inlineStr">
        <is>
          <t>Assessed at full-text; does not meet AI-DME inclusion criteria</t>
        </is>
      </c>
    </row>
    <row r="122" ht="15" customHeight="1" s="12">
      <c r="A122" s="17" t="n">
        <v>120</v>
      </c>
      <c r="B122" s="17" t="inlineStr">
        <is>
          <t>A systematic literature review on methods that handle multiple quality attributes in architecture-based self-adaptive systems</t>
        </is>
      </c>
      <c r="C122" s="17" t="inlineStr">
        <is>
          <t>Thabiso Matsaba</t>
        </is>
      </c>
      <c r="D122" s="38" t="inlineStr">
        <is>
          <t>Exclude</t>
        </is>
      </c>
      <c r="E122" s="38" t="inlineStr">
        <is>
          <t>Secondary/tertiary study (SLR/SMS) – no primary technical contribution applying AI to model-engineering tasks</t>
        </is>
      </c>
      <c r="F122" s="17" t="inlineStr">
        <is>
          <t>Assessed at full-text; does not meet AI-DME inclusion criteria</t>
        </is>
      </c>
    </row>
    <row r="123" ht="15" customHeight="1" s="12">
      <c r="A123" s="17" t="n">
        <v>121</v>
      </c>
      <c r="B123" s="17" t="inlineStr">
        <is>
          <t>Predicting resource consumption of Kubernetes container systems using resource models</t>
        </is>
      </c>
      <c r="C123" s="17" t="inlineStr">
        <is>
          <t>Thabiso Matsaba</t>
        </is>
      </c>
      <c r="D123" s="38" t="inlineStr">
        <is>
          <t>Exclude</t>
        </is>
      </c>
      <c r="E123" s="38" t="inlineStr">
        <is>
          <t>Does not apply an identifiable AI technique to a software model-engineering task (out of AI-DME scope)</t>
        </is>
      </c>
      <c r="F123" s="17" t="inlineStr">
        <is>
          <t>Assessed at full-text; does not meet AI-DME inclusion criteria</t>
        </is>
      </c>
    </row>
    <row r="124" ht="15" customHeight="1" s="12">
      <c r="A124" s="17" t="n">
        <v>122</v>
      </c>
      <c r="B124" s="17" t="inlineStr">
        <is>
          <t>MeMo: Automatically identifying metamorphic relations in Javadoc comments for test automation</t>
        </is>
      </c>
      <c r="C124" s="17" t="inlineStr">
        <is>
          <t>Thabiso Matsaba</t>
        </is>
      </c>
      <c r="D124" s="38" t="inlineStr">
        <is>
          <t>Exclude</t>
        </is>
      </c>
      <c r="E124" s="38" t="inlineStr">
        <is>
          <t>Does not apply an identifiable AI technique to a software model-engineering task (out of AI-DME scope)</t>
        </is>
      </c>
      <c r="F124" s="17" t="inlineStr">
        <is>
          <t>Assessed at full-text; does not meet AI-DME inclusion criteria</t>
        </is>
      </c>
    </row>
    <row r="125" ht="15" customHeight="1" s="12">
      <c r="A125" s="17" t="n">
        <v>123</v>
      </c>
      <c r="B125" s="17" t="inlineStr">
        <is>
          <t>Model-based test suite generation for graph transformation system using model simulation and search-based techniques</t>
        </is>
      </c>
      <c r="C125" s="17" t="inlineStr">
        <is>
          <t>Thabiso Matsaba</t>
        </is>
      </c>
      <c r="D125" s="38" t="inlineStr">
        <is>
          <t>Exclude</t>
        </is>
      </c>
      <c r="E125" s="38" t="inlineStr">
        <is>
          <t>Model-driven topic present but does not apply an identifiable AI technique (LLM/ML/DL/agents) to generate, transform, validate, repair or evolve software models</t>
        </is>
      </c>
      <c r="F125" s="17" t="inlineStr">
        <is>
          <t>Assessed at full-text; does not meet AI-DME inclusion criteria</t>
        </is>
      </c>
    </row>
    <row r="126" ht="15" customHeight="1" s="12">
      <c r="A126" s="17" t="n">
        <v>124</v>
      </c>
      <c r="B126" s="17" t="inlineStr">
        <is>
          <t>Landscaping systematic mapping studies in software engineering: A tertiary study</t>
        </is>
      </c>
      <c r="C126" s="17" t="inlineStr">
        <is>
          <t>Thabiso Matsaba</t>
        </is>
      </c>
      <c r="D126" s="38" t="inlineStr">
        <is>
          <t>Exclude</t>
        </is>
      </c>
      <c r="E126" s="38" t="inlineStr">
        <is>
          <t>Secondary/tertiary study (SLR/SMS) – no primary technical contribution applying AI to model-engineering tasks</t>
        </is>
      </c>
      <c r="F126" s="17" t="inlineStr">
        <is>
          <t>Assessed at full-text; does not meet AI-DME inclusion criteria</t>
        </is>
      </c>
    </row>
    <row r="127" ht="15" customHeight="1" s="12">
      <c r="A127" s="17" t="n">
        <v>125</v>
      </c>
      <c r="B127" s="17" t="inlineStr">
        <is>
          <t>A taxonomy of service identification approaches for legacy software systems modernization</t>
        </is>
      </c>
      <c r="C127" s="17" t="inlineStr">
        <is>
          <t>Thabiso Matsaba</t>
        </is>
      </c>
      <c r="D127" s="38" t="inlineStr">
        <is>
          <t>Exclude</t>
        </is>
      </c>
      <c r="E127" s="38" t="inlineStr">
        <is>
          <t>Does not apply an identifiable AI technique to a software model-engineering task (out of AI-DME scope)</t>
        </is>
      </c>
      <c r="F127" s="17" t="inlineStr">
        <is>
          <t>Assessed at full-text; does not meet AI-DME inclusion criteria</t>
        </is>
      </c>
    </row>
    <row r="128" ht="15" customHeight="1" s="12">
      <c r="A128" s="17" t="n">
        <v>126</v>
      </c>
      <c r="B128" s="17" t="inlineStr">
        <is>
          <t>Catalog and detection techniques of microservice anti-patterns and bad smells: A tertiary study</t>
        </is>
      </c>
      <c r="C128" s="17" t="inlineStr">
        <is>
          <t>Thabiso Matsaba</t>
        </is>
      </c>
      <c r="D128" s="38" t="inlineStr">
        <is>
          <t>Exclude</t>
        </is>
      </c>
      <c r="E128" s="38" t="inlineStr">
        <is>
          <t>Secondary/tertiary study (SLR/SMS) – no primary technical contribution applying AI to model-engineering tasks</t>
        </is>
      </c>
      <c r="F128" s="17" t="inlineStr">
        <is>
          <t>Assessed at full-text; does not meet AI-DME inclusion criteria</t>
        </is>
      </c>
    </row>
    <row r="129" ht="15" customHeight="1" s="12">
      <c r="A129" s="17" t="n"/>
      <c r="B129" s="17" t="n"/>
      <c r="C129" s="17" t="n"/>
      <c r="D129" s="17" t="n"/>
      <c r="E129" s="17" t="n"/>
      <c r="F129" s="17" t="n"/>
    </row>
    <row r="130" ht="15" customHeight="1" s="12">
      <c r="A130" s="17" t="n"/>
      <c r="B130" s="17" t="n"/>
      <c r="C130" s="17" t="n"/>
      <c r="D130" s="17" t="n"/>
      <c r="E130" s="17" t="n"/>
      <c r="F130" s="17" t="n"/>
    </row>
    <row r="131" ht="15" customHeight="1" s="12">
      <c r="A131" s="17" t="n"/>
      <c r="B131" s="17" t="n"/>
      <c r="C131" s="17" t="n"/>
      <c r="D131" s="17" t="n"/>
      <c r="E131" s="17" t="n"/>
      <c r="F131" s="17" t="n"/>
    </row>
    <row r="132" ht="15" customHeight="1" s="12">
      <c r="A132" s="17" t="n"/>
      <c r="B132" s="17" t="n"/>
      <c r="C132" s="17" t="n"/>
      <c r="D132" s="17" t="n"/>
      <c r="E132" s="17" t="n"/>
      <c r="F132" s="17" t="n"/>
    </row>
    <row r="133" ht="15" customHeight="1" s="12">
      <c r="A133" s="17" t="n"/>
      <c r="B133" s="17" t="n"/>
      <c r="C133" s="17" t="n"/>
      <c r="D133" s="17" t="n"/>
      <c r="E133" s="17" t="n"/>
      <c r="F133" s="17" t="n"/>
    </row>
    <row r="134" ht="15" customHeight="1" s="12">
      <c r="A134" s="17" t="n"/>
      <c r="B134" s="17" t="n"/>
      <c r="C134" s="17" t="n"/>
      <c r="D134" s="17" t="n"/>
      <c r="E134" s="17" t="n"/>
      <c r="F134" s="17" t="n"/>
    </row>
    <row r="135" ht="15" customHeight="1" s="12">
      <c r="A135" s="17" t="n"/>
      <c r="B135" s="17" t="n"/>
      <c r="C135" s="17" t="n"/>
      <c r="D135" s="17" t="n"/>
      <c r="E135" s="17" t="n"/>
      <c r="F135" s="17" t="n"/>
    </row>
    <row r="136" ht="15" customHeight="1" s="12">
      <c r="A136" s="17" t="n"/>
      <c r="B136" s="17" t="n"/>
      <c r="C136" s="17" t="n"/>
      <c r="D136" s="17" t="n"/>
      <c r="E136" s="17" t="n"/>
      <c r="F136" s="17" t="n"/>
    </row>
    <row r="137" ht="15" customHeight="1" s="12">
      <c r="A137" s="17" t="n"/>
      <c r="B137" s="17" t="n"/>
      <c r="C137" s="17" t="n"/>
      <c r="D137" s="17" t="n"/>
      <c r="E137" s="17" t="n"/>
      <c r="F137" s="17" t="n"/>
    </row>
    <row r="138" ht="15" customHeight="1" s="12">
      <c r="A138" s="17" t="n"/>
      <c r="B138" s="17" t="n"/>
      <c r="C138" s="17" t="n"/>
      <c r="D138" s="17" t="n"/>
      <c r="E138" s="17" t="n"/>
      <c r="F138" s="17" t="n"/>
    </row>
    <row r="139" ht="15" customHeight="1" s="12">
      <c r="A139" s="17" t="n"/>
      <c r="B139" s="17" t="n"/>
      <c r="C139" s="17" t="n"/>
      <c r="D139" s="17" t="n"/>
      <c r="E139" s="17" t="n"/>
      <c r="F139" s="17" t="n"/>
    </row>
    <row r="140" ht="15" customHeight="1" s="12">
      <c r="A140" s="17" t="n"/>
      <c r="B140" s="17" t="n"/>
      <c r="C140" s="17" t="n"/>
      <c r="D140" s="17" t="n"/>
      <c r="E140" s="17" t="n"/>
      <c r="F140" s="17" t="n"/>
    </row>
    <row r="141" ht="15" customHeight="1" s="12">
      <c r="A141" s="17" t="n"/>
      <c r="B141" s="17" t="n"/>
      <c r="C141" s="17" t="n"/>
      <c r="D141" s="17" t="n"/>
      <c r="E141" s="17" t="n"/>
      <c r="F141" s="17" t="n"/>
    </row>
    <row r="142" ht="15" customHeight="1" s="12">
      <c r="A142" s="17" t="n"/>
      <c r="B142" s="17" t="n"/>
      <c r="C142" s="17" t="n"/>
      <c r="D142" s="17" t="n"/>
      <c r="E142" s="17" t="n"/>
      <c r="F142" s="17" t="n"/>
    </row>
    <row r="143" ht="15" customHeight="1" s="12">
      <c r="A143" s="17" t="n"/>
      <c r="B143" s="17" t="n"/>
      <c r="C143" s="17" t="n"/>
      <c r="D143" s="17" t="n"/>
      <c r="E143" s="17" t="n"/>
      <c r="F143" s="17" t="n"/>
    </row>
    <row r="144" ht="15" customHeight="1" s="12">
      <c r="A144" s="17" t="n"/>
      <c r="B144" s="17" t="n"/>
      <c r="C144" s="17" t="n"/>
      <c r="D144" s="17" t="n"/>
      <c r="E144" s="17" t="n"/>
      <c r="F144" s="17" t="n"/>
    </row>
    <row r="145" ht="15" customHeight="1" s="12">
      <c r="A145" s="17" t="n"/>
      <c r="B145" s="17" t="n"/>
      <c r="C145" s="17" t="n"/>
      <c r="D145" s="17" t="n"/>
      <c r="E145" s="17" t="n"/>
      <c r="F145" s="17" t="n"/>
    </row>
    <row r="146" ht="15" customHeight="1" s="12">
      <c r="A146" s="17" t="n"/>
      <c r="B146" s="17" t="n"/>
      <c r="C146" s="17" t="n"/>
      <c r="D146" s="17" t="n"/>
      <c r="E146" s="17" t="n"/>
      <c r="F146" s="17" t="n"/>
    </row>
    <row r="147" ht="15" customHeight="1" s="12">
      <c r="A147" s="17" t="n"/>
      <c r="B147" s="17" t="n"/>
      <c r="C147" s="17" t="n"/>
      <c r="D147" s="17" t="n"/>
      <c r="E147" s="17" t="n"/>
      <c r="F147" s="17" t="n"/>
    </row>
    <row r="148" ht="15" customHeight="1" s="12">
      <c r="A148" s="17" t="n"/>
      <c r="B148" s="17" t="n"/>
      <c r="C148" s="17" t="n"/>
      <c r="D148" s="17" t="n"/>
      <c r="E148" s="17" t="n"/>
      <c r="F148" s="17" t="n"/>
    </row>
    <row r="149" ht="15" customHeight="1" s="12">
      <c r="A149" s="17" t="n"/>
      <c r="B149" s="17" t="n"/>
      <c r="C149" s="17" t="n"/>
      <c r="D149" s="17" t="n"/>
      <c r="E149" s="17" t="n"/>
      <c r="F149" s="17" t="n"/>
    </row>
    <row r="150" ht="15" customHeight="1" s="12">
      <c r="A150" s="17" t="n"/>
      <c r="B150" s="17" t="n"/>
      <c r="C150" s="17" t="n"/>
      <c r="D150" s="17" t="n"/>
      <c r="E150" s="17" t="n"/>
      <c r="F150" s="17" t="n"/>
    </row>
    <row r="151" ht="15" customHeight="1" s="12">
      <c r="A151" s="17" t="n"/>
      <c r="B151" s="17" t="n"/>
      <c r="C151" s="17" t="n"/>
      <c r="D151" s="17" t="n"/>
      <c r="E151" s="17" t="n"/>
      <c r="F151" s="17" t="n"/>
    </row>
    <row r="152" ht="15" customHeight="1" s="12">
      <c r="A152" s="17" t="n"/>
      <c r="B152" s="17" t="n"/>
      <c r="C152" s="17" t="n"/>
      <c r="D152" s="17" t="n"/>
      <c r="E152" s="17" t="n"/>
      <c r="F152" s="17" t="n"/>
    </row>
    <row r="153" ht="15" customHeight="1" s="12">
      <c r="A153" s="17" t="n"/>
      <c r="B153" s="17" t="n"/>
      <c r="C153" s="17" t="n"/>
      <c r="D153" s="17" t="n"/>
      <c r="E153" s="17" t="n"/>
      <c r="F153" s="17" t="n"/>
    </row>
    <row r="154" ht="15" customHeight="1" s="12">
      <c r="A154" s="17" t="n"/>
      <c r="B154" s="17" t="n"/>
      <c r="C154" s="17" t="n"/>
      <c r="D154" s="17" t="n"/>
      <c r="E154" s="17" t="n"/>
      <c r="F154" s="17" t="n"/>
    </row>
    <row r="155" ht="15" customHeight="1" s="12">
      <c r="A155" s="17" t="n"/>
      <c r="B155" s="17" t="n"/>
      <c r="C155" s="17" t="n"/>
      <c r="D155" s="17" t="n"/>
      <c r="E155" s="17" t="n"/>
      <c r="F155" s="17" t="n"/>
    </row>
    <row r="156" ht="15" customHeight="1" s="12">
      <c r="A156" s="17" t="n"/>
      <c r="B156" s="17" t="n"/>
      <c r="C156" s="17" t="n"/>
      <c r="D156" s="17" t="n"/>
      <c r="E156" s="17" t="n"/>
      <c r="F156" s="17" t="n"/>
    </row>
    <row r="157" ht="15" customHeight="1" s="12">
      <c r="A157" s="17" t="n"/>
      <c r="B157" s="17" t="n"/>
      <c r="C157" s="17" t="n"/>
      <c r="D157" s="17" t="n"/>
      <c r="E157" s="17" t="n"/>
      <c r="F157" s="17" t="n"/>
    </row>
    <row r="158" ht="15" customHeight="1" s="12">
      <c r="A158" s="17" t="n"/>
      <c r="B158" s="17" t="n"/>
      <c r="C158" s="17" t="n"/>
      <c r="D158" s="17" t="n"/>
      <c r="E158" s="17" t="n"/>
      <c r="F158" s="17" t="n"/>
    </row>
    <row r="159" ht="15" customHeight="1" s="12">
      <c r="A159" s="17" t="n"/>
      <c r="B159" s="17" t="n"/>
      <c r="C159" s="17" t="n"/>
      <c r="D159" s="17" t="n"/>
      <c r="E159" s="17" t="n"/>
      <c r="F159" s="17" t="n"/>
    </row>
    <row r="160" ht="15" customHeight="1" s="12">
      <c r="A160" s="17" t="n"/>
      <c r="B160" s="17" t="n"/>
      <c r="C160" s="17" t="n"/>
      <c r="D160" s="17" t="n"/>
      <c r="E160" s="17" t="n"/>
      <c r="F160" s="17" t="n"/>
    </row>
    <row r="161" ht="15" customHeight="1" s="12">
      <c r="A161" s="17" t="n"/>
      <c r="B161" s="17" t="n"/>
      <c r="C161" s="17" t="n"/>
      <c r="D161" s="17" t="n"/>
      <c r="E161" s="17" t="n"/>
      <c r="F161" s="17" t="n"/>
    </row>
    <row r="162" ht="15" customHeight="1" s="12">
      <c r="A162" s="17" t="n"/>
      <c r="B162" s="17" t="n"/>
      <c r="C162" s="17" t="n"/>
      <c r="D162" s="17" t="n"/>
      <c r="E162" s="17" t="n"/>
      <c r="F162" s="17" t="n"/>
    </row>
    <row r="163" ht="15" customHeight="1" s="12">
      <c r="A163" s="17" t="n"/>
      <c r="B163" s="17" t="n"/>
      <c r="C163" s="17" t="n"/>
      <c r="D163" s="17" t="n"/>
      <c r="E163" s="17" t="n"/>
      <c r="F163" s="17" t="n"/>
    </row>
    <row r="164" ht="15" customHeight="1" s="12">
      <c r="A164" s="17" t="n"/>
      <c r="B164" s="17" t="n"/>
      <c r="C164" s="17" t="n"/>
      <c r="D164" s="17" t="n"/>
      <c r="E164" s="17" t="n"/>
      <c r="F164" s="17" t="n"/>
    </row>
    <row r="165" ht="15" customHeight="1" s="12">
      <c r="A165" s="17" t="n"/>
      <c r="B165" s="17" t="n"/>
      <c r="C165" s="17" t="n"/>
      <c r="D165" s="17" t="n"/>
      <c r="E165" s="17" t="n"/>
      <c r="F165" s="17" t="n"/>
    </row>
    <row r="166" ht="15" customHeight="1" s="12">
      <c r="A166" s="17" t="n"/>
      <c r="B166" s="17" t="n"/>
      <c r="C166" s="17" t="n"/>
      <c r="D166" s="17" t="n"/>
      <c r="E166" s="17" t="n"/>
      <c r="F166" s="17" t="n"/>
    </row>
    <row r="167" ht="15" customHeight="1" s="12">
      <c r="A167" s="17" t="n"/>
      <c r="B167" s="17" t="n"/>
      <c r="C167" s="17" t="n"/>
      <c r="D167" s="17" t="n"/>
      <c r="E167" s="17" t="n"/>
      <c r="F167" s="17" t="n"/>
    </row>
    <row r="168" ht="15" customHeight="1" s="12">
      <c r="A168" s="17" t="n"/>
      <c r="B168" s="17" t="n"/>
      <c r="C168" s="17" t="n"/>
      <c r="D168" s="17" t="n"/>
      <c r="E168" s="17" t="n"/>
      <c r="F168" s="17" t="n"/>
    </row>
    <row r="169" ht="15" customHeight="1" s="12">
      <c r="A169" s="17" t="n"/>
      <c r="B169" s="17" t="n"/>
      <c r="C169" s="17" t="n"/>
      <c r="D169" s="17" t="n"/>
      <c r="E169" s="17" t="n"/>
      <c r="F169" s="17" t="n"/>
    </row>
    <row r="170" ht="15" customHeight="1" s="12">
      <c r="A170" s="17" t="n"/>
      <c r="B170" s="17" t="n"/>
      <c r="C170" s="17" t="n"/>
      <c r="D170" s="17" t="n"/>
      <c r="E170" s="17" t="n"/>
      <c r="F170" s="17" t="n"/>
    </row>
    <row r="171" ht="15" customHeight="1" s="12">
      <c r="A171" s="17" t="n"/>
      <c r="B171" s="17" t="n"/>
      <c r="C171" s="17" t="n"/>
      <c r="D171" s="17" t="n"/>
      <c r="E171" s="17" t="n"/>
      <c r="F171" s="17" t="n"/>
    </row>
    <row r="172" ht="15" customHeight="1" s="12">
      <c r="A172" s="17" t="n"/>
      <c r="B172" s="17" t="n"/>
      <c r="C172" s="17" t="n"/>
      <c r="D172" s="17" t="n"/>
      <c r="E172" s="17" t="n"/>
      <c r="F172" s="17" t="n"/>
    </row>
    <row r="173" ht="15" customHeight="1" s="12">
      <c r="A173" s="17" t="n"/>
      <c r="B173" s="17" t="n"/>
      <c r="C173" s="17" t="n"/>
      <c r="D173" s="17" t="n"/>
      <c r="E173" s="17" t="n"/>
      <c r="F173" s="17" t="n"/>
    </row>
    <row r="174" ht="15" customHeight="1" s="12">
      <c r="A174" s="17" t="n"/>
      <c r="B174" s="17" t="n"/>
      <c r="C174" s="17" t="n"/>
      <c r="D174" s="17" t="n"/>
      <c r="E174" s="17" t="n"/>
      <c r="F174" s="17" t="n"/>
    </row>
    <row r="175" ht="15" customHeight="1" s="12">
      <c r="A175" s="17" t="n"/>
      <c r="B175" s="17" t="n"/>
      <c r="C175" s="17" t="n"/>
      <c r="D175" s="17" t="n"/>
      <c r="E175" s="17" t="n"/>
      <c r="F175" s="17" t="n"/>
    </row>
    <row r="176" ht="15" customHeight="1" s="12">
      <c r="A176" s="17" t="n"/>
      <c r="B176" s="17" t="n"/>
      <c r="C176" s="17" t="n"/>
      <c r="D176" s="17" t="n"/>
      <c r="E176" s="17" t="n"/>
      <c r="F176" s="17" t="n"/>
    </row>
    <row r="177" ht="15" customHeight="1" s="12">
      <c r="A177" s="17" t="n"/>
      <c r="B177" s="17" t="n"/>
      <c r="C177" s="17" t="n"/>
      <c r="D177" s="17" t="n"/>
      <c r="E177" s="17" t="n"/>
      <c r="F177" s="17" t="n"/>
    </row>
    <row r="178" ht="15" customHeight="1" s="12">
      <c r="A178" s="17" t="n"/>
      <c r="B178" s="17" t="n"/>
      <c r="C178" s="17" t="n"/>
      <c r="D178" s="17" t="n"/>
      <c r="E178" s="17" t="n"/>
      <c r="F178" s="17" t="n"/>
    </row>
    <row r="179" ht="15" customHeight="1" s="12">
      <c r="A179" s="17" t="n"/>
      <c r="B179" s="17" t="n"/>
      <c r="C179" s="17" t="n"/>
      <c r="D179" s="17" t="n"/>
      <c r="E179" s="17" t="n"/>
      <c r="F179" s="17" t="n"/>
    </row>
    <row r="180" ht="15" customHeight="1" s="12">
      <c r="A180" s="17" t="n"/>
      <c r="B180" s="17" t="n"/>
      <c r="C180" s="17" t="n"/>
      <c r="D180" s="17" t="n"/>
      <c r="E180" s="17" t="n"/>
      <c r="F180" s="17" t="n"/>
    </row>
    <row r="181" ht="15" customHeight="1" s="12">
      <c r="A181" s="17" t="n"/>
      <c r="B181" s="17" t="n"/>
      <c r="C181" s="17" t="n"/>
      <c r="D181" s="17" t="n"/>
      <c r="E181" s="17" t="n"/>
      <c r="F181" s="17" t="n"/>
    </row>
    <row r="182" ht="15" customHeight="1" s="12">
      <c r="A182" s="17" t="n"/>
      <c r="B182" s="17" t="n"/>
      <c r="C182" s="17" t="n"/>
      <c r="D182" s="17" t="n"/>
      <c r="E182" s="17" t="n"/>
      <c r="F182" s="17" t="n"/>
    </row>
    <row r="183" ht="15" customHeight="1" s="12">
      <c r="A183" s="17" t="n"/>
      <c r="B183" s="17" t="n"/>
      <c r="C183" s="17" t="n"/>
      <c r="D183" s="17" t="n"/>
      <c r="E183" s="17" t="n"/>
      <c r="F183" s="17" t="n"/>
    </row>
    <row r="184" ht="15" customHeight="1" s="12">
      <c r="A184" s="17" t="n"/>
      <c r="B184" s="17" t="n"/>
      <c r="C184" s="17" t="n"/>
      <c r="D184" s="17" t="n"/>
      <c r="E184" s="17" t="n"/>
      <c r="F184" s="17" t="n"/>
    </row>
    <row r="185" ht="15" customHeight="1" s="12">
      <c r="A185" s="17" t="n"/>
      <c r="B185" s="17" t="n"/>
      <c r="C185" s="17" t="n"/>
      <c r="D185" s="17" t="n"/>
      <c r="E185" s="17" t="n"/>
      <c r="F185" s="17" t="n"/>
    </row>
    <row r="186" ht="15" customHeight="1" s="12">
      <c r="A186" s="17" t="n"/>
      <c r="B186" s="17" t="n"/>
      <c r="C186" s="17" t="n"/>
      <c r="D186" s="17" t="n"/>
      <c r="E186" s="17" t="n"/>
      <c r="F186" s="17" t="n"/>
    </row>
    <row r="187" ht="15" customHeight="1" s="12">
      <c r="A187" s="17" t="n"/>
      <c r="B187" s="17" t="n"/>
      <c r="C187" s="17" t="n"/>
      <c r="D187" s="17" t="n"/>
      <c r="E187" s="17" t="n"/>
      <c r="F187" s="17" t="n"/>
    </row>
    <row r="188" ht="15" customHeight="1" s="12">
      <c r="A188" s="17" t="n"/>
      <c r="B188" s="17" t="n"/>
      <c r="C188" s="17" t="n"/>
      <c r="D188" s="17" t="n"/>
      <c r="E188" s="17" t="n"/>
      <c r="F188" s="17" t="n"/>
    </row>
    <row r="189" ht="15" customHeight="1" s="12">
      <c r="A189" s="17" t="n"/>
      <c r="B189" s="17" t="n"/>
      <c r="C189" s="17" t="n"/>
      <c r="D189" s="17" t="n"/>
      <c r="E189" s="17" t="n"/>
      <c r="F189" s="17" t="n"/>
    </row>
    <row r="190" ht="15" customHeight="1" s="12">
      <c r="A190" s="17" t="n"/>
      <c r="B190" s="17" t="n"/>
      <c r="C190" s="17" t="n"/>
      <c r="D190" s="17" t="n"/>
      <c r="E190" s="17" t="n"/>
      <c r="F190" s="17" t="n"/>
    </row>
    <row r="191" ht="15" customHeight="1" s="12">
      <c r="A191" s="17" t="n"/>
      <c r="B191" s="17" t="n"/>
      <c r="C191" s="17" t="n"/>
      <c r="D191" s="17" t="n"/>
      <c r="E191" s="17" t="n"/>
      <c r="F191" s="17" t="n"/>
    </row>
    <row r="192" ht="15" customHeight="1" s="12">
      <c r="A192" s="17" t="n"/>
      <c r="B192" s="17" t="n"/>
      <c r="C192" s="17" t="n"/>
      <c r="D192" s="17" t="n"/>
      <c r="E192" s="17" t="n"/>
      <c r="F192" s="17" t="n"/>
    </row>
    <row r="193" ht="15" customHeight="1" s="12">
      <c r="A193" s="17" t="n"/>
      <c r="B193" s="17" t="n"/>
      <c r="C193" s="17" t="n"/>
      <c r="D193" s="17" t="n"/>
      <c r="E193" s="17" t="n"/>
      <c r="F193" s="17" t="n"/>
    </row>
    <row r="194" ht="15" customHeight="1" s="12">
      <c r="A194" s="17" t="n"/>
      <c r="B194" s="17" t="n"/>
      <c r="C194" s="17" t="n"/>
      <c r="D194" s="17" t="n"/>
      <c r="E194" s="17" t="n"/>
      <c r="F194" s="17" t="n"/>
    </row>
    <row r="195" ht="15" customHeight="1" s="12">
      <c r="A195" s="17" t="n"/>
      <c r="B195" s="17" t="n"/>
      <c r="C195" s="17" t="n"/>
      <c r="D195" s="17" t="n"/>
      <c r="E195" s="17" t="n"/>
      <c r="F195" s="17" t="n"/>
    </row>
    <row r="196" ht="15" customHeight="1" s="12">
      <c r="A196" s="17" t="n"/>
      <c r="B196" s="17" t="n"/>
      <c r="C196" s="17" t="n"/>
      <c r="D196" s="17" t="n"/>
      <c r="E196" s="17" t="n"/>
      <c r="F196" s="17" t="n"/>
    </row>
    <row r="197" ht="15" customHeight="1" s="12">
      <c r="A197" s="17" t="n"/>
      <c r="B197" s="17" t="n"/>
      <c r="C197" s="17" t="n"/>
      <c r="D197" s="17" t="n"/>
      <c r="E197" s="17" t="n"/>
      <c r="F197" s="17" t="n"/>
    </row>
    <row r="198" ht="15" customHeight="1" s="12">
      <c r="A198" s="17" t="n"/>
      <c r="B198" s="17" t="n"/>
      <c r="C198" s="17" t="n"/>
      <c r="D198" s="17" t="n"/>
      <c r="E198" s="17" t="n"/>
      <c r="F198" s="17" t="n"/>
    </row>
    <row r="199" ht="15" customHeight="1" s="12">
      <c r="A199" s="17" t="n"/>
      <c r="B199" s="17" t="n"/>
      <c r="C199" s="17" t="n"/>
      <c r="D199" s="17" t="n"/>
      <c r="E199" s="17" t="n"/>
      <c r="F199" s="17" t="n"/>
    </row>
    <row r="200" ht="15" customHeight="1" s="12">
      <c r="A200" s="17" t="n"/>
      <c r="B200" s="17" t="n"/>
      <c r="C200" s="17" t="n"/>
      <c r="D200" s="17" t="n"/>
      <c r="E200" s="17" t="n"/>
      <c r="F200" s="17" t="n"/>
    </row>
    <row r="201" ht="15" customHeight="1" s="12">
      <c r="A201" s="17" t="n"/>
      <c r="B201" s="17" t="n"/>
      <c r="C201" s="17" t="n"/>
      <c r="D201" s="17" t="n"/>
      <c r="E201" s="17" t="n"/>
      <c r="F201" s="17" t="n"/>
    </row>
    <row r="202" ht="15" customHeight="1" s="12">
      <c r="A202" s="17" t="n"/>
      <c r="B202" s="17" t="n"/>
      <c r="C202" s="17" t="n"/>
      <c r="D202" s="17" t="n"/>
      <c r="E202" s="17" t="n"/>
      <c r="F202" s="17" t="n"/>
    </row>
    <row r="203" ht="15" customHeight="1" s="12">
      <c r="A203" s="17" t="n"/>
      <c r="B203" s="17" t="n"/>
      <c r="C203" s="17" t="n"/>
      <c r="D203" s="17" t="n"/>
      <c r="E203" s="17" t="n"/>
      <c r="F203" s="17" t="n"/>
    </row>
    <row r="204" ht="15" customHeight="1" s="12">
      <c r="A204" s="17" t="n"/>
      <c r="B204" s="17" t="n"/>
      <c r="C204" s="17" t="n"/>
      <c r="D204" s="17" t="n"/>
      <c r="E204" s="17" t="n"/>
      <c r="F204" s="17" t="n"/>
    </row>
    <row r="205" ht="15" customHeight="1" s="12">
      <c r="A205" s="17" t="n"/>
      <c r="B205" s="17" t="n"/>
      <c r="C205" s="17" t="n"/>
      <c r="D205" s="17" t="n"/>
      <c r="E205" s="17" t="n"/>
      <c r="F205" s="17" t="n"/>
    </row>
    <row r="206" ht="15" customHeight="1" s="12">
      <c r="A206" s="17" t="n"/>
      <c r="B206" s="17" t="n"/>
      <c r="C206" s="17" t="n"/>
      <c r="D206" s="17" t="n"/>
      <c r="E206" s="17" t="n"/>
      <c r="F206" s="17" t="n"/>
    </row>
    <row r="207" ht="15" customHeight="1" s="12">
      <c r="A207" s="17" t="n"/>
      <c r="B207" s="17" t="n"/>
      <c r="C207" s="17" t="n"/>
      <c r="D207" s="17" t="n"/>
      <c r="E207" s="17" t="n"/>
      <c r="F207" s="17" t="n"/>
    </row>
    <row r="208" ht="15" customHeight="1" s="12">
      <c r="A208" s="17" t="n"/>
      <c r="B208" s="17" t="n"/>
      <c r="C208" s="17" t="n"/>
      <c r="D208" s="17" t="n"/>
      <c r="E208" s="17" t="n"/>
      <c r="F208" s="17" t="n"/>
    </row>
    <row r="209" ht="15" customHeight="1" s="12">
      <c r="A209" s="17" t="n"/>
      <c r="B209" s="17" t="n"/>
      <c r="C209" s="17" t="n"/>
      <c r="D209" s="17" t="n"/>
      <c r="E209" s="17" t="n"/>
      <c r="F209" s="17" t="n"/>
    </row>
    <row r="210" ht="15" customHeight="1" s="12">
      <c r="A210" s="17" t="n"/>
      <c r="B210" s="17" t="n"/>
      <c r="C210" s="17" t="n"/>
      <c r="D210" s="17" t="n"/>
      <c r="E210" s="17" t="n"/>
      <c r="F210" s="17" t="n"/>
    </row>
    <row r="211" ht="15" customHeight="1" s="12">
      <c r="A211" s="17" t="n"/>
      <c r="B211" s="17" t="n"/>
      <c r="C211" s="17" t="n"/>
      <c r="D211" s="17" t="n"/>
      <c r="E211" s="17" t="n"/>
      <c r="F211" s="17" t="n"/>
    </row>
    <row r="212" ht="15" customHeight="1" s="12">
      <c r="A212" s="17" t="n"/>
      <c r="B212" s="17" t="n"/>
      <c r="C212" s="17" t="n"/>
      <c r="D212" s="17" t="n"/>
      <c r="E212" s="17" t="n"/>
      <c r="F212" s="17" t="n"/>
    </row>
    <row r="213" ht="15" customHeight="1" s="12">
      <c r="A213" s="17" t="n"/>
      <c r="B213" s="17" t="n"/>
      <c r="C213" s="17" t="n"/>
      <c r="D213" s="17" t="n"/>
      <c r="E213" s="17" t="n"/>
      <c r="F213" s="17" t="n"/>
    </row>
    <row r="214" ht="15" customHeight="1" s="12">
      <c r="A214" s="17" t="n"/>
      <c r="B214" s="17" t="n"/>
      <c r="C214" s="17" t="n"/>
      <c r="D214" s="17" t="n"/>
      <c r="E214" s="17" t="n"/>
      <c r="F214" s="17" t="n"/>
    </row>
    <row r="215" ht="15" customHeight="1" s="12">
      <c r="A215" s="17" t="n"/>
      <c r="B215" s="17" t="n"/>
      <c r="C215" s="17" t="n"/>
      <c r="D215" s="17" t="n"/>
      <c r="E215" s="17" t="n"/>
      <c r="F215" s="17" t="n"/>
    </row>
    <row r="216" ht="15" customHeight="1" s="12">
      <c r="A216" s="17" t="n"/>
      <c r="B216" s="17" t="n"/>
      <c r="C216" s="17" t="n"/>
      <c r="D216" s="17" t="n"/>
      <c r="E216" s="17" t="n"/>
      <c r="F216" s="17" t="n"/>
    </row>
    <row r="217" ht="15" customHeight="1" s="12">
      <c r="A217" s="17" t="n"/>
      <c r="B217" s="17" t="n"/>
      <c r="C217" s="17" t="n"/>
      <c r="D217" s="17" t="n"/>
      <c r="E217" s="17" t="n"/>
      <c r="F217" s="17" t="n"/>
    </row>
    <row r="218" ht="15" customHeight="1" s="12">
      <c r="A218" s="17" t="n"/>
      <c r="B218" s="17" t="n"/>
      <c r="C218" s="17" t="n"/>
      <c r="D218" s="17" t="n"/>
      <c r="E218" s="17" t="n"/>
      <c r="F218" s="17" t="n"/>
    </row>
    <row r="219" ht="15" customHeight="1" s="12">
      <c r="A219" s="17" t="n"/>
      <c r="B219" s="17" t="n"/>
      <c r="C219" s="17" t="n"/>
      <c r="D219" s="17" t="n"/>
      <c r="E219" s="17" t="n"/>
      <c r="F219" s="17" t="n"/>
    </row>
    <row r="220" ht="15" customHeight="1" s="12">
      <c r="A220" s="17" t="n"/>
      <c r="B220" s="17" t="n"/>
      <c r="C220" s="17" t="n"/>
      <c r="D220" s="17" t="n"/>
      <c r="E220" s="17" t="n"/>
      <c r="F220" s="17" t="n"/>
    </row>
    <row r="221" ht="15" customHeight="1" s="12">
      <c r="A221" s="17" t="n"/>
      <c r="B221" s="17" t="n"/>
      <c r="C221" s="17" t="n"/>
      <c r="D221" s="17" t="n"/>
      <c r="E221" s="17" t="n"/>
      <c r="F221" s="17" t="n"/>
    </row>
    <row r="222" ht="15" customHeight="1" s="12">
      <c r="A222" s="17" t="n"/>
      <c r="B222" s="17" t="n"/>
      <c r="C222" s="17" t="n"/>
      <c r="D222" s="17" t="n"/>
      <c r="E222" s="17" t="n"/>
      <c r="F222" s="17" t="n"/>
    </row>
    <row r="223" ht="15" customHeight="1" s="12">
      <c r="A223" s="17" t="n"/>
      <c r="B223" s="17" t="n"/>
      <c r="C223" s="17" t="n"/>
      <c r="D223" s="17" t="n"/>
      <c r="E223" s="17" t="n"/>
      <c r="F223" s="17" t="n"/>
    </row>
    <row r="224" ht="15" customHeight="1" s="12">
      <c r="A224" s="17" t="n"/>
      <c r="B224" s="17" t="n"/>
      <c r="C224" s="17" t="n"/>
      <c r="D224" s="17" t="n"/>
      <c r="E224" s="17" t="n"/>
      <c r="F224" s="17" t="n"/>
    </row>
    <row r="225" ht="15" customHeight="1" s="12">
      <c r="A225" s="17" t="n"/>
      <c r="B225" s="17" t="n"/>
      <c r="C225" s="17" t="n"/>
      <c r="D225" s="17" t="n"/>
      <c r="E225" s="17" t="n"/>
      <c r="F225" s="17" t="n"/>
    </row>
    <row r="226" ht="15" customHeight="1" s="12">
      <c r="A226" s="17" t="n"/>
      <c r="B226" s="17" t="n"/>
      <c r="C226" s="17" t="n"/>
      <c r="D226" s="17" t="n"/>
      <c r="E226" s="17" t="n"/>
      <c r="F226" s="17" t="n"/>
    </row>
    <row r="227" ht="15" customHeight="1" s="12">
      <c r="A227" s="17" t="n"/>
      <c r="B227" s="17" t="n"/>
      <c r="C227" s="17" t="n"/>
      <c r="D227" s="17" t="n"/>
      <c r="E227" s="17" t="n"/>
      <c r="F227" s="17" t="n"/>
    </row>
    <row r="228" ht="15" customHeight="1" s="12">
      <c r="A228" s="17" t="n"/>
      <c r="B228" s="17" t="n"/>
      <c r="C228" s="17" t="n"/>
      <c r="D228" s="17" t="n"/>
      <c r="E228" s="17" t="n"/>
      <c r="F228" s="17" t="n"/>
    </row>
    <row r="229" ht="15" customHeight="1" s="12">
      <c r="A229" s="17" t="n"/>
      <c r="B229" s="17" t="n"/>
      <c r="C229" s="17" t="n"/>
      <c r="D229" s="17" t="n"/>
      <c r="E229" s="17" t="n"/>
      <c r="F229" s="17" t="n"/>
    </row>
    <row r="230" ht="15" customHeight="1" s="12">
      <c r="A230" s="17" t="n"/>
      <c r="B230" s="17" t="n"/>
      <c r="C230" s="17" t="n"/>
      <c r="D230" s="17" t="n"/>
      <c r="E230" s="17" t="n"/>
      <c r="F230" s="17" t="n"/>
    </row>
    <row r="231" ht="15" customHeight="1" s="12">
      <c r="A231" s="17" t="n"/>
      <c r="B231" s="17" t="n"/>
      <c r="C231" s="17" t="n"/>
      <c r="D231" s="17" t="n"/>
      <c r="E231" s="17" t="n"/>
      <c r="F231" s="17" t="n"/>
    </row>
    <row r="232" ht="15" customHeight="1" s="12">
      <c r="A232" s="17" t="n"/>
      <c r="B232" s="17" t="n"/>
      <c r="C232" s="17" t="n"/>
      <c r="D232" s="17" t="n"/>
      <c r="E232" s="17" t="n"/>
      <c r="F232" s="17" t="n"/>
    </row>
    <row r="233" ht="15" customHeight="1" s="12">
      <c r="A233" s="17" t="n"/>
      <c r="B233" s="17" t="n"/>
      <c r="C233" s="17" t="n"/>
      <c r="D233" s="17" t="n"/>
      <c r="E233" s="17" t="n"/>
      <c r="F233" s="17" t="n"/>
    </row>
    <row r="234" ht="15" customHeight="1" s="12">
      <c r="A234" s="17" t="n"/>
      <c r="B234" s="17" t="n"/>
      <c r="C234" s="17" t="n"/>
      <c r="D234" s="17" t="n"/>
      <c r="E234" s="17" t="n"/>
      <c r="F234" s="17" t="n"/>
    </row>
    <row r="235" ht="15" customHeight="1" s="12">
      <c r="A235" s="17" t="n"/>
      <c r="B235" s="17" t="n"/>
      <c r="C235" s="17" t="n"/>
      <c r="D235" s="17" t="n"/>
      <c r="E235" s="17" t="n"/>
      <c r="F235" s="17" t="n"/>
    </row>
    <row r="236" ht="15" customHeight="1" s="12">
      <c r="A236" s="17" t="n"/>
      <c r="B236" s="17" t="n"/>
      <c r="C236" s="17" t="n"/>
      <c r="D236" s="17" t="n"/>
      <c r="E236" s="17" t="n"/>
      <c r="F236" s="17" t="n"/>
    </row>
    <row r="237" ht="15" customHeight="1" s="12">
      <c r="A237" s="17" t="n"/>
      <c r="B237" s="17" t="n"/>
      <c r="C237" s="17" t="n"/>
      <c r="D237" s="17" t="n"/>
      <c r="E237" s="17" t="n"/>
      <c r="F237" s="17" t="n"/>
    </row>
    <row r="238" ht="15" customHeight="1" s="12">
      <c r="A238" s="17" t="n"/>
      <c r="B238" s="17" t="n"/>
      <c r="C238" s="17" t="n"/>
      <c r="D238" s="17" t="n"/>
      <c r="E238" s="17" t="n"/>
      <c r="F238" s="17" t="n"/>
    </row>
    <row r="239" ht="15" customHeight="1" s="12">
      <c r="A239" s="17" t="n"/>
      <c r="B239" s="17" t="n"/>
      <c r="C239" s="17" t="n"/>
      <c r="D239" s="17" t="n"/>
      <c r="E239" s="17" t="n"/>
      <c r="F239" s="17" t="n"/>
    </row>
    <row r="240" ht="15" customHeight="1" s="12">
      <c r="A240" s="17" t="n"/>
      <c r="B240" s="17" t="n"/>
      <c r="C240" s="17" t="n"/>
      <c r="D240" s="17" t="n"/>
      <c r="E240" s="17" t="n"/>
      <c r="F240" s="17" t="n"/>
    </row>
    <row r="241" ht="15" customHeight="1" s="12">
      <c r="A241" s="17" t="n"/>
      <c r="B241" s="17" t="n"/>
      <c r="C241" s="17" t="n"/>
      <c r="D241" s="17" t="n"/>
      <c r="E241" s="17" t="n"/>
      <c r="F241" s="17" t="n"/>
    </row>
    <row r="242" ht="15" customHeight="1" s="12">
      <c r="A242" s="17" t="n"/>
      <c r="B242" s="17" t="n"/>
      <c r="C242" s="17" t="n"/>
      <c r="D242" s="17" t="n"/>
      <c r="E242" s="17" t="n"/>
      <c r="F242" s="17" t="n"/>
    </row>
    <row r="243" ht="15" customHeight="1" s="12">
      <c r="A243" s="17" t="n"/>
      <c r="B243" s="17" t="n"/>
      <c r="C243" s="17" t="n"/>
      <c r="D243" s="17" t="n"/>
      <c r="E243" s="17" t="n"/>
      <c r="F243" s="17" t="n"/>
    </row>
    <row r="244" ht="15" customHeight="1" s="12">
      <c r="A244" s="17" t="n"/>
      <c r="B244" s="17" t="n"/>
      <c r="C244" s="17" t="n"/>
      <c r="D244" s="17" t="n"/>
      <c r="E244" s="17" t="n"/>
      <c r="F244" s="17" t="n"/>
    </row>
    <row r="245" ht="15" customHeight="1" s="12">
      <c r="A245" s="17" t="n"/>
      <c r="B245" s="17" t="n"/>
      <c r="C245" s="17" t="n"/>
      <c r="D245" s="17" t="n"/>
      <c r="E245" s="17" t="n"/>
      <c r="F245" s="17" t="n"/>
    </row>
    <row r="246" ht="15" customHeight="1" s="12">
      <c r="A246" s="17" t="n"/>
      <c r="B246" s="17" t="n"/>
      <c r="C246" s="17" t="n"/>
      <c r="D246" s="17" t="n"/>
      <c r="E246" s="17" t="n"/>
      <c r="F246" s="17" t="n"/>
    </row>
    <row r="247" ht="15" customHeight="1" s="12">
      <c r="A247" s="17" t="n"/>
      <c r="B247" s="17" t="n"/>
      <c r="C247" s="17" t="n"/>
      <c r="D247" s="17" t="n"/>
      <c r="E247" s="17" t="n"/>
      <c r="F247" s="17" t="n"/>
    </row>
    <row r="248" ht="15" customHeight="1" s="12">
      <c r="A248" s="17" t="n"/>
      <c r="B248" s="17" t="n"/>
      <c r="C248" s="17" t="n"/>
      <c r="D248" s="17" t="n"/>
      <c r="E248" s="17" t="n"/>
      <c r="F248" s="17" t="n"/>
    </row>
    <row r="249" ht="15" customHeight="1" s="12">
      <c r="A249" s="17" t="n"/>
      <c r="B249" s="17" t="n"/>
      <c r="C249" s="17" t="n"/>
      <c r="D249" s="17" t="n"/>
      <c r="E249" s="17" t="n"/>
      <c r="F249" s="17" t="n"/>
    </row>
    <row r="250" ht="15" customHeight="1" s="12">
      <c r="A250" s="17" t="n"/>
      <c r="B250" s="17" t="n"/>
      <c r="C250" s="17" t="n"/>
      <c r="D250" s="17" t="n"/>
      <c r="E250" s="17" t="n"/>
      <c r="F250" s="17" t="n"/>
    </row>
    <row r="251" ht="15" customHeight="1" s="12">
      <c r="A251" s="17" t="n"/>
      <c r="B251" s="17" t="n"/>
      <c r="C251" s="17" t="n"/>
      <c r="D251" s="17" t="n"/>
      <c r="E251" s="17" t="n"/>
      <c r="F251" s="17" t="n"/>
    </row>
    <row r="252" ht="15" customHeight="1" s="12">
      <c r="A252" s="17" t="n"/>
      <c r="B252" s="17" t="n"/>
      <c r="C252" s="17" t="n"/>
      <c r="D252" s="17" t="n"/>
      <c r="E252" s="17" t="n"/>
      <c r="F252" s="17" t="n"/>
    </row>
    <row r="253" ht="15" customHeight="1" s="12">
      <c r="A253" s="17" t="n"/>
      <c r="B253" s="17" t="n"/>
      <c r="C253" s="17" t="n"/>
      <c r="D253" s="17" t="n"/>
      <c r="E253" s="17" t="n"/>
      <c r="F253" s="17" t="n"/>
    </row>
    <row r="254" ht="15" customHeight="1" s="12">
      <c r="A254" s="17" t="n"/>
      <c r="B254" s="17" t="n"/>
      <c r="C254" s="17" t="n"/>
      <c r="D254" s="17" t="n"/>
      <c r="E254" s="17" t="n"/>
      <c r="F254" s="17" t="n"/>
    </row>
    <row r="255" ht="15" customHeight="1" s="12">
      <c r="A255" s="17" t="n"/>
      <c r="B255" s="17" t="n"/>
      <c r="C255" s="17" t="n"/>
      <c r="D255" s="17" t="n"/>
      <c r="E255" s="17" t="n"/>
      <c r="F255" s="17" t="n"/>
    </row>
    <row r="256" ht="15" customHeight="1" s="12">
      <c r="A256" s="17" t="n"/>
      <c r="B256" s="17" t="n"/>
      <c r="C256" s="17" t="n"/>
      <c r="D256" s="17" t="n"/>
      <c r="E256" s="17" t="n"/>
      <c r="F256" s="17" t="n"/>
    </row>
    <row r="257" ht="15" customHeight="1" s="12">
      <c r="A257" s="17" t="n"/>
      <c r="B257" s="17" t="n"/>
      <c r="C257" s="17" t="n"/>
      <c r="D257" s="17" t="n"/>
      <c r="E257" s="17" t="n"/>
      <c r="F257" s="17" t="n"/>
    </row>
    <row r="258" ht="15" customHeight="1" s="12">
      <c r="A258" s="17" t="n"/>
      <c r="B258" s="17" t="n"/>
      <c r="C258" s="17" t="n"/>
      <c r="D258" s="17" t="n"/>
      <c r="E258" s="17" t="n"/>
      <c r="F258" s="17" t="n"/>
    </row>
    <row r="259" ht="15" customHeight="1" s="12">
      <c r="A259" s="17" t="n"/>
      <c r="B259" s="17" t="n"/>
      <c r="C259" s="17" t="n"/>
      <c r="D259" s="17" t="n"/>
      <c r="E259" s="17" t="n"/>
      <c r="F259" s="17" t="n"/>
    </row>
    <row r="260" ht="15" customHeight="1" s="12">
      <c r="A260" s="17" t="n"/>
      <c r="B260" s="17" t="n"/>
      <c r="C260" s="17" t="n"/>
      <c r="D260" s="17" t="n"/>
      <c r="E260" s="17" t="n"/>
      <c r="F260" s="17" t="n"/>
    </row>
    <row r="261" ht="15" customHeight="1" s="12">
      <c r="A261" s="17" t="n"/>
      <c r="B261" s="17" t="n"/>
      <c r="C261" s="17" t="n"/>
      <c r="D261" s="17" t="n"/>
      <c r="E261" s="17" t="n"/>
      <c r="F261" s="17" t="n"/>
    </row>
    <row r="262" ht="15" customHeight="1" s="12">
      <c r="A262" s="17" t="n"/>
      <c r="B262" s="17" t="n"/>
      <c r="C262" s="17" t="n"/>
      <c r="D262" s="17" t="n"/>
      <c r="E262" s="17" t="n"/>
      <c r="F262" s="17" t="n"/>
    </row>
    <row r="263" ht="15" customHeight="1" s="12">
      <c r="A263" s="17" t="n"/>
      <c r="B263" s="17" t="n"/>
      <c r="C263" s="17" t="n"/>
      <c r="D263" s="17" t="n"/>
      <c r="E263" s="17" t="n"/>
      <c r="F263" s="17" t="n"/>
    </row>
    <row r="264" ht="15" customHeight="1" s="12">
      <c r="A264" s="17" t="n"/>
      <c r="B264" s="17" t="n"/>
      <c r="C264" s="17" t="n"/>
      <c r="D264" s="17" t="n"/>
      <c r="E264" s="17" t="n"/>
      <c r="F264" s="17" t="n"/>
    </row>
    <row r="265" ht="15" customHeight="1" s="12">
      <c r="A265" s="17" t="n"/>
      <c r="B265" s="17" t="n"/>
      <c r="C265" s="17" t="n"/>
      <c r="D265" s="17" t="n"/>
      <c r="E265" s="17" t="n"/>
      <c r="F265" s="17" t="n"/>
    </row>
    <row r="266" ht="15" customHeight="1" s="12">
      <c r="A266" s="17" t="n"/>
      <c r="B266" s="17" t="n"/>
      <c r="C266" s="17" t="n"/>
      <c r="D266" s="17" t="n"/>
      <c r="E266" s="17" t="n"/>
      <c r="F266" s="17" t="n"/>
    </row>
    <row r="267" ht="15" customHeight="1" s="12">
      <c r="A267" s="17" t="n"/>
      <c r="B267" s="17" t="n"/>
      <c r="C267" s="17" t="n"/>
      <c r="D267" s="17" t="n"/>
      <c r="E267" s="17" t="n"/>
      <c r="F267" s="17" t="n"/>
    </row>
    <row r="268" ht="15" customHeight="1" s="12">
      <c r="A268" s="17" t="n"/>
      <c r="B268" s="17" t="n"/>
      <c r="C268" s="17" t="n"/>
      <c r="D268" s="17" t="n"/>
      <c r="E268" s="17" t="n"/>
      <c r="F268" s="17" t="n"/>
    </row>
    <row r="269" ht="15" customHeight="1" s="12">
      <c r="A269" s="17" t="n"/>
      <c r="B269" s="17" t="n"/>
      <c r="C269" s="17" t="n"/>
      <c r="D269" s="17" t="n"/>
      <c r="E269" s="17" t="n"/>
      <c r="F269" s="17" t="n"/>
    </row>
    <row r="270" ht="15" customHeight="1" s="12">
      <c r="A270" s="17" t="n"/>
      <c r="B270" s="17" t="n"/>
      <c r="C270" s="17" t="n"/>
      <c r="D270" s="17" t="n"/>
      <c r="E270" s="17" t="n"/>
      <c r="F270" s="17" t="n"/>
    </row>
    <row r="271" ht="15" customHeight="1" s="12">
      <c r="A271" s="17" t="n"/>
      <c r="B271" s="17" t="n"/>
      <c r="C271" s="17" t="n"/>
      <c r="D271" s="17" t="n"/>
      <c r="E271" s="17" t="n"/>
      <c r="F271" s="17" t="n"/>
    </row>
    <row r="272" ht="15" customHeight="1" s="12">
      <c r="A272" s="17" t="n"/>
      <c r="B272" s="17" t="n"/>
      <c r="C272" s="17" t="n"/>
      <c r="D272" s="17" t="n"/>
      <c r="E272" s="17" t="n"/>
      <c r="F272" s="17" t="n"/>
    </row>
    <row r="273" ht="15" customHeight="1" s="12">
      <c r="A273" s="17" t="n"/>
      <c r="B273" s="17" t="n"/>
      <c r="C273" s="17" t="n"/>
      <c r="D273" s="17" t="n"/>
      <c r="E273" s="17" t="n"/>
      <c r="F273" s="17" t="n"/>
    </row>
    <row r="274" ht="15" customHeight="1" s="12">
      <c r="A274" s="17" t="n"/>
      <c r="B274" s="17" t="n"/>
      <c r="C274" s="17" t="n"/>
      <c r="D274" s="17" t="n"/>
      <c r="E274" s="17" t="n"/>
      <c r="F274" s="17" t="n"/>
    </row>
    <row r="275" ht="15" customHeight="1" s="12">
      <c r="A275" s="17" t="n"/>
      <c r="B275" s="17" t="n"/>
      <c r="C275" s="17" t="n"/>
      <c r="D275" s="17" t="n"/>
      <c r="E275" s="17" t="n"/>
      <c r="F275" s="17" t="n"/>
    </row>
    <row r="276" ht="15" customHeight="1" s="12">
      <c r="A276" s="17" t="n"/>
      <c r="B276" s="17" t="n"/>
      <c r="C276" s="17" t="n"/>
      <c r="D276" s="17" t="n"/>
      <c r="E276" s="17" t="n"/>
      <c r="F276" s="17" t="n"/>
    </row>
    <row r="277" ht="15" customHeight="1" s="12">
      <c r="A277" s="17" t="n"/>
      <c r="B277" s="17" t="n"/>
      <c r="C277" s="17" t="n"/>
      <c r="D277" s="17" t="n"/>
      <c r="E277" s="17" t="n"/>
      <c r="F277" s="17" t="n"/>
    </row>
    <row r="278" ht="15" customHeight="1" s="12">
      <c r="A278" s="17" t="n"/>
      <c r="B278" s="17" t="n"/>
      <c r="C278" s="17" t="n"/>
      <c r="D278" s="17" t="n"/>
      <c r="E278" s="17" t="n"/>
      <c r="F278" s="17" t="n"/>
    </row>
    <row r="279" ht="15" customHeight="1" s="12">
      <c r="A279" s="17" t="n"/>
      <c r="B279" s="17" t="n"/>
      <c r="C279" s="17" t="n"/>
      <c r="D279" s="17" t="n"/>
      <c r="E279" s="17" t="n"/>
      <c r="F279" s="17" t="n"/>
    </row>
    <row r="280" ht="15" customHeight="1" s="12">
      <c r="A280" s="17" t="n"/>
      <c r="B280" s="17" t="n"/>
      <c r="C280" s="17" t="n"/>
      <c r="D280" s="17" t="n"/>
      <c r="E280" s="17" t="n"/>
      <c r="F280" s="17" t="n"/>
    </row>
    <row r="281" ht="15" customHeight="1" s="12">
      <c r="A281" s="17" t="n"/>
      <c r="B281" s="17" t="n"/>
      <c r="C281" s="17" t="n"/>
      <c r="D281" s="17" t="n"/>
      <c r="E281" s="17" t="n"/>
      <c r="F281" s="17" t="n"/>
    </row>
    <row r="282" ht="15" customHeight="1" s="12">
      <c r="A282" s="17" t="n"/>
      <c r="B282" s="17" t="n"/>
      <c r="C282" s="17" t="n"/>
      <c r="D282" s="17" t="n"/>
      <c r="E282" s="17" t="n"/>
      <c r="F282" s="17" t="n"/>
    </row>
    <row r="283" ht="15" customHeight="1" s="12">
      <c r="A283" s="17" t="n"/>
      <c r="B283" s="17" t="n"/>
      <c r="C283" s="17" t="n"/>
      <c r="D283" s="17" t="n"/>
      <c r="E283" s="17" t="n"/>
      <c r="F283" s="17" t="n"/>
    </row>
    <row r="284" ht="15" customHeight="1" s="12">
      <c r="A284" s="17" t="n"/>
      <c r="B284" s="17" t="n"/>
      <c r="C284" s="17" t="n"/>
      <c r="D284" s="17" t="n"/>
      <c r="E284" s="17" t="n"/>
      <c r="F284" s="17" t="n"/>
    </row>
    <row r="285" ht="15" customHeight="1" s="12">
      <c r="A285" s="17" t="n"/>
      <c r="B285" s="17" t="n"/>
      <c r="C285" s="17" t="n"/>
      <c r="D285" s="17" t="n"/>
      <c r="E285" s="17" t="n"/>
      <c r="F285" s="17" t="n"/>
    </row>
    <row r="286" ht="15" customHeight="1" s="12">
      <c r="A286" s="17" t="n"/>
      <c r="B286" s="17" t="n"/>
      <c r="C286" s="17" t="n"/>
      <c r="D286" s="17" t="n"/>
      <c r="E286" s="17" t="n"/>
      <c r="F286" s="17" t="n"/>
    </row>
    <row r="287" ht="15" customHeight="1" s="12">
      <c r="A287" s="17" t="n"/>
      <c r="B287" s="17" t="n"/>
      <c r="C287" s="17" t="n"/>
      <c r="D287" s="17" t="n"/>
      <c r="E287" s="17" t="n"/>
      <c r="F287" s="17" t="n"/>
    </row>
    <row r="288" ht="15" customHeight="1" s="12">
      <c r="A288" s="17" t="n"/>
      <c r="B288" s="17" t="n"/>
      <c r="C288" s="17" t="n"/>
      <c r="D288" s="17" t="n"/>
      <c r="E288" s="17" t="n"/>
      <c r="F288" s="17" t="n"/>
    </row>
    <row r="289" ht="15" customHeight="1" s="12">
      <c r="A289" s="17" t="n"/>
      <c r="B289" s="17" t="n"/>
      <c r="C289" s="17" t="n"/>
      <c r="D289" s="17" t="n"/>
      <c r="E289" s="17" t="n"/>
      <c r="F289" s="17" t="n"/>
    </row>
    <row r="290" ht="15" customHeight="1" s="12">
      <c r="A290" s="17" t="n"/>
      <c r="B290" s="17" t="n"/>
      <c r="C290" s="17" t="n"/>
      <c r="D290" s="17" t="n"/>
      <c r="E290" s="17" t="n"/>
      <c r="F290" s="17" t="n"/>
    </row>
    <row r="291" ht="15" customHeight="1" s="12">
      <c r="A291" s="17" t="n"/>
      <c r="B291" s="17" t="n"/>
      <c r="C291" s="17" t="n"/>
      <c r="D291" s="17" t="n"/>
      <c r="E291" s="17" t="n"/>
      <c r="F291" s="17" t="n"/>
    </row>
    <row r="292" ht="15" customHeight="1" s="12">
      <c r="A292" s="17" t="n"/>
      <c r="B292" s="17" t="n"/>
      <c r="C292" s="17" t="n"/>
      <c r="D292" s="17" t="n"/>
      <c r="E292" s="17" t="n"/>
      <c r="F292" s="17" t="n"/>
    </row>
    <row r="293" ht="15" customHeight="1" s="12">
      <c r="A293" s="17" t="n"/>
      <c r="B293" s="17" t="n"/>
      <c r="C293" s="17" t="n"/>
      <c r="D293" s="17" t="n"/>
      <c r="E293" s="17" t="n"/>
      <c r="F293" s="17" t="n"/>
    </row>
    <row r="294" ht="15" customHeight="1" s="12">
      <c r="A294" s="17" t="n"/>
      <c r="B294" s="17" t="n"/>
      <c r="C294" s="17" t="n"/>
      <c r="D294" s="17" t="n"/>
      <c r="E294" s="17" t="n"/>
      <c r="F294" s="17" t="n"/>
    </row>
    <row r="295" ht="15" customHeight="1" s="12">
      <c r="A295" s="17" t="n"/>
      <c r="B295" s="17" t="n"/>
      <c r="C295" s="17" t="n"/>
      <c r="D295" s="17" t="n"/>
      <c r="E295" s="17" t="n"/>
      <c r="F295" s="17" t="n"/>
    </row>
    <row r="296" ht="15" customHeight="1" s="12">
      <c r="A296" s="17" t="n"/>
      <c r="B296" s="17" t="n"/>
      <c r="C296" s="17" t="n"/>
      <c r="D296" s="17" t="n"/>
      <c r="E296" s="17" t="n"/>
      <c r="F296" s="17" t="n"/>
    </row>
    <row r="297" ht="15" customHeight="1" s="12">
      <c r="A297" s="17" t="n"/>
      <c r="B297" s="17" t="n"/>
      <c r="C297" s="17" t="n"/>
      <c r="D297" s="17" t="n"/>
      <c r="E297" s="17" t="n"/>
      <c r="F297" s="17" t="n"/>
    </row>
    <row r="298" ht="15" customHeight="1" s="12">
      <c r="A298" s="17" t="n"/>
      <c r="B298" s="17" t="n"/>
      <c r="C298" s="17" t="n"/>
      <c r="D298" s="17" t="n"/>
      <c r="E298" s="17" t="n"/>
      <c r="F298" s="17" t="n"/>
    </row>
    <row r="299" ht="15" customHeight="1" s="12">
      <c r="A299" s="17" t="n"/>
      <c r="B299" s="17" t="n"/>
      <c r="C299" s="17" t="n"/>
      <c r="D299" s="17" t="n"/>
      <c r="E299" s="17" t="n"/>
      <c r="F299" s="17" t="n"/>
    </row>
    <row r="300" ht="15" customHeight="1" s="12">
      <c r="A300" s="17" t="n"/>
      <c r="B300" s="17" t="n"/>
      <c r="C300" s="17" t="n"/>
      <c r="D300" s="17" t="n"/>
      <c r="E300" s="17" t="n"/>
      <c r="F300" s="17" t="n"/>
    </row>
    <row r="301" ht="15" customHeight="1" s="12">
      <c r="A301" s="17" t="n"/>
      <c r="B301" s="17" t="n"/>
      <c r="C301" s="17" t="n"/>
      <c r="D301" s="17" t="n"/>
      <c r="E301" s="17" t="n"/>
      <c r="F301" s="17" t="n"/>
    </row>
    <row r="302" ht="15" customHeight="1" s="12">
      <c r="A302" s="17" t="n"/>
      <c r="B302" s="17" t="n"/>
      <c r="C302" s="17" t="n"/>
      <c r="D302" s="17" t="n"/>
      <c r="E302" s="17" t="n"/>
      <c r="F302" s="17" t="n"/>
    </row>
  </sheetData>
  <dataValidations count="2">
    <dataValidation sqref="D3:D302" showDropDown="0" showInputMessage="0" showErrorMessage="0" allowBlank="1" type="list" errorStyle="stop" operator="between">
      <formula1>"Include,Exclude"</formula1>
      <formula2>0</formula2>
    </dataValidation>
    <dataValidation sqref="E3:E302" showDropDown="0" showInputMessage="0" showErrorMessage="0" allowBlank="1" type="list" errorStyle="stop" operator="between">
      <formula1>"Conceptual only - no technical contribution,ML predictive model (not software model),Generates code directly without a model,Non-software CAD model,Editorial/abstract/poster,Duplicate of later/extended version,Outside date range,Not peer-reviewed,Other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C2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1" min="1" max="1"/>
    <col width="22" customWidth="1" style="11" min="2" max="29"/>
  </cols>
  <sheetData>
    <row r="1" ht="41.75" customHeight="1" s="12">
      <c r="A1" s="16" t="inlineStr">
        <is>
          <t>#</t>
        </is>
      </c>
      <c r="B1" s="16" t="inlineStr">
        <is>
          <t>Title</t>
        </is>
      </c>
      <c r="C1" s="16" t="inlineStr">
        <is>
          <t>Extracted By</t>
        </is>
      </c>
      <c r="D1" s="16" t="inlineStr">
        <is>
          <t>Year</t>
        </is>
      </c>
      <c r="E1" s="16" t="inlineStr">
        <is>
          <t>Venue</t>
        </is>
      </c>
      <c r="F1" s="16" t="inlineStr">
        <is>
          <t>Country/Institution</t>
        </is>
      </c>
      <c r="G1" s="16" t="inlineStr">
        <is>
          <t>Study/Contribution Type</t>
        </is>
      </c>
      <c r="H1" s="16" t="inlineStr">
        <is>
          <t>Application Domain</t>
        </is>
      </c>
      <c r="I1" s="16" t="inlineStr">
        <is>
          <t>System Scale</t>
        </is>
      </c>
      <c r="J1" s="16" t="inlineStr">
        <is>
          <t>AI Technique/Model/Version</t>
        </is>
      </c>
      <c r="K1" s="16" t="inlineStr">
        <is>
          <t>Prompting/Training/Adaptation Method</t>
        </is>
      </c>
      <c r="L1" s="16" t="inlineStr">
        <is>
          <t>Single- or Multi-Agent</t>
        </is>
      </c>
      <c r="M1" s="16" t="inlineStr">
        <is>
          <t>Model-Engineering Stage/Task</t>
        </is>
      </c>
      <c r="N1" s="16" t="inlineStr">
        <is>
          <t>Modelling Language/Metamodel/Diagram Type</t>
        </is>
      </c>
      <c r="O1" s="16" t="inlineStr">
        <is>
          <t>Input Artefact(s)</t>
        </is>
      </c>
      <c r="P1" s="16" t="inlineStr">
        <is>
          <t>Output Artefact(s)</t>
        </is>
      </c>
      <c r="Q1" s="16" t="inlineStr">
        <is>
          <t>Dataset/Benchmark</t>
        </is>
      </c>
      <c r="R1" s="16" t="inlineStr">
        <is>
          <t>Baseline/Comparison</t>
        </is>
      </c>
      <c r="S1" s="16" t="inlineStr">
        <is>
          <t>Validation Mechanism</t>
        </is>
      </c>
      <c r="T1" s="16" t="inlineStr">
        <is>
          <t>Human Involvement</t>
        </is>
      </c>
      <c r="U1" s="16" t="inlineStr">
        <is>
          <t>Quality Metrics &amp; Reported Performance</t>
        </is>
      </c>
      <c r="V1" s="16" t="inlineStr">
        <is>
          <t>Computational Cost/Scalability</t>
        </is>
      </c>
      <c r="W1" s="16" t="inlineStr">
        <is>
          <t>Explainability/Uncertainty Treatment</t>
        </is>
      </c>
      <c r="X1" s="16" t="inlineStr">
        <is>
          <t>Standards Conformance/Traceability</t>
        </is>
      </c>
      <c r="Y1" s="16" t="inlineStr">
        <is>
          <t>Reproducibility Assets</t>
        </is>
      </c>
      <c r="Z1" s="16" t="inlineStr">
        <is>
          <t>Reported Benefits</t>
        </is>
      </c>
      <c r="AA1" s="16" t="inlineStr">
        <is>
          <t>Reported Limitations</t>
        </is>
      </c>
      <c r="AB1" s="16" t="inlineStr">
        <is>
          <t>Industrial Evidence</t>
        </is>
      </c>
      <c r="AC1" s="16" t="inlineStr">
        <is>
          <t>Assigned Maturity Level (1-6)</t>
        </is>
      </c>
    </row>
    <row r="2" ht="15" customHeight="1" s="12">
      <c r="A2" s="17" t="n">
        <v>1</v>
      </c>
      <c r="B2" s="17" t="inlineStr">
        <is>
          <t>Change-aware round-trip benchmarking of LLMs for reliable and efficient artifact co-evolution</t>
        </is>
      </c>
      <c r="C2" s="17" t="inlineStr">
        <is>
          <t>Thabiso Matsaba</t>
        </is>
      </c>
      <c r="D2" s="17" t="n">
        <v>2026</v>
      </c>
      <c r="E2" s="17" t="inlineStr">
        <is>
          <t>Journal of Systems and Software</t>
        </is>
      </c>
      <c r="F2" s="17" t="inlineStr"/>
      <c r="G2" s="17" t="inlineStr">
        <is>
          <t>Empirical evaluation / Benchmark</t>
        </is>
      </c>
      <c r="H2" s="17" t="inlineStr"/>
      <c r="I2" s="17" t="inlineStr"/>
      <c r="J2" s="17" t="inlineStr">
        <is>
          <t>LLMs (GPT-5, Qwen3-Next-80B-A3B, DeepSeek V3, Gemini 2.5)</t>
        </is>
      </c>
      <c r="K2" s="17" t="inlineStr">
        <is>
          <t>Controlled edit + translation prompts; reproducible protocol</t>
        </is>
      </c>
      <c r="L2" s="17" t="inlineStr">
        <is>
          <t>Single-agent</t>
        </is>
      </c>
      <c r="M2" s="17" t="inlineStr">
        <is>
          <t>Model evolution; Model-code synchronisation; Artifact co-evolution</t>
        </is>
      </c>
      <c r="N2" s="17" t="inlineStr">
        <is>
          <t>Class-oriented data models; Relational database schemas</t>
        </is>
      </c>
      <c r="O2" s="17" t="inlineStr">
        <is>
          <t>Paired models/schemas with controlled edit operations</t>
        </is>
      </c>
      <c r="P2" s="17" t="inlineStr">
        <is>
          <t>Co-evolved models and schemas (round-trip)</t>
        </is>
      </c>
      <c r="Q2" s="17" t="inlineStr">
        <is>
          <t>Curated dataset of paired models and schemas</t>
        </is>
      </c>
      <c r="R2" s="17" t="inlineStr"/>
      <c r="S2" s="17" t="inlineStr">
        <is>
          <t>Edit persistence; Structural validity (parsability/loadability); Run-to-run consistency</t>
        </is>
      </c>
      <c r="T2" s="17" t="inlineStr">
        <is>
          <t>Human oversight for structural reorganization cases</t>
        </is>
      </c>
      <c r="U2" s="17" t="inlineStr"/>
      <c r="V2" s="17" t="inlineStr"/>
      <c r="W2" s="17" t="inlineStr"/>
      <c r="X2" s="17" t="inlineStr"/>
      <c r="Y2" s="17" t="inlineStr"/>
      <c r="Z2" s="17" t="inlineStr"/>
      <c r="AA2" s="17" t="inlineStr"/>
      <c r="AB2" s="17" t="inlineStr">
        <is>
          <t>No (controlled benchmark)</t>
        </is>
      </c>
      <c r="AC2" s="17" t="n">
        <v>4</v>
      </c>
    </row>
    <row r="3" ht="15" customHeight="1" s="12">
      <c r="A3" s="17" t="n">
        <v>2</v>
      </c>
      <c r="B3" s="17" t="inlineStr">
        <is>
          <t>Semanti-MOP: Bridging the semantic gap in automated architecture refactoring via instability-aware Large Language Models</t>
        </is>
      </c>
      <c r="C3" s="17" t="inlineStr">
        <is>
          <t>Thabiso Matsaba</t>
        </is>
      </c>
      <c r="D3" s="17" t="n">
        <v>2026</v>
      </c>
      <c r="E3" s="17" t="inlineStr">
        <is>
          <t>Information and Software Technology</t>
        </is>
      </c>
      <c r="F3" s="17" t="inlineStr"/>
      <c r="G3" s="17" t="inlineStr">
        <is>
          <t>Framework / Method + Industrial evaluation</t>
        </is>
      </c>
      <c r="H3" s="17" t="inlineStr"/>
      <c r="I3" s="17" t="inlineStr"/>
      <c r="J3" s="17" t="inlineStr">
        <is>
          <t>LLMs with RAG + search-based optimization</t>
        </is>
      </c>
      <c r="K3" s="17" t="inlineStr">
        <is>
          <t>RAG-augmented prompting; instability-aware</t>
        </is>
      </c>
      <c r="L3" s="17" t="inlineStr">
        <is>
          <t>Single-agent</t>
        </is>
      </c>
      <c r="M3" s="17" t="inlineStr">
        <is>
          <t>Architectural modelling; Model transformation; Refactoring</t>
        </is>
      </c>
      <c r="N3" s="17" t="inlineStr">
        <is>
          <t>Architectural models; Microservice architectures</t>
        </is>
      </c>
      <c r="O3" s="17" t="inlineStr">
        <is>
          <t>Existing architecture / source code (Apache Flink)</t>
        </is>
      </c>
      <c r="P3" s="17" t="inlineStr">
        <is>
          <t>Refactored architecture; Microservice decomposition</t>
        </is>
      </c>
      <c r="Q3" s="17" t="inlineStr">
        <is>
          <t>Apache Flink industrial case</t>
        </is>
      </c>
      <c r="R3" s="17" t="inlineStr"/>
      <c r="S3" s="17" t="inlineStr">
        <is>
          <t>Industrial case study evaluation</t>
        </is>
      </c>
      <c r="T3" s="17" t="inlineStr">
        <is>
          <t>Human-in-the-loop for approval of refactorings</t>
        </is>
      </c>
      <c r="U3" s="17" t="inlineStr"/>
      <c r="V3" s="17" t="inlineStr"/>
      <c r="W3" s="17" t="inlineStr"/>
      <c r="X3" s="17" t="inlineStr"/>
      <c r="Y3" s="17" t="inlineStr"/>
      <c r="Z3" s="17" t="inlineStr"/>
      <c r="AA3" s="17" t="inlineStr"/>
      <c r="AB3" s="17" t="inlineStr">
        <is>
          <t>Yes (Apache Flink)</t>
        </is>
      </c>
      <c r="AC3" s="17" t="n">
        <v>4</v>
      </c>
    </row>
    <row r="4" ht="15" customHeight="1" s="12">
      <c r="A4" s="17" t="n">
        <v>3</v>
      </c>
      <c r="B4" s="17" t="inlineStr">
        <is>
          <t>A framework for assessing the capabilities of code generation of constraint domain-specific languages with large language models</t>
        </is>
      </c>
      <c r="C4" s="17" t="inlineStr">
        <is>
          <t>Thabiso Matsaba</t>
        </is>
      </c>
      <c r="D4" s="17" t="n">
        <v>2026</v>
      </c>
      <c r="E4" s="17" t="inlineStr">
        <is>
          <t>Journal of Systems and Software</t>
        </is>
      </c>
      <c r="F4" s="17" t="inlineStr"/>
      <c r="G4" s="17" t="inlineStr">
        <is>
          <t>Framework / Empirical evaluation</t>
        </is>
      </c>
      <c r="H4" s="17" t="inlineStr"/>
      <c r="I4" s="17" t="inlineStr"/>
      <c r="J4" s="17" t="inlineStr">
        <is>
          <t>Large Language Models</t>
        </is>
      </c>
      <c r="K4" s="17" t="inlineStr">
        <is>
          <t>Prompting for constraint generation + repair loops</t>
        </is>
      </c>
      <c r="L4" s="17" t="inlineStr">
        <is>
          <t>N/A (search/RL)</t>
        </is>
      </c>
      <c r="M4" s="17" t="inlineStr">
        <is>
          <t>Model-to-code synthesis; Model validation; Constraint generation</t>
        </is>
      </c>
      <c r="N4" s="17" t="inlineStr">
        <is>
          <t>Constraint DSLs (OCL, Alloy)</t>
        </is>
      </c>
      <c r="O4" s="17" t="inlineStr">
        <is>
          <t>Textual specifications</t>
        </is>
      </c>
      <c r="P4" s="17" t="inlineStr">
        <is>
          <t>OCL / Alloy formal constraints; Repaired code</t>
        </is>
      </c>
      <c r="Q4" s="17" t="inlineStr">
        <is>
          <t>Constraint specification benchmarks</t>
        </is>
      </c>
      <c r="R4" s="17" t="inlineStr"/>
      <c r="S4" s="17" t="inlineStr">
        <is>
          <t>Code generation accuracy; Repair success; Syntactic + semantic checks</t>
        </is>
      </c>
      <c r="T4" s="17" t="inlineStr">
        <is>
          <t>Expert review of generated constraints</t>
        </is>
      </c>
      <c r="U4" s="17" t="inlineStr"/>
      <c r="V4" s="17" t="inlineStr"/>
      <c r="W4" s="17" t="inlineStr"/>
      <c r="X4" s="17" t="inlineStr"/>
      <c r="Y4" s="17" t="inlineStr"/>
      <c r="Z4" s="17" t="inlineStr"/>
      <c r="AA4" s="17" t="inlineStr"/>
      <c r="AB4" s="17" t="inlineStr">
        <is>
          <t>No</t>
        </is>
      </c>
      <c r="AC4" s="17" t="n">
        <v>3</v>
      </c>
    </row>
    <row r="5" ht="15" customHeight="1" s="12">
      <c r="A5" s="17" t="n">
        <v>4</v>
      </c>
      <c r="B5" s="17" t="inlineStr">
        <is>
          <t>Automatic translation of natural language requirements into CTL specifications using Large Language Models: A multi-approach evaluation</t>
        </is>
      </c>
      <c r="C5" s="17" t="inlineStr">
        <is>
          <t>Thabiso Matsaba</t>
        </is>
      </c>
      <c r="D5" s="17" t="n">
        <v>2026</v>
      </c>
      <c r="E5" s="17" t="inlineStr">
        <is>
          <t>Journal of Systems and Software</t>
        </is>
      </c>
      <c r="F5" s="17" t="inlineStr"/>
      <c r="G5" s="17" t="inlineStr">
        <is>
          <t>Empirical evaluation / Method</t>
        </is>
      </c>
      <c r="H5" s="17" t="inlineStr"/>
      <c r="I5" s="17" t="inlineStr"/>
      <c r="J5" s="17" t="inlineStr">
        <is>
          <t>LLMs (fine-tuning and prompting)</t>
        </is>
      </c>
      <c r="K5" s="17" t="inlineStr">
        <is>
          <t>Fine-tuning + multiple prompting strategies</t>
        </is>
      </c>
      <c r="L5" s="17" t="inlineStr">
        <is>
          <t>Single-agent</t>
        </is>
      </c>
      <c r="M5" s="17" t="inlineStr">
        <is>
          <t>Requirements-to-model generation; Formal specification synthesis</t>
        </is>
      </c>
      <c r="N5" s="17" t="inlineStr">
        <is>
          <t>CTL (Computation Tree Logic) formal models</t>
        </is>
      </c>
      <c r="O5" s="17" t="inlineStr">
        <is>
          <t>Natural-language requirements</t>
        </is>
      </c>
      <c r="P5" s="17" t="inlineStr">
        <is>
          <t>CTL specifications for model checking</t>
        </is>
      </c>
      <c r="Q5" s="17" t="inlineStr">
        <is>
          <t>NL requirements to CTL translation datasets</t>
        </is>
      </c>
      <c r="R5" s="17" t="inlineStr"/>
      <c r="S5" s="17" t="inlineStr">
        <is>
          <t>Translation accuracy; Formal verification readiness; Semantic fidelity</t>
        </is>
      </c>
      <c r="T5" s="17" t="inlineStr">
        <is>
          <t>Human validation of CTL correctness</t>
        </is>
      </c>
      <c r="U5" s="17" t="inlineStr"/>
      <c r="V5" s="17" t="inlineStr"/>
      <c r="W5" s="17" t="inlineStr"/>
      <c r="X5" s="17" t="inlineStr"/>
      <c r="Y5" s="17" t="inlineStr"/>
      <c r="Z5" s="17" t="inlineStr"/>
      <c r="AA5" s="17" t="inlineStr"/>
      <c r="AB5" s="17" t="inlineStr">
        <is>
          <t>No</t>
        </is>
      </c>
      <c r="AC5" s="17" t="n">
        <v>3</v>
      </c>
    </row>
    <row r="6" ht="15" customHeight="1" s="12">
      <c r="A6" s="17" t="n">
        <v>5</v>
      </c>
      <c r="B6" s="17" t="inlineStr">
        <is>
          <t>Detecting semantic alignments between textual specifications and domain models</t>
        </is>
      </c>
      <c r="C6" s="17" t="inlineStr">
        <is>
          <t>Thabiso Matsaba</t>
        </is>
      </c>
      <c r="D6" s="17" t="n">
        <v>2026</v>
      </c>
      <c r="E6" s="17" t="inlineStr">
        <is>
          <t>Information and Software Technology</t>
        </is>
      </c>
      <c r="F6" s="17" t="inlineStr"/>
      <c r="G6" s="17" t="inlineStr">
        <is>
          <t>Method / Empirical evaluation</t>
        </is>
      </c>
      <c r="H6" s="17" t="inlineStr"/>
      <c r="I6" s="17" t="inlineStr"/>
      <c r="J6" s="17" t="inlineStr">
        <is>
          <t>NLP techniques and Large Language Models</t>
        </is>
      </c>
      <c r="K6" s="17" t="inlineStr">
        <is>
          <t>LLM-based semantic similarity / alignment detection</t>
        </is>
      </c>
      <c r="L6" s="17" t="inlineStr">
        <is>
          <t>N/A (search/RL)</t>
        </is>
      </c>
      <c r="M6" s="17" t="inlineStr">
        <is>
          <t>Model quality assurance; Requirements understanding; Traceability</t>
        </is>
      </c>
      <c r="N6" s="17" t="inlineStr">
        <is>
          <t>Domain models</t>
        </is>
      </c>
      <c r="O6" s="17" t="inlineStr">
        <is>
          <t>Textual specifications; Domain models</t>
        </is>
      </c>
      <c r="P6" s="17" t="inlineStr">
        <is>
          <t>Semantic alignment / misalignment detections</t>
        </is>
      </c>
      <c r="Q6" s="17" t="inlineStr">
        <is>
          <t>Specification-to-model alignment benchmarks</t>
        </is>
      </c>
      <c r="R6" s="17" t="inlineStr"/>
      <c r="S6" s="17" t="inlineStr">
        <is>
          <t>Precision/recall of alignment detection; Semantic fidelity</t>
        </is>
      </c>
      <c r="T6" s="17" t="inlineStr">
        <is>
          <t>Expert-labeled alignments as ground truth</t>
        </is>
      </c>
      <c r="U6" s="17" t="inlineStr"/>
      <c r="V6" s="17" t="inlineStr"/>
      <c r="W6" s="17" t="inlineStr"/>
      <c r="X6" s="17" t="inlineStr"/>
      <c r="Y6" s="17" t="inlineStr"/>
      <c r="Z6" s="17" t="inlineStr"/>
      <c r="AA6" s="17" t="inlineStr"/>
      <c r="AB6" s="17" t="inlineStr">
        <is>
          <t>No</t>
        </is>
      </c>
      <c r="AC6" s="17" t="n">
        <v>3</v>
      </c>
    </row>
    <row r="7" ht="15" customHeight="1" s="12">
      <c r="A7" s="17" t="n">
        <v>6</v>
      </c>
      <c r="B7" s="17" t="inlineStr">
        <is>
          <t>Assessing UML diagrams by GPT: Implications for education</t>
        </is>
      </c>
      <c r="C7" s="17" t="inlineStr">
        <is>
          <t>Thabiso Matsaba</t>
        </is>
      </c>
      <c r="D7" s="17" t="n">
        <v>2026</v>
      </c>
      <c r="E7" s="17" t="inlineStr">
        <is>
          <t>Journal of Systems and Software</t>
        </is>
      </c>
      <c r="F7" s="17" t="inlineStr"/>
      <c r="G7" s="17" t="inlineStr">
        <is>
          <t>Empirical evaluation</t>
        </is>
      </c>
      <c r="H7" s="17" t="inlineStr"/>
      <c r="I7" s="17" t="inlineStr"/>
      <c r="J7" s="17" t="inlineStr">
        <is>
          <t>GPT (Large Language Model)</t>
        </is>
      </c>
      <c r="K7" s="17" t="inlineStr">
        <is>
          <t>Prompting for diagram assessment and grading</t>
        </is>
      </c>
      <c r="L7" s="17" t="inlineStr">
        <is>
          <t>Single-agent</t>
        </is>
      </c>
      <c r="M7" s="17" t="inlineStr">
        <is>
          <t>Model quality assurance; Validation; Educational assessment</t>
        </is>
      </c>
      <c r="N7" s="17" t="inlineStr">
        <is>
          <t>UML (use-case, class, sequence diagrams)</t>
        </is>
      </c>
      <c r="O7" s="17" t="inlineStr">
        <is>
          <t>UML diagrams (student submissions)</t>
        </is>
      </c>
      <c r="P7" s="17" t="inlineStr">
        <is>
          <t>Assessment scores / feedback</t>
        </is>
      </c>
      <c r="Q7" s="17" t="inlineStr">
        <is>
          <t>Student UML diagram corpus with expert grades</t>
        </is>
      </c>
      <c r="R7" s="17" t="inlineStr"/>
      <c r="S7" s="17" t="inlineStr">
        <is>
          <t>Correlation with expert baselines; Inter-rater agreement</t>
        </is>
      </c>
      <c r="T7" s="17" t="inlineStr">
        <is>
          <t>Expert grader baselines</t>
        </is>
      </c>
      <c r="U7" s="17" t="inlineStr"/>
      <c r="V7" s="17" t="inlineStr"/>
      <c r="W7" s="17" t="inlineStr"/>
      <c r="X7" s="17" t="inlineStr"/>
      <c r="Y7" s="17" t="inlineStr"/>
      <c r="Z7" s="17" t="inlineStr"/>
      <c r="AA7" s="17" t="inlineStr"/>
      <c r="AB7" s="17" t="inlineStr">
        <is>
          <t>No (educational setting)</t>
        </is>
      </c>
      <c r="AC7" s="17" t="n">
        <v>2</v>
      </c>
    </row>
    <row r="8" ht="15" customHeight="1" s="12">
      <c r="A8" s="17" t="n">
        <v>7</v>
      </c>
      <c r="B8" s="17" t="inlineStr">
        <is>
          <t>Automated spectrum-based model fault localization within a search framework</t>
        </is>
      </c>
      <c r="C8" s="17" t="inlineStr">
        <is>
          <t>Thabiso Matsaba</t>
        </is>
      </c>
      <c r="D8" s="17" t="n">
        <v>2025</v>
      </c>
      <c r="E8" s="17" t="inlineStr">
        <is>
          <t>Journal of Systems and Software</t>
        </is>
      </c>
      <c r="F8" s="17" t="inlineStr"/>
      <c r="G8" s="17" t="inlineStr">
        <is>
          <t>Method / Algorithm + Empirical evaluation</t>
        </is>
      </c>
      <c r="H8" s="17" t="inlineStr"/>
      <c r="I8" s="17" t="inlineStr"/>
      <c r="J8" s="17" t="inlineStr">
        <is>
          <t>Whale Optimization Algorithm; Learning-to-Rank (metaheuristics / ML)</t>
        </is>
      </c>
      <c r="K8" s="17" t="inlineStr">
        <is>
          <t>N/A (search-based / ranking)</t>
        </is>
      </c>
      <c r="L8" s="17" t="inlineStr">
        <is>
          <t>N/A (search/RL)</t>
        </is>
      </c>
      <c r="M8" s="17" t="inlineStr">
        <is>
          <t>Model quality assurance; Model repair; Fault localization</t>
        </is>
      </c>
      <c r="N8" s="17" t="inlineStr">
        <is>
          <t>Extended Finite State Machines (EFSM)</t>
        </is>
      </c>
      <c r="O8" s="17" t="inlineStr">
        <is>
          <t>EFSM models with injected faults; Spectrum data</t>
        </is>
      </c>
      <c r="P8" s="17" t="inlineStr">
        <is>
          <t>Ranked fault locations</t>
        </is>
      </c>
      <c r="Q8" s="17" t="inlineStr">
        <is>
          <t>EFSM fault localization benchmarks</t>
        </is>
      </c>
      <c r="R8" s="17" t="inlineStr"/>
      <c r="S8" s="17" t="inlineStr">
        <is>
          <t>Localization accuracy metrics (EXAM score, etc.)</t>
        </is>
      </c>
      <c r="T8" s="17" t="inlineStr">
        <is>
          <t>Minimal (automated localization)</t>
        </is>
      </c>
      <c r="U8" s="17" t="inlineStr"/>
      <c r="V8" s="17" t="inlineStr"/>
      <c r="W8" s="17" t="inlineStr"/>
      <c r="X8" s="17" t="inlineStr"/>
      <c r="Y8" s="17" t="inlineStr"/>
      <c r="Z8" s="17" t="inlineStr"/>
      <c r="AA8" s="17" t="inlineStr"/>
      <c r="AB8" s="17" t="inlineStr">
        <is>
          <t>No</t>
        </is>
      </c>
      <c r="AC8" s="17" t="n">
        <v>3</v>
      </c>
    </row>
    <row r="9" ht="15" customHeight="1" s="12">
      <c r="A9" s="17" t="n">
        <v>8</v>
      </c>
      <c r="B9" s="17" t="inlineStr">
        <is>
          <t>An architecture for model-based and intelligent automation in DevOps</t>
        </is>
      </c>
      <c r="C9" s="17" t="inlineStr">
        <is>
          <t>Thabiso Matsaba</t>
        </is>
      </c>
      <c r="D9" s="17" t="n">
        <v>2024</v>
      </c>
      <c r="E9" s="17" t="inlineStr">
        <is>
          <t>Journal of Systems and Software</t>
        </is>
      </c>
      <c r="F9" s="17" t="inlineStr"/>
      <c r="G9" s="17" t="inlineStr">
        <is>
          <t>Architecture / Framework + Industrial evaluation</t>
        </is>
      </c>
      <c r="H9" s="17" t="inlineStr"/>
      <c r="I9" s="17" t="inlineStr"/>
      <c r="J9" s="17" t="inlineStr">
        <is>
          <t>AI/ML techniques integrated with MDE</t>
        </is>
      </c>
      <c r="K9" s="17" t="inlineStr">
        <is>
          <t>Various AI/ML pipelines within the architecture</t>
        </is>
      </c>
      <c r="L9" s="17" t="inlineStr">
        <is>
          <t>N/A (search/RL)</t>
        </is>
      </c>
      <c r="M9" s="17" t="inlineStr">
        <is>
          <t>Model validation; Runtime modelling; Continuous validation; DevOps automation</t>
        </is>
      </c>
      <c r="N9" s="17" t="inlineStr">
        <is>
          <t>Multiple MDE artefacts and metamodels</t>
        </is>
      </c>
      <c r="O9" s="17" t="inlineStr">
        <is>
          <t>System models; Runtime telemetry; Requirements</t>
        </is>
      </c>
      <c r="P9" s="17" t="inlineStr">
        <is>
          <t>Validated models; Automation artefacts; Feedback loops</t>
        </is>
      </c>
      <c r="Q9" s="17" t="inlineStr">
        <is>
          <t>Multiple industrial case studies (AIDOaRt project)</t>
        </is>
      </c>
      <c r="R9" s="17" t="inlineStr"/>
      <c r="S9" s="17" t="inlineStr">
        <is>
          <t>Industrial case studies; Continuous validation metrics</t>
        </is>
      </c>
      <c r="T9" s="17" t="inlineStr">
        <is>
          <t>Human-in-the-loop DevOps engineers</t>
        </is>
      </c>
      <c r="U9" s="17" t="inlineStr"/>
      <c r="V9" s="17" t="inlineStr"/>
      <c r="W9" s="17" t="inlineStr"/>
      <c r="X9" s="17" t="inlineStr"/>
      <c r="Y9" s="17" t="inlineStr"/>
      <c r="Z9" s="17" t="inlineStr"/>
      <c r="AA9" s="17" t="inlineStr"/>
      <c r="AB9" s="17" t="inlineStr">
        <is>
          <t>Yes (multiple industrial partners)</t>
        </is>
      </c>
      <c r="AC9" s="17" t="n">
        <v>5</v>
      </c>
    </row>
    <row r="10" ht="15" customHeight="1" s="12">
      <c r="A10" s="17" t="n">
        <v>9</v>
      </c>
      <c r="B10" s="17" t="inlineStr">
        <is>
          <t>Convolutional neural networks for enhanced classification mechanisms of metamodels</t>
        </is>
      </c>
      <c r="C10" s="17" t="inlineStr">
        <is>
          <t>Thabiso Matsaba</t>
        </is>
      </c>
      <c r="D10" s="17" t="n">
        <v>2021</v>
      </c>
      <c r="E10" s="17" t="inlineStr">
        <is>
          <t>Journal of Systems and Software</t>
        </is>
      </c>
      <c r="F10" s="17" t="inlineStr"/>
      <c r="G10" s="17" t="inlineStr">
        <is>
          <t>Method / Tool + Empirical evaluation</t>
        </is>
      </c>
      <c r="H10" s="17" t="inlineStr"/>
      <c r="I10" s="17" t="inlineStr"/>
      <c r="J10" s="17" t="inlineStr">
        <is>
          <t>Deep Convolutional Neural Networks (memoCNN)</t>
        </is>
      </c>
      <c r="K10" s="17" t="inlineStr">
        <is>
          <t>N/A (supervised CNN classification)</t>
        </is>
      </c>
      <c r="L10" s="17" t="inlineStr">
        <is>
          <t>Single-agent</t>
        </is>
      </c>
      <c r="M10" s="17" t="inlineStr">
        <is>
          <t>Domain modelling; Model quality assurance; Repository management</t>
        </is>
      </c>
      <c r="N10" s="17" t="inlineStr">
        <is>
          <t>Ecore metamodels</t>
        </is>
      </c>
      <c r="O10" s="17" t="inlineStr">
        <is>
          <t>Ecore metamodel repositories (graph/image representations)</t>
        </is>
      </c>
      <c r="P10" s="17" t="inlineStr">
        <is>
          <t>Classified/categorized metamodels</t>
        </is>
      </c>
      <c r="Q10" s="17" t="inlineStr">
        <is>
          <t>Ecore metamodel corpus</t>
        </is>
      </c>
      <c r="R10" s="17" t="inlineStr"/>
      <c r="S10" s="17" t="inlineStr">
        <is>
          <t>Classification accuracy; Comparison with baselines</t>
        </is>
      </c>
      <c r="T10" s="17" t="inlineStr">
        <is>
          <t>Labeled training data from experts</t>
        </is>
      </c>
      <c r="U10" s="17" t="inlineStr"/>
      <c r="V10" s="17" t="inlineStr"/>
      <c r="W10" s="17" t="inlineStr"/>
      <c r="X10" s="17" t="inlineStr"/>
      <c r="Y10" s="17" t="inlineStr"/>
      <c r="Z10" s="17" t="inlineStr"/>
      <c r="AA10" s="17" t="inlineStr"/>
      <c r="AB10" s="17" t="inlineStr">
        <is>
          <t>No</t>
        </is>
      </c>
      <c r="AC10" s="17" t="n">
        <v>3</v>
      </c>
    </row>
    <row r="11" ht="15" customHeight="1" s="12">
      <c r="A11" s="17" t="n">
        <v>10</v>
      </c>
      <c r="B11" s="17" t="inlineStr">
        <is>
          <t>An evolutionary approach for generating software models: The case of Kromaia in Game Software Engineering</t>
        </is>
      </c>
      <c r="C11" s="17" t="inlineStr">
        <is>
          <t>Thabiso Matsaba</t>
        </is>
      </c>
      <c r="D11" s="17" t="n">
        <v>2021</v>
      </c>
      <c r="E11" s="17" t="inlineStr">
        <is>
          <t>Journal of Systems and Software</t>
        </is>
      </c>
      <c r="F11" s="17" t="inlineStr"/>
      <c r="G11" s="17" t="inlineStr">
        <is>
          <t>Method + Industrial case study</t>
        </is>
      </c>
      <c r="H11" s="17" t="inlineStr"/>
      <c r="I11" s="17" t="inlineStr"/>
      <c r="J11" s="17" t="inlineStr">
        <is>
          <t>Evolutionary algorithms (EMoGen)</t>
        </is>
      </c>
      <c r="K11" s="17" t="inlineStr">
        <is>
          <t>N/A (search-based generation)</t>
        </is>
      </c>
      <c r="L11" s="17" t="inlineStr">
        <is>
          <t>N/A (search/RL)</t>
        </is>
      </c>
      <c r="M11" s="17" t="inlineStr">
        <is>
          <t>Requirements-to-model generation; Model generation</t>
        </is>
      </c>
      <c r="N11" s="17" t="inlineStr">
        <is>
          <t>Software models (game domain, large-scale)</t>
        </is>
      </c>
      <c r="O11" s="17" t="inlineStr">
        <is>
          <t>Search space / requirements encoding for Kromaia</t>
        </is>
      </c>
      <c r="P11" s="17" t="inlineStr">
        <is>
          <t>Software models with &gt;1000 elements</t>
        </is>
      </c>
      <c r="Q11" s="17" t="inlineStr">
        <is>
          <t>Kromaia industrial game case</t>
        </is>
      </c>
      <c r="R11" s="17" t="inlineStr"/>
      <c r="S11" s="17" t="inlineStr">
        <is>
          <t>Time comparison vs manual; Model quality/fitness</t>
        </is>
      </c>
      <c r="T11" s="17" t="inlineStr">
        <is>
          <t>Domain experts define fitness / search space</t>
        </is>
      </c>
      <c r="U11" s="17" t="inlineStr"/>
      <c r="V11" s="17" t="inlineStr"/>
      <c r="W11" s="17" t="inlineStr"/>
      <c r="X11" s="17" t="inlineStr"/>
      <c r="Y11" s="17" t="inlineStr"/>
      <c r="Z11" s="17" t="inlineStr"/>
      <c r="AA11" s="17" t="inlineStr"/>
      <c r="AB11" s="17" t="inlineStr">
        <is>
          <t>Yes (Kromaia commercial game)</t>
        </is>
      </c>
      <c r="AC11" s="17" t="n">
        <v>4</v>
      </c>
    </row>
    <row r="12" ht="15" customHeight="1" s="12">
      <c r="A12" s="17" t="n">
        <v>11</v>
      </c>
      <c r="B12" s="17" t="inlineStr">
        <is>
          <t>Comparison of search strategies for feature location in software models</t>
        </is>
      </c>
      <c r="C12" s="17" t="inlineStr">
        <is>
          <t>Thabiso Matsaba</t>
        </is>
      </c>
      <c r="D12" s="17" t="n">
        <v>2021</v>
      </c>
      <c r="E12" s="17" t="inlineStr">
        <is>
          <t>Journal of Systems and Software</t>
        </is>
      </c>
      <c r="F12" s="17" t="inlineStr"/>
      <c r="G12" s="17" t="inlineStr">
        <is>
          <t>Empirical evaluation / Comparative study</t>
        </is>
      </c>
      <c r="H12" s="17" t="inlineStr"/>
      <c r="I12" s="17" t="inlineStr"/>
      <c r="J12" s="17" t="inlineStr">
        <is>
          <t>Metaheuristic search (random, iterated local search, hill climbing, EA, hybrid EA+HC)</t>
        </is>
      </c>
      <c r="K12" s="17" t="inlineStr">
        <is>
          <t>N/A (search-based)</t>
        </is>
      </c>
      <c r="L12" s="17" t="inlineStr">
        <is>
          <t>N/A (search/RL)</t>
        </is>
      </c>
      <c r="M12" s="17" t="inlineStr">
        <is>
          <t>Model completion; Feature location in models</t>
        </is>
      </c>
      <c r="N12" s="17" t="inlineStr">
        <is>
          <t>Software product line models</t>
        </is>
      </c>
      <c r="O12" s="17" t="inlineStr">
        <is>
          <t>1895 feature location problems from 40 industrial SPLs</t>
        </is>
      </c>
      <c r="P12" s="17" t="inlineStr">
        <is>
          <t>Located feature realizations in models</t>
        </is>
      </c>
      <c r="Q12" s="17" t="inlineStr">
        <is>
          <t>40 industrial software product lines (1895 problems)</t>
        </is>
      </c>
      <c r="R12" s="17" t="inlineStr"/>
      <c r="S12" s="17" t="inlineStr">
        <is>
          <t>Performance comparison across search strategies; Impact of model size/density measures</t>
        </is>
      </c>
      <c r="T12" s="17" t="inlineStr">
        <is>
          <t>Industrial models as ground truth</t>
        </is>
      </c>
      <c r="U12" s="17" t="inlineStr"/>
      <c r="V12" s="17" t="inlineStr"/>
      <c r="W12" s="17" t="inlineStr"/>
      <c r="X12" s="17" t="inlineStr"/>
      <c r="Y12" s="17" t="inlineStr"/>
      <c r="Z12" s="17" t="inlineStr"/>
      <c r="AA12" s="17" t="inlineStr"/>
      <c r="AB12" s="17" t="inlineStr">
        <is>
          <t>Yes (40 industrial SPLs)</t>
        </is>
      </c>
      <c r="AC12" s="17" t="n">
        <v>3</v>
      </c>
    </row>
    <row r="13" ht="15" customHeight="1" s="12">
      <c r="A13" s="17" t="n">
        <v>12</v>
      </c>
      <c r="B13" s="17" t="inlineStr">
        <is>
          <t>MOMM: Multi-objective model merging</t>
        </is>
      </c>
      <c r="C13" s="17" t="inlineStr">
        <is>
          <t>Thabiso Matsaba</t>
        </is>
      </c>
      <c r="D13" s="17" t="n">
        <v>2015</v>
      </c>
      <c r="E13" s="17" t="inlineStr">
        <is>
          <t>Journal of Systems and Software</t>
        </is>
      </c>
      <c r="F13" s="17" t="inlineStr"/>
      <c r="G13" s="17" t="inlineStr">
        <is>
          <t>Method / Algorithm + Empirical evaluation</t>
        </is>
      </c>
      <c r="H13" s="17" t="inlineStr"/>
      <c r="I13" s="17" t="inlineStr"/>
      <c r="J13" s="17" t="inlineStr">
        <is>
          <t>NSGA-II multi-objective evolutionary optimization</t>
        </is>
      </c>
      <c r="K13" s="17" t="inlineStr">
        <is>
          <t>N/A (multi-objective search)</t>
        </is>
      </c>
      <c r="L13" s="17" t="inlineStr">
        <is>
          <t>N/A (search/RL)</t>
        </is>
      </c>
      <c r="M13" s="17" t="inlineStr">
        <is>
          <t>Collaborative modelling; Model repair; Model merging</t>
        </is>
      </c>
      <c r="N13" s="17" t="inlineStr">
        <is>
          <t>UML / MOF-based software models</t>
        </is>
      </c>
      <c r="O13" s="17" t="inlineStr">
        <is>
          <t>Conflicting model versions from collaborative editing</t>
        </is>
      </c>
      <c r="P13" s="17" t="inlineStr">
        <is>
          <t>Merged models resolving conflicts under multiple objectives</t>
        </is>
      </c>
      <c r="Q13" s="17" t="inlineStr">
        <is>
          <t>Collaborative modelling conflict scenarios</t>
        </is>
      </c>
      <c r="R13" s="17" t="inlineStr"/>
      <c r="S13" s="17" t="inlineStr">
        <is>
          <t>Multi-objective quality metrics; Comparison with existing merge tools</t>
        </is>
      </c>
      <c r="T13" s="17" t="inlineStr">
        <is>
          <t>Developers select preferred solutions from Pareto front</t>
        </is>
      </c>
      <c r="U13" s="17" t="inlineStr"/>
      <c r="V13" s="17" t="inlineStr"/>
      <c r="W13" s="17" t="inlineStr"/>
      <c r="X13" s="17" t="inlineStr"/>
      <c r="Y13" s="17" t="inlineStr"/>
      <c r="Z13" s="17" t="inlineStr"/>
      <c r="AA13" s="17" t="inlineStr"/>
      <c r="AB13" s="17" t="inlineStr">
        <is>
          <t>Limited</t>
        </is>
      </c>
      <c r="AC13" s="17" t="n">
        <v>3</v>
      </c>
    </row>
    <row r="14" ht="15" customHeight="1" s="12">
      <c r="A14" s="17" t="n">
        <v>13</v>
      </c>
      <c r="B14" s="17" t="inlineStr">
        <is>
          <t>QExplore: An exploration strategy for dynamic web applications using guided search</t>
        </is>
      </c>
      <c r="C14" s="17" t="inlineStr">
        <is>
          <t>Thabiso Matsaba</t>
        </is>
      </c>
      <c r="D14" s="17" t="n">
        <v>2023</v>
      </c>
      <c r="E14" s="17" t="inlineStr">
        <is>
          <t>Journal of Systems and Software</t>
        </is>
      </c>
      <c r="F14" s="17" t="inlineStr"/>
      <c r="G14" s="17" t="inlineStr">
        <is>
          <t>Method / Tool + Empirical evaluation</t>
        </is>
      </c>
      <c r="H14" s="17" t="inlineStr"/>
      <c r="I14" s="17" t="inlineStr"/>
      <c r="J14" s="17" t="inlineStr">
        <is>
          <t>Reinforcement Learning (Q-learning)</t>
        </is>
      </c>
      <c r="K14" s="17" t="inlineStr">
        <is>
          <t>N/A (RL exploration policy)</t>
        </is>
      </c>
      <c r="L14" s="17" t="inlineStr">
        <is>
          <t>N/A (search/RL)</t>
        </is>
      </c>
      <c r="M14" s="17" t="inlineStr">
        <is>
          <t>Behavioural modelling; Runtime modelling; Model synthesis</t>
        </is>
      </c>
      <c r="N14" s="17" t="inlineStr">
        <is>
          <t>Behavioral state models of web applications</t>
        </is>
      </c>
      <c r="O14" s="17" t="inlineStr">
        <is>
          <t>Dynamic web applications (runtime exploration)</t>
        </is>
      </c>
      <c r="P14" s="17" t="inlineStr">
        <is>
          <t>Behavioral state models / exploration traces</t>
        </is>
      </c>
      <c r="Q14" s="17" t="inlineStr">
        <is>
          <t>Dynamic web application benchmarks</t>
        </is>
      </c>
      <c r="R14" s="17" t="inlineStr"/>
      <c r="S14" s="17" t="inlineStr">
        <is>
          <t>Exploration coverage; Model quality vs unguided baselines</t>
        </is>
      </c>
      <c r="T14" s="17" t="inlineStr">
        <is>
          <t>Minimal (automated exploration)</t>
        </is>
      </c>
      <c r="U14" s="17" t="inlineStr"/>
      <c r="V14" s="17" t="inlineStr"/>
      <c r="W14" s="17" t="inlineStr"/>
      <c r="X14" s="17" t="inlineStr"/>
      <c r="Y14" s="17" t="inlineStr"/>
      <c r="Z14" s="17" t="inlineStr"/>
      <c r="AA14" s="17" t="inlineStr"/>
      <c r="AB14" s="17" t="inlineStr">
        <is>
          <t>No</t>
        </is>
      </c>
      <c r="AC14" s="17" t="n">
        <v>3</v>
      </c>
    </row>
    <row r="15" ht="15" customHeight="1" s="12">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row>
    <row r="16" ht="15" customHeight="1" s="12">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row>
    <row r="17" ht="15" customHeight="1" s="12">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row>
    <row r="18" ht="15" customHeight="1" s="12">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row>
    <row r="19" ht="15" customHeight="1" s="12">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row>
    <row r="20" ht="15" customHeight="1" s="12">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row>
    <row r="21" ht="15" customHeight="1" s="12">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row>
    <row r="22" ht="15" customHeight="1" s="1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row>
    <row r="23" ht="15" customHeight="1" s="12">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row>
    <row r="24" ht="15" customHeight="1" s="12">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row>
    <row r="25" ht="15" customHeight="1" s="12">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row>
    <row r="26" ht="15" customHeight="1" s="12">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row>
    <row r="27" ht="15" customHeight="1" s="12">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row>
    <row r="28" ht="15" customHeight="1" s="12">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row>
    <row r="29" ht="15" customHeight="1" s="12">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row>
    <row r="30" ht="15" customHeight="1" s="12">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row>
    <row r="31" ht="15" customHeight="1" s="12">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row>
    <row r="32" ht="15" customHeight="1" s="1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row>
    <row r="33" ht="15" customHeight="1" s="12">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row>
    <row r="34" ht="15" customHeight="1" s="12">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row>
    <row r="35" ht="15" customHeight="1" s="12">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row>
    <row r="36" ht="15" customHeight="1" s="12">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row>
    <row r="37" ht="15" customHeight="1" s="12">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row>
    <row r="38" ht="15" customHeight="1" s="12">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row>
    <row r="39" ht="15" customHeight="1" s="12">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row>
    <row r="40" ht="15" customHeight="1" s="12">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row>
    <row r="41" ht="15" customHeight="1" s="12">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row>
    <row r="42" ht="15" customHeight="1" s="1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row>
    <row r="43" ht="15" customHeight="1" s="12">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row>
    <row r="44" ht="15" customHeight="1" s="12">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row>
    <row r="45" ht="15" customHeight="1" s="12">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row>
    <row r="46" ht="15" customHeight="1" s="12">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row>
    <row r="47" ht="15" customHeight="1" s="12">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row>
    <row r="48" ht="15" customHeight="1" s="12">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row>
    <row r="49" ht="15" customHeight="1" s="12">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row>
    <row r="50" ht="15" customHeight="1" s="12">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row>
    <row r="51" ht="15" customHeight="1" s="12">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row>
    <row r="52" ht="15" customHeight="1" s="1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row>
    <row r="53" ht="15" customHeight="1" s="12">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row>
    <row r="54" ht="15" customHeight="1" s="12">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row>
    <row r="55" ht="15" customHeight="1" s="12">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row>
    <row r="56" ht="15" customHeight="1" s="12">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row>
    <row r="57" ht="15" customHeight="1" s="12">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row>
    <row r="58" ht="15" customHeight="1" s="12">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row>
    <row r="59" ht="15" customHeight="1" s="12">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row>
    <row r="60" ht="15" customHeight="1" s="12">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row>
    <row r="61" ht="15" customHeight="1" s="12">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row>
    <row r="62" ht="15" customHeight="1" s="12">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row>
    <row r="63" ht="15" customHeight="1" s="12">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row>
    <row r="64" ht="15" customHeight="1" s="12">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row>
    <row r="65" ht="15" customHeight="1" s="12">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row>
    <row r="66" ht="15" customHeight="1" s="12">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row>
    <row r="67" ht="15" customHeight="1" s="12">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row>
    <row r="68" ht="15" customHeight="1" s="12">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row>
    <row r="69" ht="15" customHeight="1" s="12">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row>
    <row r="70" ht="15" customHeight="1" s="12">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row>
    <row r="71" ht="15" customHeight="1" s="12">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row>
    <row r="72" ht="15" customHeight="1" s="12">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row>
    <row r="73" ht="15" customHeight="1" s="12">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row>
    <row r="74" ht="15" customHeight="1" s="12">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row>
    <row r="75" ht="15" customHeight="1" s="12">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row>
    <row r="76" ht="15" customHeight="1" s="12">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row>
    <row r="77" ht="15" customHeight="1" s="12">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row>
    <row r="78" ht="15" customHeight="1" s="12">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row>
    <row r="79" ht="15" customHeight="1" s="12">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row>
    <row r="80" ht="15" customHeight="1" s="12">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row>
    <row r="81" ht="15" customHeight="1" s="12">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row>
    <row r="82" ht="15" customHeight="1" s="12">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row>
    <row r="83" ht="15" customHeight="1" s="12">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row>
    <row r="84" ht="15" customHeight="1" s="12">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row>
    <row r="85" ht="15" customHeight="1" s="12">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row>
    <row r="86" ht="15" customHeight="1" s="12">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row>
    <row r="87" ht="15" customHeight="1" s="12">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row>
    <row r="88" ht="15" customHeight="1" s="12">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row>
    <row r="89" ht="15" customHeight="1" s="12">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row>
    <row r="90" ht="15" customHeight="1" s="12">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row>
    <row r="91" ht="15" customHeight="1" s="12">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row>
    <row r="92" ht="15" customHeight="1" s="12">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row>
    <row r="93" ht="15" customHeight="1" s="12">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row>
    <row r="94" ht="15" customHeight="1" s="12">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row>
    <row r="95" ht="15" customHeight="1" s="12">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row>
    <row r="96" ht="15" customHeight="1" s="12">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row>
    <row r="97" ht="15" customHeight="1" s="12">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row>
    <row r="98" ht="15" customHeight="1" s="12">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row>
    <row r="99" ht="15" customHeight="1" s="12">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row>
    <row r="100" ht="15" customHeight="1" s="12">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row>
    <row r="101" ht="15" customHeight="1" s="12">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row>
    <row r="102" ht="15" customHeight="1" s="12">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row>
    <row r="103" ht="15" customHeight="1" s="12">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row>
    <row r="104" ht="15" customHeight="1" s="12">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row>
    <row r="105" ht="15" customHeight="1" s="12">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row>
    <row r="106" ht="15" customHeight="1" s="12">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row>
    <row r="107" ht="15" customHeight="1" s="12">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row>
    <row r="108" ht="15" customHeight="1" s="12">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row>
    <row r="109" ht="15" customHeight="1" s="12">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row>
    <row r="110" ht="15" customHeight="1" s="12">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row>
    <row r="111" ht="15" customHeight="1" s="12">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row>
    <row r="112" ht="15" customHeight="1" s="12">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row>
    <row r="113" ht="15" customHeight="1" s="12">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row>
    <row r="114" ht="15" customHeight="1" s="12">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row>
    <row r="115" ht="15" customHeight="1" s="12">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row>
    <row r="116" ht="15" customHeight="1" s="12">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row>
    <row r="117" ht="15" customHeight="1" s="12">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row>
    <row r="118" ht="15" customHeight="1" s="12">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row>
    <row r="119" ht="15" customHeight="1" s="12">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row>
    <row r="120" ht="15" customHeight="1" s="12">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row>
    <row r="121" ht="15" customHeight="1" s="12">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row>
    <row r="122" ht="15" customHeight="1" s="12">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row>
    <row r="123" ht="15" customHeight="1" s="12">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row>
    <row r="124" ht="15" customHeight="1" s="12">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row>
    <row r="125" ht="15" customHeight="1" s="12">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row>
    <row r="126" ht="15" customHeight="1" s="12">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row>
    <row r="127" ht="15" customHeight="1" s="12">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row>
    <row r="128" ht="15" customHeight="1" s="12">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row>
    <row r="129" ht="15" customHeight="1" s="12">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row>
    <row r="130" ht="15" customHeight="1" s="12">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row>
    <row r="131" ht="15" customHeight="1" s="12">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row>
    <row r="132" ht="15" customHeight="1" s="12">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row>
    <row r="133" ht="15" customHeight="1" s="12">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row>
    <row r="134" ht="15" customHeight="1" s="12">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row>
    <row r="135" ht="15" customHeight="1" s="12">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row>
    <row r="136" ht="15" customHeight="1" s="12">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row>
    <row r="137" ht="15" customHeight="1" s="12">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row>
    <row r="138" ht="15" customHeight="1" s="12">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row>
    <row r="139" ht="15" customHeight="1" s="12">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row>
    <row r="140" ht="15" customHeight="1" s="12">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row>
    <row r="141" ht="15" customHeight="1" s="12">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row>
    <row r="142" ht="15" customHeight="1" s="12">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row>
    <row r="143" ht="15" customHeight="1" s="12">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row>
    <row r="144" ht="15" customHeight="1" s="12">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row>
    <row r="145" ht="15" customHeight="1" s="12">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row>
    <row r="146" ht="15" customHeight="1" s="12">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row>
    <row r="147" ht="15" customHeight="1" s="12">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row>
    <row r="148" ht="15" customHeight="1" s="12">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row>
    <row r="149" ht="15" customHeight="1" s="12">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row>
    <row r="150" ht="15" customHeight="1" s="12">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row>
    <row r="151" ht="15" customHeight="1" s="12">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row>
    <row r="152" ht="15" customHeight="1" s="12">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row>
    <row r="153" ht="15" customHeight="1" s="12">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row>
    <row r="154" ht="15" customHeight="1" s="12">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row>
    <row r="155" ht="15" customHeight="1" s="12">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row>
    <row r="156" ht="15" customHeight="1" s="12">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row>
    <row r="157" ht="15" customHeight="1" s="12">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row>
    <row r="158" ht="15" customHeight="1" s="12">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row>
    <row r="159" ht="15" customHeight="1" s="12">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row>
    <row r="160" ht="15" customHeight="1" s="12">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row>
    <row r="161" ht="15" customHeight="1" s="12">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row>
    <row r="162" ht="15" customHeight="1" s="12">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row>
    <row r="163" ht="15" customHeight="1" s="12">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row>
    <row r="164" ht="15" customHeight="1" s="12">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row>
    <row r="165" ht="15" customHeight="1" s="12">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row>
    <row r="166" ht="15" customHeight="1" s="12">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row>
    <row r="167" ht="15" customHeight="1" s="12">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row>
    <row r="168" ht="15" customHeight="1" s="12">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row>
    <row r="169" ht="15" customHeight="1" s="12">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row>
    <row r="170" ht="15" customHeight="1" s="12">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row>
    <row r="171" ht="15" customHeight="1" s="12">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row>
    <row r="172" ht="15" customHeight="1" s="12">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row>
    <row r="173" ht="15" customHeight="1" s="12">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row>
    <row r="174" ht="15" customHeight="1" s="12">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row>
    <row r="175" ht="15" customHeight="1" s="12">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row>
    <row r="176" ht="15" customHeight="1" s="12">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row>
    <row r="177" ht="15" customHeight="1" s="12">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row>
    <row r="178" ht="15" customHeight="1" s="12">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row>
    <row r="179" ht="15" customHeight="1" s="12">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row>
    <row r="180" ht="15" customHeight="1" s="12">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row>
    <row r="181" ht="15" customHeight="1" s="12">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row>
    <row r="182" ht="15" customHeight="1" s="12">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row>
    <row r="183" ht="15" customHeight="1" s="12">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row>
    <row r="184" ht="15" customHeight="1" s="12">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row>
    <row r="185" ht="15" customHeight="1" s="12">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row>
    <row r="186" ht="15" customHeight="1" s="12">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row>
    <row r="187" ht="15" customHeight="1" s="12">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row>
    <row r="188" ht="15" customHeight="1" s="12">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row>
    <row r="189" ht="15" customHeight="1" s="12">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row>
    <row r="190" ht="15" customHeight="1" s="12">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row>
    <row r="191" ht="15" customHeight="1" s="12">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row>
    <row r="192" ht="15" customHeight="1" s="12">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row>
    <row r="193" ht="15" customHeight="1" s="12">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row>
    <row r="194" ht="15" customHeight="1" s="12">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row>
    <row r="195" ht="15" customHeight="1" s="12">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row>
    <row r="196" ht="15" customHeight="1" s="12">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row>
    <row r="197" ht="15" customHeight="1" s="12">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row>
    <row r="198" ht="15" customHeight="1" s="12">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row>
    <row r="199" ht="15" customHeight="1" s="12">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row>
    <row r="200" ht="15" customHeight="1" s="12">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row>
    <row r="201" ht="15" customHeight="1" s="12">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row>
  </sheetData>
  <dataValidations count="1">
    <dataValidation sqref="AC2:AC201" showDropDown="0" showInputMessage="0" showErrorMessage="0" allowBlank="1" type="list" errorStyle="stop" operator="between">
      <formula1>"1 - Manual,2 - Assistive,3 - Interactive co-modelling,4 - Semi-autonomous,5 - Verifier-guided autonomous,6 - Continuous adaptive"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W101"/>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5" customWidth="1" style="11" min="1" max="1"/>
    <col width="30" customWidth="1" style="11" min="2" max="2"/>
    <col width="12" customWidth="1" style="11" min="3" max="3"/>
    <col width="10" customWidth="1" style="11" min="4" max="22"/>
    <col width="30" customWidth="1" style="11" min="23" max="23"/>
  </cols>
  <sheetData>
    <row r="1" ht="41.75" customHeight="1" s="12">
      <c r="A1" s="16" t="inlineStr">
        <is>
          <t>#</t>
        </is>
      </c>
      <c r="B1" s="16" t="inlineStr">
        <is>
          <t>Title</t>
        </is>
      </c>
      <c r="C1" s="16" t="inlineStr">
        <is>
          <t>Scored By</t>
        </is>
      </c>
      <c r="D1" s="16" t="inlineStr">
        <is>
          <t>Research clarity</t>
        </is>
      </c>
      <c r="E1" s="16" t="inlineStr">
        <is>
          <t>Context</t>
        </is>
      </c>
      <c r="F1" s="16" t="inlineStr">
        <is>
          <t>AI transparency</t>
        </is>
      </c>
      <c r="G1" s="16" t="inlineStr">
        <is>
          <t>Modelling transparency</t>
        </is>
      </c>
      <c r="H1" s="16" t="inlineStr">
        <is>
          <t>Dataset quality</t>
        </is>
      </c>
      <c r="I1" s="16" t="inlineStr">
        <is>
          <t>Baseline</t>
        </is>
      </c>
      <c r="J1" s="16" t="inlineStr">
        <is>
          <t>Syntactic validity</t>
        </is>
      </c>
      <c r="K1" s="16" t="inlineStr">
        <is>
          <t>Semantic fidelity</t>
        </is>
      </c>
      <c r="L1" s="16" t="inlineStr">
        <is>
          <t>Completeness</t>
        </is>
      </c>
      <c r="M1" s="16" t="inlineStr">
        <is>
          <t>Cross-view consistency</t>
        </is>
      </c>
      <c r="N1" s="16" t="inlineStr">
        <is>
          <t>Independent validation</t>
        </is>
      </c>
      <c r="O1" s="16" t="inlineStr">
        <is>
          <t>Human expertise</t>
        </is>
      </c>
      <c r="P1" s="16" t="inlineStr">
        <is>
          <t>Experimental rigour</t>
        </is>
      </c>
      <c r="Q1" s="16" t="inlineStr">
        <is>
          <t>Statistical analysis</t>
        </is>
      </c>
      <c r="R1" s="16" t="inlineStr">
        <is>
          <t>Reproducibility</t>
        </is>
      </c>
      <c r="S1" s="16" t="inlineStr">
        <is>
          <t>Practical relevance</t>
        </is>
      </c>
      <c r="T1" s="16" t="inlineStr">
        <is>
          <t>Scalability</t>
        </is>
      </c>
      <c r="U1" s="16" t="inlineStr">
        <is>
          <t>Threats to validity</t>
        </is>
      </c>
      <c r="V1" s="16" t="inlineStr">
        <is>
          <t>Total (/18)</t>
        </is>
      </c>
      <c r="W1" s="16" t="inlineStr">
        <is>
          <t>Notes</t>
        </is>
      </c>
    </row>
    <row r="2" ht="15" customHeight="1" s="12">
      <c r="A2" s="17" t="n"/>
      <c r="B2" s="17" t="n"/>
      <c r="C2" s="17" t="n"/>
      <c r="D2" s="17" t="n"/>
      <c r="E2" s="17" t="n"/>
      <c r="F2" s="17" t="n"/>
      <c r="G2" s="17" t="n"/>
      <c r="H2" s="17" t="n"/>
      <c r="I2" s="17" t="n"/>
      <c r="J2" s="17" t="n"/>
      <c r="K2" s="17" t="n"/>
      <c r="L2" s="17" t="n"/>
      <c r="M2" s="17" t="n"/>
      <c r="N2" s="17" t="n"/>
      <c r="O2" s="17" t="n"/>
      <c r="P2" s="17" t="n"/>
      <c r="Q2" s="17" t="n"/>
      <c r="R2" s="17" t="n"/>
      <c r="S2" s="17" t="n"/>
      <c r="T2" s="17" t="n"/>
      <c r="U2" s="17" t="n"/>
      <c r="V2" s="17">
        <f>SUM(D2:U2)</f>
        <v/>
      </c>
      <c r="W2" s="17" t="n"/>
    </row>
    <row r="3" ht="15" customHeight="1" s="12">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f>SUM(D3:U3)</f>
        <v/>
      </c>
      <c r="W3" s="17" t="n"/>
    </row>
    <row r="4" ht="15" customHeight="1" s="12">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f>SUM(D4:U4)</f>
        <v/>
      </c>
      <c r="W4" s="17" t="n"/>
    </row>
    <row r="5" ht="15" customHeight="1" s="12">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f>SUM(D5:U5)</f>
        <v/>
      </c>
      <c r="W5" s="17" t="n"/>
    </row>
    <row r="6" ht="15" customHeight="1" s="12">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f>SUM(D6:U6)</f>
        <v/>
      </c>
      <c r="W6" s="17" t="n"/>
    </row>
    <row r="7" ht="15" customHeight="1" s="12">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f>SUM(D7:U7)</f>
        <v/>
      </c>
      <c r="W7" s="17" t="n"/>
    </row>
    <row r="8" ht="15" customHeight="1" s="12">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f>SUM(D8:U8)</f>
        <v/>
      </c>
      <c r="W8" s="17" t="n"/>
    </row>
    <row r="9" ht="15" customHeight="1" s="12">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f>SUM(D9:U9)</f>
        <v/>
      </c>
      <c r="W9" s="17" t="n"/>
    </row>
    <row r="10" ht="15" customHeight="1" s="12">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f>SUM(D10:U10)</f>
        <v/>
      </c>
      <c r="W10" s="17" t="n"/>
    </row>
    <row r="11" ht="15" customHeight="1" s="12">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f>SUM(D11:U11)</f>
        <v/>
      </c>
      <c r="W11" s="17" t="n"/>
    </row>
    <row r="12" ht="15" customHeight="1" s="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f>SUM(D12:U12)</f>
        <v/>
      </c>
      <c r="W12" s="17" t="n"/>
    </row>
    <row r="13" ht="15" customHeight="1" s="12">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f>SUM(D13:U13)</f>
        <v/>
      </c>
      <c r="W13" s="17" t="n"/>
    </row>
    <row r="14" ht="15" customHeight="1" s="12">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f>SUM(D14:U14)</f>
        <v/>
      </c>
      <c r="W14" s="17" t="n"/>
    </row>
    <row r="15" ht="15" customHeight="1" s="12">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f>SUM(D15:U15)</f>
        <v/>
      </c>
      <c r="W15" s="17" t="n"/>
    </row>
    <row r="16" ht="15" customHeight="1" s="12">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f>SUM(D16:U16)</f>
        <v/>
      </c>
      <c r="W16" s="17" t="n"/>
    </row>
    <row r="17" ht="15" customHeight="1" s="12">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f>SUM(D17:U17)</f>
        <v/>
      </c>
      <c r="W17" s="17" t="n"/>
    </row>
    <row r="18" ht="15" customHeight="1" s="12">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f>SUM(D18:U18)</f>
        <v/>
      </c>
      <c r="W18" s="17" t="n"/>
    </row>
    <row r="19" ht="15" customHeight="1" s="12">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f>SUM(D19:U19)</f>
        <v/>
      </c>
      <c r="W19" s="17" t="n"/>
    </row>
    <row r="20" ht="15" customHeight="1" s="12">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f>SUM(D20:U20)</f>
        <v/>
      </c>
      <c r="W20" s="17" t="n"/>
    </row>
    <row r="21" ht="15" customHeight="1" s="12">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f>SUM(D21:U21)</f>
        <v/>
      </c>
      <c r="W21" s="17" t="n"/>
    </row>
    <row r="22" ht="15" customHeight="1" s="1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f>SUM(D22:U22)</f>
        <v/>
      </c>
      <c r="W22" s="17" t="n"/>
    </row>
    <row r="23" ht="15" customHeight="1" s="12">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f>SUM(D23:U23)</f>
        <v/>
      </c>
      <c r="W23" s="17" t="n"/>
    </row>
    <row r="24" ht="15" customHeight="1" s="12">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f>SUM(D24:U24)</f>
        <v/>
      </c>
      <c r="W24" s="17" t="n"/>
    </row>
    <row r="25" ht="15" customHeight="1" s="12">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f>SUM(D25:U25)</f>
        <v/>
      </c>
      <c r="W25" s="17" t="n"/>
    </row>
    <row r="26" ht="15" customHeight="1" s="12">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f>SUM(D26:U26)</f>
        <v/>
      </c>
      <c r="W26" s="17" t="n"/>
    </row>
    <row r="27" ht="15" customHeight="1" s="12">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f>SUM(D27:U27)</f>
        <v/>
      </c>
      <c r="W27" s="17" t="n"/>
    </row>
    <row r="28" ht="15" customHeight="1" s="12">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f>SUM(D28:U28)</f>
        <v/>
      </c>
      <c r="W28" s="17" t="n"/>
    </row>
    <row r="29" ht="15" customHeight="1" s="12">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f>SUM(D29:U29)</f>
        <v/>
      </c>
      <c r="W29" s="17" t="n"/>
    </row>
    <row r="30" ht="15" customHeight="1" s="12">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f>SUM(D30:U30)</f>
        <v/>
      </c>
      <c r="W30" s="17" t="n"/>
    </row>
    <row r="31" ht="15" customHeight="1" s="12">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f>SUM(D31:U31)</f>
        <v/>
      </c>
      <c r="W31" s="17" t="n"/>
    </row>
    <row r="32" ht="15" customHeight="1" s="1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f>SUM(D32:U32)</f>
        <v/>
      </c>
      <c r="W32" s="17" t="n"/>
    </row>
    <row r="33" ht="15" customHeight="1" s="12">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f>SUM(D33:U33)</f>
        <v/>
      </c>
      <c r="W33" s="17" t="n"/>
    </row>
    <row r="34" ht="15" customHeight="1" s="12">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f>SUM(D34:U34)</f>
        <v/>
      </c>
      <c r="W34" s="17" t="n"/>
    </row>
    <row r="35" ht="15" customHeight="1" s="12">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f>SUM(D35:U35)</f>
        <v/>
      </c>
      <c r="W35" s="17" t="n"/>
    </row>
    <row r="36" ht="15" customHeight="1" s="12">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f>SUM(D36:U36)</f>
        <v/>
      </c>
      <c r="W36" s="17" t="n"/>
    </row>
    <row r="37" ht="15" customHeight="1" s="12">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f>SUM(D37:U37)</f>
        <v/>
      </c>
      <c r="W37" s="17" t="n"/>
    </row>
    <row r="38" ht="15" customHeight="1" s="12">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f>SUM(D38:U38)</f>
        <v/>
      </c>
      <c r="W38" s="17" t="n"/>
    </row>
    <row r="39" ht="15" customHeight="1" s="12">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f>SUM(D39:U39)</f>
        <v/>
      </c>
      <c r="W39" s="17" t="n"/>
    </row>
    <row r="40" ht="15" customHeight="1" s="12">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f>SUM(D40:U40)</f>
        <v/>
      </c>
      <c r="W40" s="17" t="n"/>
    </row>
    <row r="41" ht="15" customHeight="1" s="12">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f>SUM(D41:U41)</f>
        <v/>
      </c>
      <c r="W41" s="17" t="n"/>
    </row>
    <row r="42" ht="15" customHeight="1" s="1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f>SUM(D42:U42)</f>
        <v/>
      </c>
      <c r="W42" s="17" t="n"/>
    </row>
    <row r="43" ht="15" customHeight="1" s="12">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f>SUM(D43:U43)</f>
        <v/>
      </c>
      <c r="W43" s="17" t="n"/>
    </row>
    <row r="44" ht="15" customHeight="1" s="12">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f>SUM(D44:U44)</f>
        <v/>
      </c>
      <c r="W44" s="17" t="n"/>
    </row>
    <row r="45" ht="15" customHeight="1" s="12">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f>SUM(D45:U45)</f>
        <v/>
      </c>
      <c r="W45" s="17" t="n"/>
    </row>
    <row r="46" ht="15" customHeight="1" s="12">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f>SUM(D46:U46)</f>
        <v/>
      </c>
      <c r="W46" s="17" t="n"/>
    </row>
    <row r="47" ht="15" customHeight="1" s="12">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f>SUM(D47:U47)</f>
        <v/>
      </c>
      <c r="W47" s="17" t="n"/>
    </row>
    <row r="48" ht="15" customHeight="1" s="12">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f>SUM(D48:U48)</f>
        <v/>
      </c>
      <c r="W48" s="17" t="n"/>
    </row>
    <row r="49" ht="15" customHeight="1" s="12">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f>SUM(D49:U49)</f>
        <v/>
      </c>
      <c r="W49" s="17" t="n"/>
    </row>
    <row r="50" ht="15" customHeight="1" s="12">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f>SUM(D50:U50)</f>
        <v/>
      </c>
      <c r="W50" s="17" t="n"/>
    </row>
    <row r="51" ht="15" customHeight="1" s="12">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f>SUM(D51:U51)</f>
        <v/>
      </c>
      <c r="W51" s="17" t="n"/>
    </row>
    <row r="52" ht="15" customHeight="1" s="1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f>SUM(D52:U52)</f>
        <v/>
      </c>
      <c r="W52" s="17" t="n"/>
    </row>
    <row r="53" ht="15" customHeight="1" s="12">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f>SUM(D53:U53)</f>
        <v/>
      </c>
      <c r="W53" s="17" t="n"/>
    </row>
    <row r="54" ht="15" customHeight="1" s="12">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f>SUM(D54:U54)</f>
        <v/>
      </c>
      <c r="W54" s="17" t="n"/>
    </row>
    <row r="55" ht="15" customHeight="1" s="12">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f>SUM(D55:U55)</f>
        <v/>
      </c>
      <c r="W55" s="17" t="n"/>
    </row>
    <row r="56" ht="15" customHeight="1" s="12">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f>SUM(D56:U56)</f>
        <v/>
      </c>
      <c r="W56" s="17" t="n"/>
    </row>
    <row r="57" ht="15" customHeight="1" s="12">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f>SUM(D57:U57)</f>
        <v/>
      </c>
      <c r="W57" s="17" t="n"/>
    </row>
    <row r="58" ht="15" customHeight="1" s="12">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f>SUM(D58:U58)</f>
        <v/>
      </c>
      <c r="W58" s="17" t="n"/>
    </row>
    <row r="59" ht="15" customHeight="1" s="12">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f>SUM(D59:U59)</f>
        <v/>
      </c>
      <c r="W59" s="17" t="n"/>
    </row>
    <row r="60" ht="15" customHeight="1" s="12">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f>SUM(D60:U60)</f>
        <v/>
      </c>
      <c r="W60" s="17" t="n"/>
    </row>
    <row r="61" ht="15" customHeight="1" s="12">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f>SUM(D61:U61)</f>
        <v/>
      </c>
      <c r="W61" s="17" t="n"/>
    </row>
    <row r="62" ht="15" customHeight="1" s="12">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f>SUM(D62:U62)</f>
        <v/>
      </c>
      <c r="W62" s="17" t="n"/>
    </row>
    <row r="63" ht="15" customHeight="1" s="12">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f>SUM(D63:U63)</f>
        <v/>
      </c>
      <c r="W63" s="17" t="n"/>
    </row>
    <row r="64" ht="15" customHeight="1" s="12">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f>SUM(D64:U64)</f>
        <v/>
      </c>
      <c r="W64" s="17" t="n"/>
    </row>
    <row r="65" ht="15" customHeight="1" s="12">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f>SUM(D65:U65)</f>
        <v/>
      </c>
      <c r="W65" s="17" t="n"/>
    </row>
    <row r="66" ht="15" customHeight="1" s="12">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f>SUM(D66:U66)</f>
        <v/>
      </c>
      <c r="W66" s="17" t="n"/>
    </row>
    <row r="67" ht="15" customHeight="1" s="12">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f>SUM(D67:U67)</f>
        <v/>
      </c>
      <c r="W67" s="17" t="n"/>
    </row>
    <row r="68" ht="15" customHeight="1" s="12">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f>SUM(D68:U68)</f>
        <v/>
      </c>
      <c r="W68" s="17" t="n"/>
    </row>
    <row r="69" ht="15" customHeight="1" s="12">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f>SUM(D69:U69)</f>
        <v/>
      </c>
      <c r="W69" s="17" t="n"/>
    </row>
    <row r="70" ht="15" customHeight="1" s="12">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f>SUM(D70:U70)</f>
        <v/>
      </c>
      <c r="W70" s="17" t="n"/>
    </row>
    <row r="71" ht="15" customHeight="1" s="12">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f>SUM(D71:U71)</f>
        <v/>
      </c>
      <c r="W71" s="17" t="n"/>
    </row>
    <row r="72" ht="15" customHeight="1" s="12">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f>SUM(D72:U72)</f>
        <v/>
      </c>
      <c r="W72" s="17" t="n"/>
    </row>
    <row r="73" ht="15" customHeight="1" s="12">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f>SUM(D73:U73)</f>
        <v/>
      </c>
      <c r="W73" s="17" t="n"/>
    </row>
    <row r="74" ht="15" customHeight="1" s="12">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f>SUM(D74:U74)</f>
        <v/>
      </c>
      <c r="W74" s="17" t="n"/>
    </row>
    <row r="75" ht="15" customHeight="1" s="12">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f>SUM(D75:U75)</f>
        <v/>
      </c>
      <c r="W75" s="17" t="n"/>
    </row>
    <row r="76" ht="15" customHeight="1" s="12">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f>SUM(D76:U76)</f>
        <v/>
      </c>
      <c r="W76" s="17" t="n"/>
    </row>
    <row r="77" ht="15" customHeight="1" s="12">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f>SUM(D77:U77)</f>
        <v/>
      </c>
      <c r="W77" s="17" t="n"/>
    </row>
    <row r="78" ht="15" customHeight="1" s="12">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f>SUM(D78:U78)</f>
        <v/>
      </c>
      <c r="W78" s="17" t="n"/>
    </row>
    <row r="79" ht="15" customHeight="1" s="12">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f>SUM(D79:U79)</f>
        <v/>
      </c>
      <c r="W79" s="17" t="n"/>
    </row>
    <row r="80" ht="15" customHeight="1" s="12">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f>SUM(D80:U80)</f>
        <v/>
      </c>
      <c r="W80" s="17" t="n"/>
    </row>
    <row r="81" ht="15" customHeight="1" s="12">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f>SUM(D81:U81)</f>
        <v/>
      </c>
      <c r="W81" s="17" t="n"/>
    </row>
    <row r="82" ht="15" customHeight="1" s="12">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f>SUM(D82:U82)</f>
        <v/>
      </c>
      <c r="W82" s="17" t="n"/>
    </row>
    <row r="83" ht="15" customHeight="1" s="12">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f>SUM(D83:U83)</f>
        <v/>
      </c>
      <c r="W83" s="17" t="n"/>
    </row>
    <row r="84" ht="15" customHeight="1" s="12">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f>SUM(D84:U84)</f>
        <v/>
      </c>
      <c r="W84" s="17" t="n"/>
    </row>
    <row r="85" ht="15" customHeight="1" s="12">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f>SUM(D85:U85)</f>
        <v/>
      </c>
      <c r="W85" s="17" t="n"/>
    </row>
    <row r="86" ht="15" customHeight="1" s="12">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f>SUM(D86:U86)</f>
        <v/>
      </c>
      <c r="W86" s="17" t="n"/>
    </row>
    <row r="87" ht="15" customHeight="1" s="12">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f>SUM(D87:U87)</f>
        <v/>
      </c>
      <c r="W87" s="17" t="n"/>
    </row>
    <row r="88" ht="15" customHeight="1" s="12">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f>SUM(D88:U88)</f>
        <v/>
      </c>
      <c r="W88" s="17" t="n"/>
    </row>
    <row r="89" ht="15" customHeight="1" s="12">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f>SUM(D89:U89)</f>
        <v/>
      </c>
      <c r="W89" s="17" t="n"/>
    </row>
    <row r="90" ht="15" customHeight="1" s="12">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f>SUM(D90:U90)</f>
        <v/>
      </c>
      <c r="W90" s="17" t="n"/>
    </row>
    <row r="91" ht="15" customHeight="1" s="12">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f>SUM(D91:U91)</f>
        <v/>
      </c>
      <c r="W91" s="17" t="n"/>
    </row>
    <row r="92" ht="15" customHeight="1" s="12">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f>SUM(D92:U92)</f>
        <v/>
      </c>
      <c r="W92" s="17" t="n"/>
    </row>
    <row r="93" ht="15" customHeight="1" s="12">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f>SUM(D93:U93)</f>
        <v/>
      </c>
      <c r="W93" s="17" t="n"/>
    </row>
    <row r="94" ht="15" customHeight="1" s="12">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f>SUM(D94:U94)</f>
        <v/>
      </c>
      <c r="W94" s="17" t="n"/>
    </row>
    <row r="95" ht="15" customHeight="1" s="12">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f>SUM(D95:U95)</f>
        <v/>
      </c>
      <c r="W95" s="17" t="n"/>
    </row>
    <row r="96" ht="15" customHeight="1" s="12">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f>SUM(D96:U96)</f>
        <v/>
      </c>
      <c r="W96" s="17" t="n"/>
    </row>
    <row r="97" ht="15" customHeight="1" s="12">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f>SUM(D97:U97)</f>
        <v/>
      </c>
      <c r="W97" s="17" t="n"/>
    </row>
    <row r="98" ht="15" customHeight="1" s="12">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f>SUM(D98:U98)</f>
        <v/>
      </c>
      <c r="W98" s="17" t="n"/>
    </row>
    <row r="99" ht="15" customHeight="1" s="12">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f>SUM(D99:U99)</f>
        <v/>
      </c>
      <c r="W99" s="17" t="n"/>
    </row>
    <row r="100" ht="15" customHeight="1" s="12">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f>SUM(D100:U100)</f>
        <v/>
      </c>
      <c r="W100" s="17" t="n"/>
    </row>
    <row r="101" ht="15" customHeight="1" s="12">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f>SUM(D101:U101)</f>
        <v/>
      </c>
      <c r="W101" s="17" t="n"/>
    </row>
  </sheetData>
  <dataValidations count="1">
    <dataValidation sqref="D2:U101" showDropDown="0" showInputMessage="0" showErrorMessage="0" allowBlank="1" type="list" errorStyle="stop" operator="between">
      <formula1>"0,0.5,1"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8" customWidth="1" style="11" min="1" max="1"/>
    <col width="18" customWidth="1" style="11" min="2" max="2"/>
    <col width="22" customWidth="1" style="12" min="3" max="3"/>
  </cols>
  <sheetData>
    <row r="1" ht="19.7" customHeight="1" s="12">
      <c r="A1" s="23" t="inlineStr">
        <is>
          <t>PRISMA Flow Diagram Counts</t>
        </is>
      </c>
      <c r="B1" s="24" t="n"/>
      <c r="C1" s="24" t="n"/>
      <c r="D1" s="24" t="n"/>
    </row>
    <row r="2" ht="15" customHeight="1" s="12">
      <c r="A2" s="25" t="inlineStr">
        <is>
          <t>ScienceDirect fully logged (126 records). Column B = overall SLR targets; Column C = live formulas from this workbook.</t>
        </is>
      </c>
      <c r="B2" s="24" t="n"/>
      <c r="C2" s="24" t="n"/>
      <c r="D2" s="24" t="n"/>
    </row>
    <row r="3">
      <c r="A3" s="24" t="n"/>
      <c r="B3" s="24" t="n"/>
      <c r="C3" s="24" t="n"/>
      <c r="D3" s="24" t="n"/>
    </row>
    <row r="4" ht="15" customHeight="1" s="12">
      <c r="A4" s="26" t="inlineStr">
        <is>
          <t>Stage</t>
        </is>
      </c>
      <c r="B4" s="26" t="inlineStr">
        <is>
          <t>Overall SLR Total</t>
        </is>
      </c>
      <c r="C4" s="39" t="inlineStr">
        <is>
          <t>ScienceDirect (live)</t>
        </is>
      </c>
      <c r="D4" s="24" t="n"/>
    </row>
    <row r="5" ht="15" customHeight="1" s="12">
      <c r="A5" s="27" t="inlineStr">
        <is>
          <t>Records identified through database searching</t>
        </is>
      </c>
      <c r="B5" s="28" t="n">
        <v>1907</v>
      </c>
      <c r="C5" s="34">
        <f>COUNTA('Screening Tracker'!B3:B502)</f>
        <v/>
      </c>
      <c r="D5" s="24" t="n"/>
    </row>
    <row r="6" ht="15" customHeight="1" s="12">
      <c r="A6" s="27" t="inlineStr">
        <is>
          <t>Records after title/abstract screening (Include or Maybe)</t>
        </is>
      </c>
      <c r="B6" s="28" t="n">
        <v>126</v>
      </c>
      <c r="C6" s="34">
        <f>COUNTIF('Screening Tracker'!L3:L502,"Include")+COUNTIF('Screening Tracker'!L3:L502,"Maybe")</f>
        <v/>
      </c>
      <c r="D6" s="24" t="n"/>
    </row>
    <row r="7" ht="15" customHeight="1" s="12">
      <c r="A7" s="27" t="inlineStr">
        <is>
          <t>Records excluded at title/abstract stage</t>
        </is>
      </c>
      <c r="B7" s="29" t="n">
        <v>1781</v>
      </c>
      <c r="C7" s="34">
        <f>COUNTIF('Screening Tracker'!L3:L502,"Exclude")</f>
        <v/>
      </c>
      <c r="D7" s="24" t="n"/>
    </row>
    <row r="8" ht="15" customHeight="1" s="12">
      <c r="A8" s="27" t="inlineStr">
        <is>
          <t>Full-text articles assessed for eligibility</t>
        </is>
      </c>
      <c r="B8" s="29" t="n">
        <v>126</v>
      </c>
      <c r="C8" s="34">
        <f>COUNTA('Full-Text Eligibility'!B3:B302)</f>
        <v/>
      </c>
      <c r="D8" s="24" t="n"/>
    </row>
    <row r="9" ht="15" customHeight="1" s="12">
      <c r="A9" s="27" t="inlineStr">
        <is>
          <t>Full-text articles excluded (with reasons)</t>
        </is>
      </c>
      <c r="B9" s="40" t="n">
        <v>113</v>
      </c>
      <c r="C9" s="34">
        <f>COUNTIF('Full-Text Eligibility'!D3:D302,"Exclude")</f>
        <v/>
      </c>
      <c r="D9" s="24" t="n"/>
    </row>
    <row r="10" ht="15" customHeight="1" s="12">
      <c r="A10" s="27" t="inlineStr">
        <is>
          <t>Studies included in qualitative synthesis (final)</t>
        </is>
      </c>
      <c r="B10" s="30" t="n">
        <v>13</v>
      </c>
      <c r="C10" s="34">
        <f>COUNTIF('Full-Text Eligibility'!D3:D302,"Include")</f>
        <v/>
      </c>
      <c r="D10" s="24" t="n"/>
    </row>
    <row r="11" ht="15" customHeight="1" s="12">
      <c r="A11" s="31" t="n"/>
      <c r="B11" s="24" t="n"/>
      <c r="C11" s="24" t="n"/>
      <c r="D11" s="24" t="n"/>
    </row>
    <row r="12" ht="15" customHeight="1" s="12">
      <c r="A12" s="25" t="inlineStr">
        <is>
          <t>Note: ScienceDirect – all 126 title/abstract Includes were full-text assessed (13 Include + 113 Exclude with reasons in Full-Text Eligibility col E).</t>
        </is>
      </c>
      <c r="B12" s="24" t="n"/>
      <c r="C12" s="24" t="n"/>
      <c r="D12" s="24" t="n"/>
    </row>
    <row r="13" ht="15" customHeight="1" s="12">
      <c r="A13" s="31" t="n"/>
      <c r="B13" s="41" t="n"/>
      <c r="C13" s="24" t="n"/>
      <c r="D13" s="24" t="n"/>
    </row>
    <row r="14" ht="15" customHeight="1" s="12">
      <c r="A14" s="32" t="inlineStr">
        <is>
          <t>Records by database (live formulas)</t>
        </is>
      </c>
      <c r="B14" s="42" t="n"/>
      <c r="C14" s="24" t="n"/>
      <c r="D14" s="24" t="n"/>
    </row>
    <row r="15" ht="15" customHeight="1" s="12">
      <c r="A15" s="26" t="inlineStr">
        <is>
          <t>Database</t>
        </is>
      </c>
      <c r="B15" s="43" t="inlineStr">
        <is>
          <t>Count</t>
        </is>
      </c>
      <c r="C15" s="24" t="n"/>
      <c r="D15" s="24" t="n"/>
    </row>
    <row r="16" ht="15" customHeight="1" s="12">
      <c r="A16" s="27" t="inlineStr">
        <is>
          <t>IEEE Xplore</t>
        </is>
      </c>
      <c r="B16" s="34">
        <f>COUNTIF('Screening Tracker'!B3:B502,"IEEE Xplore")</f>
        <v/>
      </c>
      <c r="C16" s="24" t="n"/>
      <c r="D16" s="24" t="n"/>
    </row>
    <row r="17" ht="15" customHeight="1" s="12">
      <c r="A17" s="27" t="inlineStr">
        <is>
          <t>ACM Digital Library</t>
        </is>
      </c>
      <c r="B17" s="34">
        <f>COUNTIF('Screening Tracker'!B3:B502,"ACM Digital Library")</f>
        <v/>
      </c>
      <c r="C17" s="24" t="n"/>
      <c r="D17" s="24" t="n"/>
    </row>
    <row r="18" ht="15" customHeight="1" s="12">
      <c r="A18" s="27" t="inlineStr">
        <is>
          <t>ScienceDirect</t>
        </is>
      </c>
      <c r="B18" s="34">
        <f>COUNTIF('Screening Tracker'!B3:B502,"ScienceDirect")</f>
        <v/>
      </c>
      <c r="C18" s="24" t="n"/>
      <c r="D18" s="24" t="n"/>
    </row>
    <row r="19" ht="15" customHeight="1" s="12">
      <c r="A19" s="27" t="inlineStr">
        <is>
          <t>SpringerLink</t>
        </is>
      </c>
      <c r="B19" s="34">
        <f>COUNTIF('Screening Tracker'!B3:B502,"SpringerLink")</f>
        <v/>
      </c>
      <c r="C19" s="24" t="n"/>
      <c r="D19" s="24" t="n"/>
    </row>
    <row r="20">
      <c r="A20" s="35" t="inlineStr">
        <is>
          <t>Scopus</t>
        </is>
      </c>
      <c r="B20" s="34">
        <f>COUNTIF('Screening Tracker'!B3:B502,"Scopus")</f>
        <v/>
      </c>
      <c r="C20" s="24" t="n"/>
      <c r="D20" s="24" t="n"/>
    </row>
    <row r="21">
      <c r="A21" s="35" t="inlineStr">
        <is>
          <t>Web of Science</t>
        </is>
      </c>
      <c r="B21" s="34">
        <f>COUNTIF('Screening Tracker'!B3:B502,"Web of Science")</f>
        <v/>
      </c>
      <c r="C21" s="24" t="n"/>
      <c r="D21" s="24" t="n"/>
    </row>
    <row r="22">
      <c r="A22" s="35" t="inlineStr">
        <is>
          <t>Google Scholar (snowball)</t>
        </is>
      </c>
      <c r="B22" s="34">
        <f>COUNTIF('Screening Tracker'!B3:B502,"Google Scholar (snowball)")</f>
        <v/>
      </c>
      <c r="C22" s="24" t="n"/>
      <c r="D22" s="24" t="n"/>
    </row>
    <row r="23">
      <c r="A23" s="24" t="n"/>
      <c r="B23" s="24" t="n"/>
      <c r="C23" s="24" t="n"/>
      <c r="D23" s="24" t="n"/>
    </row>
    <row r="24">
      <c r="A24" s="44" t="inlineStr">
        <is>
          <t>All 113 full-text exclusions have explicit reasons in Full-Text Eligibility (column E). Supports Rubric Criterion 4 – transparent exclusion reasons + complete PRISMA flow.</t>
        </is>
      </c>
      <c r="B24" s="24" t="n"/>
      <c r="C24" s="24" t="n"/>
      <c r="D24" s="24" t="n"/>
    </row>
    <row r="25">
      <c r="A25" s="24" t="n"/>
      <c r="B25" s="24" t="n"/>
      <c r="C25" s="24" t="n"/>
      <c r="D25" s="24" t="n"/>
    </row>
    <row r="26">
      <c r="A26" s="24" t="n"/>
      <c r="B26" s="24" t="n"/>
      <c r="C26" s="24" t="n"/>
      <c r="D26" s="24" t="n"/>
    </row>
    <row r="27">
      <c r="A27" s="24" t="n"/>
      <c r="B27" s="24" t="n"/>
      <c r="C27" s="24" t="n"/>
      <c r="D27" s="24" t="n"/>
    </row>
    <row r="28">
      <c r="A28" s="24" t="n"/>
      <c r="B28" s="24" t="n"/>
      <c r="C28" s="24" t="n"/>
      <c r="D28" s="24" t="n"/>
    </row>
    <row r="29">
      <c r="A29" s="24" t="n"/>
      <c r="B29" s="24" t="n"/>
      <c r="C29" s="24" t="n"/>
      <c r="D29" s="24" t="n"/>
    </row>
    <row r="30">
      <c r="A30" s="24" t="n"/>
      <c r="B30" s="24" t="n"/>
      <c r="C30" s="24" t="n"/>
      <c r="D30" s="24" t="n"/>
    </row>
    <row r="31">
      <c r="A31" s="24" t="n"/>
      <c r="B31" s="24" t="n"/>
      <c r="C31" s="24" t="n"/>
      <c r="D31" s="24" t="n"/>
    </row>
    <row r="32">
      <c r="A32" s="24" t="n"/>
      <c r="B32" s="24" t="n"/>
      <c r="C32" s="24" t="n"/>
      <c r="D32" s="24" t="n"/>
    </row>
    <row r="33">
      <c r="A33" s="24" t="n"/>
      <c r="B33" s="24" t="n"/>
      <c r="C33" s="24" t="n"/>
      <c r="D33" s="24" t="n"/>
    </row>
    <row r="34">
      <c r="A34" s="24" t="n"/>
      <c r="B34" s="24" t="n"/>
      <c r="C34" s="24" t="n"/>
      <c r="D34" s="24" t="n"/>
    </row>
    <row r="35">
      <c r="A35" s="24" t="n"/>
      <c r="B35" s="24" t="n"/>
      <c r="C35" s="24" t="n"/>
      <c r="D35" s="24" t="n"/>
    </row>
    <row r="36">
      <c r="A36" s="24" t="n"/>
      <c r="B36" s="24" t="n"/>
      <c r="C36" s="24" t="n"/>
      <c r="D36" s="24" t="n"/>
    </row>
    <row r="37">
      <c r="A37" s="24" t="n"/>
      <c r="B37" s="24" t="n"/>
      <c r="C37" s="24" t="n"/>
      <c r="D37" s="24" t="n"/>
    </row>
    <row r="38">
      <c r="A38" s="24" t="n"/>
      <c r="B38" s="24" t="n"/>
      <c r="C38" s="24" t="n"/>
      <c r="D38" s="24" t="n"/>
    </row>
    <row r="39">
      <c r="A39" s="24" t="n"/>
      <c r="B39" s="24" t="n"/>
      <c r="C39" s="24" t="n"/>
      <c r="D39" s="24" t="n"/>
    </row>
    <row r="40">
      <c r="A40" s="24" t="n"/>
      <c r="B40" s="24" t="n"/>
      <c r="C40" s="24" t="n"/>
      <c r="D40" s="2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2026-08-03T20:13:35Z</dcterms:created>
  <dcterms:modified xmlns:dcterms="http://purl.org/dc/terms/" xmlns:xsi="http://www.w3.org/2001/XMLSchema-instance" xsi:type="dcterms:W3CDTF">2026-08-17T19:42:56Z</dcterms:modified>
  <cp:revision>0</cp:revision>
</cp:coreProperties>
</file>