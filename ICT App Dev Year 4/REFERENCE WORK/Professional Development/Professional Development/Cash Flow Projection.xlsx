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ceik\Desktop\Professional Development\"/>
    </mc:Choice>
  </mc:AlternateContent>
  <xr:revisionPtr revIDLastSave="0" documentId="13_ncr:1_{A17AB218-43C5-4FED-9088-8735A27839A2}" xr6:coauthVersionLast="47" xr6:coauthVersionMax="47" xr10:uidLastSave="{00000000-0000-0000-0000-000000000000}"/>
  <bookViews>
    <workbookView xWindow="-108" yWindow="-108" windowWidth="23256" windowHeight="12456" xr2:uid="{513A2582-3EF2-4C50-A930-144A334605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F4" i="1"/>
  <c r="F6" i="1" s="1"/>
  <c r="F7" i="1" s="1"/>
  <c r="F3" i="1"/>
  <c r="F2" i="1"/>
  <c r="D9" i="1"/>
  <c r="C9" i="1"/>
  <c r="E3" i="1"/>
  <c r="E4" i="1"/>
  <c r="E5" i="1"/>
  <c r="E6" i="1"/>
  <c r="E7" i="1"/>
  <c r="E2" i="1"/>
  <c r="E9" i="1" l="1"/>
</calcChain>
</file>

<file path=xl/sharedStrings.xml><?xml version="1.0" encoding="utf-8"?>
<sst xmlns="http://schemas.openxmlformats.org/spreadsheetml/2006/main" count="13" uniqueCount="13">
  <si>
    <t>Labour (ZAR)</t>
  </si>
  <si>
    <t xml:space="preserve">Other Costs (ZAR) </t>
  </si>
  <si>
    <t>Monthly Total (ZAR)</t>
  </si>
  <si>
    <t>Cumulative Spend (ZAR)</t>
  </si>
  <si>
    <t>Planning &amp; Initiation</t>
  </si>
  <si>
    <t>Design &amp; Detailed Planning</t>
  </si>
  <si>
    <t>Development Spring 1 &amp; 2</t>
  </si>
  <si>
    <t>Development Spring 3 &amp; 4</t>
  </si>
  <si>
    <t>Testing &amp; Data Migration</t>
  </si>
  <si>
    <t>Training, Deployment &amp; Closure</t>
  </si>
  <si>
    <t xml:space="preserve">Month </t>
  </si>
  <si>
    <t>Phases in Progress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</si>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</sst>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&quot;#,##0.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Project Cash Flow - Cumulative Spend (S-Curve)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Month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Sheet1!$A$2:$A$7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F9-446C-AF42-1ADB34C2F08A}"/>
            </c:ext>
          </c:extLst>
        </c:ser>
        <c:ser>
          <c:idx val="1"/>
          <c:order val="1"/>
          <c:tx>
            <c:strRef>
              <c:f>Sheet1!$F$1</c:f>
              <c:strCache>
                <c:ptCount val="1"/>
                <c:pt idx="0">
                  <c:v>Cumulative Spend (ZAR)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Sheet1!$F$2:$F$7</c:f>
              <c:numCache>
                <c:formatCode>"R"#\ ##0.00</c:formatCode>
                <c:ptCount val="6"/>
                <c:pt idx="0">
                  <c:v>285000</c:v>
                </c:pt>
                <c:pt idx="1">
                  <c:v>559313</c:v>
                </c:pt>
                <c:pt idx="2">
                  <c:v>1043626</c:v>
                </c:pt>
                <c:pt idx="3">
                  <c:v>1465439</c:v>
                </c:pt>
                <c:pt idx="4">
                  <c:v>1599750</c:v>
                </c:pt>
                <c:pt idx="5">
                  <c:v>1650000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F9-446C-AF42-1ADB34C2F0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2728768"/>
        <c:axId val="662729248"/>
      </c:lineChart>
      <c:catAx>
        <c:axId val="6627287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2729248"/>
        <c:crosses val="autoZero"/>
        <c:auto val="1"/>
        <c:lblAlgn val="ctr"/>
        <c:lblOffset val="100"/>
        <c:noMultiLvlLbl val="0"/>
      </c:catAx>
      <c:valAx>
        <c:axId val="662729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2728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38100</xdr:rowOff>
    </xdr:from>
    <xdr:to>
      <xdr:col>5</xdr:col>
      <xdr:colOff>251460</xdr:colOff>
      <xdr:row>27</xdr:row>
      <xdr:rowOff>95250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869F55D-A3FD-9924-834A-98C6F92A1E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2D31F-D45E-4D39-900E-0DB6FCC109EF}">
  <dimension ref="A1:F9"/>
  <sheetViews>
    <sheetView tabSelected="1" workbookViewId="0">
      <selection activeCell="B16" sqref="B16"/>
    </sheetView>
  </sheetViews>
  <sheetFormatPr defaultRowHeight="14.4" x14ac:dyDescent="0.3"/>
  <cols>
    <col min="1" max="1" width="11.44140625" bestFit="1" customWidth="1"/>
    <col min="2" max="2" width="26.33203125" bestFit="1" customWidth="1"/>
    <col min="3" max="3" width="12.77734375" style="1" bestFit="1" customWidth="1"/>
    <col min="4" max="4" width="17.88671875" style="1" bestFit="1" customWidth="1"/>
    <col min="5" max="5" width="18.88671875" style="1" bestFit="1" customWidth="1"/>
    <col min="6" max="6" width="23.77734375" style="1" bestFit="1" customWidth="1"/>
  </cols>
  <sheetData>
    <row r="1" spans="1:6" s="4" customFormat="1" ht="15.6" x14ac:dyDescent="0.3">
      <c r="A1" s="4" t="s">
        <v>10</v>
      </c>
      <c r="B1" s="4" t="s">
        <v>11</v>
      </c>
      <c r="C1" s="5" t="s">
        <v>0</v>
      </c>
      <c r="D1" s="5" t="s">
        <v>1</v>
      </c>
      <c r="E1" s="5" t="s">
        <v>2</v>
      </c>
      <c r="F1" s="5" t="s">
        <v>3</v>
      </c>
    </row>
    <row r="2" spans="1:6" x14ac:dyDescent="0.3">
      <c r="A2">
        <v>1</v>
      </c>
      <c r="B2" t="s">
        <v>4</v>
      </c>
      <c r="C2" s="1">
        <v>195000</v>
      </c>
      <c r="D2" s="1">
        <v>90000</v>
      </c>
      <c r="E2" s="1">
        <f>SUM(C2:D2)</f>
        <v>285000</v>
      </c>
      <c r="F2" s="1">
        <f>E2</f>
        <v>285000</v>
      </c>
    </row>
    <row r="3" spans="1:6" x14ac:dyDescent="0.3">
      <c r="A3">
        <v>2</v>
      </c>
      <c r="B3" t="s">
        <v>5</v>
      </c>
      <c r="C3" s="1">
        <v>240000</v>
      </c>
      <c r="D3" s="1">
        <v>34313</v>
      </c>
      <c r="E3" s="1">
        <f t="shared" ref="E3:E7" si="0">SUM(C3:D3)</f>
        <v>274313</v>
      </c>
      <c r="F3" s="1">
        <f>F2 + E3</f>
        <v>559313</v>
      </c>
    </row>
    <row r="4" spans="1:6" x14ac:dyDescent="0.3">
      <c r="A4">
        <v>3</v>
      </c>
      <c r="B4" t="s">
        <v>6</v>
      </c>
      <c r="C4" s="1">
        <v>450000</v>
      </c>
      <c r="D4" s="1">
        <v>34313</v>
      </c>
      <c r="E4" s="1">
        <f t="shared" si="0"/>
        <v>484313</v>
      </c>
      <c r="F4" s="1">
        <f>F3 + E4</f>
        <v>1043626</v>
      </c>
    </row>
    <row r="5" spans="1:6" x14ac:dyDescent="0.3">
      <c r="A5">
        <v>4</v>
      </c>
      <c r="B5" t="s">
        <v>7</v>
      </c>
      <c r="C5" s="1">
        <v>387500</v>
      </c>
      <c r="D5" s="1">
        <v>34313</v>
      </c>
      <c r="E5" s="1">
        <f t="shared" si="0"/>
        <v>421813</v>
      </c>
      <c r="F5" s="1">
        <f>F4 + E5</f>
        <v>1465439</v>
      </c>
    </row>
    <row r="6" spans="1:6" x14ac:dyDescent="0.3">
      <c r="A6">
        <v>5</v>
      </c>
      <c r="B6" t="s">
        <v>8</v>
      </c>
      <c r="C6" s="1">
        <v>100000</v>
      </c>
      <c r="D6" s="1">
        <v>34311</v>
      </c>
      <c r="E6" s="1">
        <f t="shared" si="0"/>
        <v>134311</v>
      </c>
      <c r="F6" s="1">
        <f t="shared" ref="F4:F7" si="1">F5 + E6</f>
        <v>1599750</v>
      </c>
    </row>
    <row r="7" spans="1:6" x14ac:dyDescent="0.3">
      <c r="A7">
        <v>6</v>
      </c>
      <c r="B7" t="s">
        <v>9</v>
      </c>
      <c r="C7" s="1">
        <v>0</v>
      </c>
      <c r="D7" s="1">
        <v>50250</v>
      </c>
      <c r="E7" s="1">
        <f t="shared" si="0"/>
        <v>50250</v>
      </c>
      <c r="F7" s="1">
        <f t="shared" si="1"/>
        <v>1650000</v>
      </c>
    </row>
    <row r="9" spans="1:6" s="2" customFormat="1" x14ac:dyDescent="0.3">
      <c r="B9" s="2" t="s">
        <v>12</v>
      </c>
      <c r="C9" s="3">
        <f>SUM(C2:C7)</f>
        <v>1372500</v>
      </c>
      <c r="D9" s="3">
        <f>SUM(D2:D7)</f>
        <v>277500</v>
      </c>
      <c r="E9" s="3">
        <f>SUM(E2:E7)</f>
        <v>1650000</v>
      </c>
      <c r="F9" s="3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Chuma Edward Nxazonke</dc:creator>
  <cp:lastModifiedBy>Chuma Edward Nxazonke</cp:lastModifiedBy>
  <dcterms:created xsi:type="dcterms:W3CDTF">2025-09-10T21:16:04Z</dcterms:created>
  <dcterms:modified xsi:type="dcterms:W3CDTF">2025-09-10T23:22:30Z</dcterms:modified>
</cp:coreProperties>
</file>