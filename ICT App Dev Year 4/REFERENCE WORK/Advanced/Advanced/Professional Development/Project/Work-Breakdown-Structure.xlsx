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ina\Desktop\IT (Information Technology)\Advanced\Professional Development\"/>
    </mc:Choice>
  </mc:AlternateContent>
  <bookViews>
    <workbookView xWindow="0" yWindow="0" windowWidth="20490" windowHeight="8340" tabRatio="500"/>
  </bookViews>
  <sheets>
    <sheet name="WBS Dictionary" sheetId="2" r:id="rId1"/>
    <sheet name="- Disclaimer -" sheetId="3" r:id="rId2"/>
  </sheets>
  <externalReferences>
    <externalReference r:id="rId3"/>
  </externalReferences>
  <definedNames>
    <definedName name="Type">'[1]Maintenance Work Order'!#REF!</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G37" i="2" l="1"/>
  <c r="G42" i="2"/>
  <c r="G29" i="2"/>
  <c r="G20" i="2"/>
  <c r="G13" i="2"/>
  <c r="G7" i="2"/>
</calcChain>
</file>

<file path=xl/sharedStrings.xml><?xml version="1.0" encoding="utf-8"?>
<sst xmlns="http://schemas.openxmlformats.org/spreadsheetml/2006/main" count="163" uniqueCount="128">
  <si>
    <t>PROJECT TITLE</t>
  </si>
  <si>
    <t>PROJECT MANAGER</t>
  </si>
  <si>
    <t>1.1.1</t>
  </si>
  <si>
    <t>1.1.2</t>
  </si>
  <si>
    <t>1.1.3</t>
  </si>
  <si>
    <t>1.2.1</t>
  </si>
  <si>
    <t>1.2.2</t>
  </si>
  <si>
    <t>1.3.1</t>
  </si>
  <si>
    <t>1.4.1</t>
  </si>
  <si>
    <t>1.4.2</t>
  </si>
  <si>
    <t>1.4.3</t>
  </si>
  <si>
    <t>1.4.4</t>
  </si>
  <si>
    <t>TASK ID</t>
  </si>
  <si>
    <t>TASK DESCRIPTION</t>
  </si>
  <si>
    <t>DEPENDENT UPON</t>
  </si>
  <si>
    <t>TASK OWNER</t>
  </si>
  <si>
    <t>ESTIMATED COST</t>
  </si>
  <si>
    <t>BEGIN DATE</t>
  </si>
  <si>
    <t>ESTIMATED DATE OF COMPLETION</t>
  </si>
  <si>
    <t>ACTUAL DATE OF COMPLETION</t>
  </si>
  <si>
    <t>ESTIMATED TOTAL</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</si>
  <si>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</si>
  <si>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</si>
  <si>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Moipone Kabai</t>
  </si>
  <si>
    <t>Initiation</t>
  </si>
  <si>
    <t>TASK</t>
  </si>
  <si>
    <t>Automated Restaurant Ordering System</t>
  </si>
  <si>
    <t>The work to initiate the project.</t>
  </si>
  <si>
    <t>Evaluation &amp; Recommendations</t>
  </si>
  <si>
    <t>Develop Project Charter</t>
  </si>
  <si>
    <t>Deliverable: Submit Project Charter</t>
  </si>
  <si>
    <t>Working group to evaluate solution sets and make recommendations.</t>
  </si>
  <si>
    <t>Technical team</t>
  </si>
  <si>
    <t>1.1.4</t>
  </si>
  <si>
    <t>Project Sponsor Reviews Project Charter</t>
  </si>
  <si>
    <t>Project Charter Signed/Approved</t>
  </si>
  <si>
    <t>Project Manager to develop the Project charter.</t>
  </si>
  <si>
    <t>Project charter is delivered to the Project Sponsor.</t>
  </si>
  <si>
    <t>Project Sponsor reviews the Project charter.</t>
  </si>
  <si>
    <t>The Project Sponsor signs the Project charter which authorizes the Project Manager to move to the Planning process.</t>
  </si>
  <si>
    <t>1.1.5</t>
  </si>
  <si>
    <t>Planning</t>
  </si>
  <si>
    <t>The work for the planning process for the project.</t>
  </si>
  <si>
    <t>Create Initial Scope Statement</t>
  </si>
  <si>
    <t>Project Manager creates an Initial Scope Statement</t>
  </si>
  <si>
    <t>Determine Project Team</t>
  </si>
  <si>
    <t>Project Manager</t>
  </si>
  <si>
    <t>Project Sponsor</t>
  </si>
  <si>
    <t>1.2.3</t>
  </si>
  <si>
    <t>Project Team Kickoff Meeting</t>
  </si>
  <si>
    <t>The planning process is officially started with a project kickoff meeting.</t>
  </si>
  <si>
    <t>Project Manager, Technical team &amp; Project Sponsor</t>
  </si>
  <si>
    <t>Develop Project Plan</t>
  </si>
  <si>
    <t>1.2.4</t>
  </si>
  <si>
    <t>1.2.5</t>
  </si>
  <si>
    <t>1.2.6</t>
  </si>
  <si>
    <t>Under the direction of the Project Manager the team develops the project plan.</t>
  </si>
  <si>
    <t>Submit Project Plan</t>
  </si>
  <si>
    <t>Project Manager submits the project plan for approval.</t>
  </si>
  <si>
    <t>Milestone: Project Plan Approval</t>
  </si>
  <si>
    <t>The project plan is approved and the Project Manager has permission to proceed to execute the project according to the project plan.</t>
  </si>
  <si>
    <t>Execution</t>
  </si>
  <si>
    <t>1.3.2</t>
  </si>
  <si>
    <t>1.3.3</t>
  </si>
  <si>
    <t>1.3.4</t>
  </si>
  <si>
    <t>Development</t>
  </si>
  <si>
    <t>Software developer</t>
  </si>
  <si>
    <t>The project plan and requirements are given to the developer to start creating the system.</t>
  </si>
  <si>
    <t>The work to start development process.</t>
  </si>
  <si>
    <t>Project development planned</t>
  </si>
  <si>
    <t>1.3.6</t>
  </si>
  <si>
    <t>1.4.6</t>
  </si>
  <si>
    <t>The project architecture is discussed</t>
  </si>
  <si>
    <t>1.3.5</t>
  </si>
  <si>
    <t>1.3.7</t>
  </si>
  <si>
    <t>Develop the software front end</t>
  </si>
  <si>
    <t>Project application GUI is being develped.</t>
  </si>
  <si>
    <t>Develop the software back end functionality</t>
  </si>
  <si>
    <t>Project application functionality is developed.</t>
  </si>
  <si>
    <t>Test the software product</t>
  </si>
  <si>
    <t>Check bugs in the system and dunctionality.</t>
  </si>
  <si>
    <t>1.3.8</t>
  </si>
  <si>
    <t>Software tester &amp; User</t>
  </si>
  <si>
    <t>Aprove the application</t>
  </si>
  <si>
    <t>The stakeholders are are all satisfied with the developed product.</t>
  </si>
  <si>
    <t>Additional ammends to the requirements</t>
  </si>
  <si>
    <t>Verify &amp; validate user requirements</t>
  </si>
  <si>
    <t>The original user requirements is reviewed by the project manager and team, then validated with the users/stakeholders. This is where additional information is added.</t>
  </si>
  <si>
    <t>Work involved to execute the project.</t>
  </si>
  <si>
    <t>Project Kickoff Meeting</t>
  </si>
  <si>
    <t>WORK BREAKDOWN STRUCTURE</t>
  </si>
  <si>
    <t>Project Manager conducts a formal kick off meeting with the project team, project stakeholders and project sponsor.</t>
  </si>
  <si>
    <t>Procure Hardware/Software</t>
  </si>
  <si>
    <t>Hardware technician</t>
  </si>
  <si>
    <t>The procurement of all hardware, software and facility needed for the project.</t>
  </si>
  <si>
    <t>Install Development System</t>
  </si>
  <si>
    <t>Team installs a development system for testing and customizations of user interfaces.</t>
  </si>
  <si>
    <t>Testing Phase</t>
  </si>
  <si>
    <t>The system is tested with a select set of users.</t>
  </si>
  <si>
    <t>Install Live System</t>
  </si>
  <si>
    <t>1.4.5</t>
  </si>
  <si>
    <t>The actual system is installed and configured.</t>
  </si>
  <si>
    <t>User Training</t>
  </si>
  <si>
    <t>All users and managers are provided with training classes to cover advanced reporting.</t>
  </si>
  <si>
    <t>Technical leader</t>
  </si>
  <si>
    <t>Go Live</t>
  </si>
  <si>
    <t>1.4.7</t>
  </si>
  <si>
    <t>System goes live with all users.</t>
  </si>
  <si>
    <t>Project completion</t>
  </si>
  <si>
    <t>Project Stakeholders</t>
  </si>
  <si>
    <t>Work involved in completion of the project.</t>
  </si>
  <si>
    <t>Project Management</t>
  </si>
  <si>
    <t>Overall project management for the project.</t>
  </si>
  <si>
    <t>1.5.1</t>
  </si>
  <si>
    <t>1.5.2</t>
  </si>
  <si>
    <t>1.5.3</t>
  </si>
  <si>
    <t>1.5.4</t>
  </si>
  <si>
    <t>Risk Management</t>
  </si>
  <si>
    <t>Risk management efforts as defined in the Risk Management Plan.</t>
  </si>
  <si>
    <t>Pjoject Manager</t>
  </si>
  <si>
    <t>The Project Sponsor formally accepts the project by signing the acceptance document included in the project plan.</t>
  </si>
  <si>
    <t>Formal Acceptance</t>
  </si>
  <si>
    <t>An audit of all hardware and software procured for the project, ensures that all procured products are accounted for and in the asset management system.</t>
  </si>
  <si>
    <t>Audit Procurement</t>
  </si>
  <si>
    <t>Technical leader &amp; Hardware technician</t>
  </si>
  <si>
    <t>The Project Manager determines the project team and requests the resources.</t>
  </si>
  <si>
    <t>5 hun 2020</t>
  </si>
  <si>
    <t>Design System outlook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</si>
</sst>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_);_(&quot;$&quot;* \(#,##0.00\);_(&quot;$&quot;* &quot;-&quot;??_);_(@_)"/>
    <numFmt numFmtId="171" formatCode="&quot;R&quot;#,##0.00"/>
  </numFmts>
  <fonts count="21" x14ac:knownFonts="1">
    <font>
      <sz val="12"/>
      <color theme="1"/>
      <name val="Calibri"/>
      <family val="2"/>
      <scheme val="minor"/>
    </font>
    <font>
      <sz val="12"/>
      <color theme="1"/>
      <name val="Calibri"/>
      <family val="2"/>
      <scheme val="minor"/>
    </font>
    <font>
      <sz val="12"/>
      <color theme="1"/>
      <name val="Century Gothic"/>
      <family val="1"/>
    </font>
    <font>
      <sz val="10"/>
      <color theme="1"/>
      <name val="Century Gothic"/>
      <family val="1"/>
    </font>
    <font>
      <u/>
      <sz val="12"/>
      <color theme="10"/>
      <name val="Calibri"/>
      <family val="2"/>
      <scheme val="minor"/>
    </font>
    <font>
      <u/>
      <sz val="12"/>
      <color theme="11"/>
      <name val="Calibri"/>
      <family val="2"/>
      <scheme val="minor"/>
    </font>
    <font>
      <sz val="11"/>
      <color theme="1"/>
      <name val="Century Gothic"/>
      <family val="1"/>
    </font>
    <font>
      <b/>
      <sz val="11"/>
      <color theme="1"/>
      <name val="Century Gothic"/>
      <family val="1"/>
    </font>
    <font>
      <b/>
      <sz val="10"/>
      <color theme="1"/>
      <name val="Century Gothic"/>
      <family val="1"/>
    </font>
    <font>
      <sz val="12"/>
      <color theme="1"/>
      <name val="Arial"/>
      <family val="2"/>
    </font>
    <font>
      <b/>
      <sz val="20"/>
      <color theme="0" tint="-0.499984740745262"/>
      <name val="Century Gothic"/>
      <family val="1"/>
    </font>
    <font>
      <sz val="11"/>
      <color theme="1"/>
      <name val="Calibri"/>
      <family val="2"/>
      <scheme val="minor"/>
    </font>
    <font>
      <b/>
      <sz val="9"/>
      <color theme="0"/>
      <name val="Century Gothic"/>
      <family val="1"/>
    </font>
    <font>
      <sz val="9"/>
      <color theme="1"/>
      <name val="Century Gothic"/>
      <family val="1"/>
    </font>
    <font>
      <b/>
      <sz val="22"/>
      <color theme="0"/>
      <name val="Century Gothic"/>
      <family val="2"/>
    </font>
    <font>
      <sz val="11"/>
      <color theme="1"/>
      <name val="Century Gothic"/>
      <family val="2"/>
    </font>
    <font>
      <b/>
      <sz val="11"/>
      <color theme="1"/>
      <name val="Century Gothic"/>
      <family val="2"/>
    </font>
    <font>
      <b/>
      <sz val="12"/>
      <color theme="1"/>
      <name val="Century Gothic"/>
      <family val="2"/>
    </font>
    <font>
      <b/>
      <sz val="10"/>
      <color theme="1"/>
      <name val="Century Gothic"/>
      <family val="2"/>
    </font>
    <font>
      <sz val="10"/>
      <color theme="1"/>
      <name val="Century Gothic"/>
      <family val="2"/>
    </font>
    <font>
      <sz val="12"/>
      <color theme="1"/>
      <name val="Century Gothic"/>
      <family val="2"/>
    </font>
  </fonts>
  <fills count="8">
    <fill>
      <patternFill patternType="none"/>
    </fill>
    <fill>
      <patternFill patternType="gray125"/>
    </fill>
    <fill>
      <patternFill patternType="solid">
        <fgColor rgb="FF40B14B"/>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499984740745262"/>
        <bgColor indexed="64"/>
      </patternFill>
    </fill>
    <fill>
      <patternFill patternType="solid">
        <fgColor theme="0"/>
        <bgColor indexed="64"/>
      </patternFill>
    </fill>
  </fills>
  <borders count="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s>
  <cellStyleXfs count="12">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164" fontId="1" fillId="0" borderId="0" applyFont="0" applyFill="0" applyBorder="0" applyAlignment="0" applyProtection="0"/>
    <xf numFmtId="0" fontId="11" fillId="0" borderId="0"/>
    <xf numFmtId="0" fontId="4" fillId="0" borderId="0" applyNumberFormat="0" applyFill="0" applyBorder="0" applyAlignment="0" applyProtection="0"/>
  </cellStyleXfs>
  <cellXfs count="51">
    <xf numFmtId="0" fontId="0" fillId="0" borderId="0" xfId="0"/>
    <xf numFmtId="0" fontId="2" fillId="0" borderId="0" xfId="0" applyFont="1"/>
    <xf numFmtId="0" fontId="6" fillId="0" borderId="1" xfId="0" applyFont="1" applyBorder="1" applyAlignment="1">
      <alignment horizontal="left" vertical="center" indent="1"/>
    </xf>
    <xf numFmtId="0" fontId="3" fillId="0" borderId="1" xfId="0" applyFont="1" applyBorder="1" applyAlignment="1">
      <alignment horizontal="left" vertical="center" indent="1"/>
    </xf>
    <xf numFmtId="0" fontId="6" fillId="0" borderId="0" xfId="0" applyFont="1" applyBorder="1" applyAlignment="1">
      <alignment horizontal="left" vertical="center" indent="1"/>
    </xf>
    <xf numFmtId="0" fontId="3" fillId="0" borderId="0" xfId="0" applyFont="1" applyBorder="1" applyAlignment="1">
      <alignment horizontal="left" vertical="center" indent="1"/>
    </xf>
    <xf numFmtId="0" fontId="9" fillId="0" borderId="0" xfId="0" applyFont="1"/>
    <xf numFmtId="0" fontId="10" fillId="0" borderId="0" xfId="0" applyFont="1" applyAlignment="1">
      <alignment vertical="center"/>
    </xf>
    <xf numFmtId="0" fontId="3" fillId="0" borderId="0" xfId="0" applyFont="1"/>
    <xf numFmtId="0" fontId="7" fillId="3" borderId="1" xfId="0" applyFont="1" applyFill="1" applyBorder="1" applyAlignment="1">
      <alignment horizontal="left" vertical="center" indent="1"/>
    </xf>
    <xf numFmtId="0" fontId="8" fillId="3" borderId="1" xfId="0" applyFont="1" applyFill="1" applyBorder="1" applyAlignment="1">
      <alignment horizontal="left" vertical="center" indent="1"/>
    </xf>
    <xf numFmtId="0" fontId="6" fillId="0" borderId="0" xfId="0" applyFont="1" applyBorder="1" applyAlignment="1">
      <alignment vertical="center" wrapText="1"/>
    </xf>
    <xf numFmtId="0" fontId="11" fillId="0" borderId="0" xfId="10"/>
    <xf numFmtId="0" fontId="9" fillId="0" borderId="5" xfId="10" applyFont="1" applyBorder="1" applyAlignment="1">
      <alignment horizontal="left" vertical="center" wrapText="1" indent="2"/>
    </xf>
    <xf numFmtId="0" fontId="12" fillId="6" borderId="4" xfId="0" applyFont="1" applyFill="1" applyBorder="1" applyAlignment="1">
      <alignment horizontal="left" vertical="center" indent="1"/>
    </xf>
    <xf numFmtId="0" fontId="13" fillId="0" borderId="0" xfId="0" applyFont="1" applyBorder="1" applyAlignment="1">
      <alignment vertical="center" wrapText="1"/>
    </xf>
    <xf numFmtId="0" fontId="12" fillId="5" borderId="2"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3" fillId="0" borderId="4" xfId="0" applyFont="1" applyBorder="1" applyAlignment="1">
      <alignment horizontal="left" vertical="center" wrapText="1" indent="1"/>
    </xf>
    <xf numFmtId="0" fontId="3" fillId="0" borderId="4" xfId="0" applyFont="1" applyBorder="1" applyAlignment="1">
      <alignment horizontal="left" vertical="center" indent="1"/>
    </xf>
    <xf numFmtId="0" fontId="8" fillId="3" borderId="3" xfId="0" applyFont="1" applyFill="1" applyBorder="1" applyAlignment="1">
      <alignment horizontal="right" vertical="center" indent="1"/>
    </xf>
    <xf numFmtId="0" fontId="14" fillId="2" borderId="0" xfId="11" applyFont="1" applyFill="1" applyAlignment="1">
      <alignment horizontal="center" vertical="center"/>
    </xf>
    <xf numFmtId="171" fontId="0" fillId="0" borderId="0" xfId="0" applyNumberFormat="1"/>
    <xf numFmtId="171" fontId="2" fillId="0" borderId="0" xfId="0" applyNumberFormat="1" applyFont="1"/>
    <xf numFmtId="171" fontId="12" fillId="5" borderId="1" xfId="0" applyNumberFormat="1" applyFont="1" applyFill="1" applyBorder="1" applyAlignment="1">
      <alignment horizontal="center" vertical="center" wrapText="1"/>
    </xf>
    <xf numFmtId="171" fontId="8" fillId="3" borderId="1" xfId="9" applyNumberFormat="1" applyFont="1" applyFill="1" applyBorder="1" applyAlignment="1">
      <alignment vertical="center"/>
    </xf>
    <xf numFmtId="171" fontId="3" fillId="0" borderId="1" xfId="9" applyNumberFormat="1" applyFont="1" applyBorder="1" applyAlignment="1">
      <alignment vertical="center"/>
    </xf>
    <xf numFmtId="171" fontId="8" fillId="4" borderId="0" xfId="9" applyNumberFormat="1" applyFont="1" applyFill="1" applyBorder="1" applyAlignment="1">
      <alignment vertical="center"/>
    </xf>
    <xf numFmtId="0" fontId="2" fillId="7" borderId="0" xfId="0" applyFont="1" applyFill="1"/>
    <xf numFmtId="0" fontId="15" fillId="7" borderId="1" xfId="0" applyFont="1" applyFill="1" applyBorder="1" applyAlignment="1">
      <alignment horizontal="left" vertical="center" indent="1"/>
    </xf>
    <xf numFmtId="0" fontId="3" fillId="7" borderId="1" xfId="0" applyFont="1" applyFill="1" applyBorder="1" applyAlignment="1">
      <alignment horizontal="left" vertical="center" indent="1"/>
    </xf>
    <xf numFmtId="171" fontId="3" fillId="7" borderId="1" xfId="9" applyNumberFormat="1" applyFont="1" applyFill="1" applyBorder="1" applyAlignment="1">
      <alignment vertical="center"/>
    </xf>
    <xf numFmtId="0" fontId="16" fillId="4" borderId="1" xfId="0" applyFont="1" applyFill="1" applyBorder="1" applyAlignment="1">
      <alignment horizontal="left" vertical="center" indent="1"/>
    </xf>
    <xf numFmtId="0" fontId="0" fillId="0" borderId="0" xfId="0" applyNumberFormat="1"/>
    <xf numFmtId="0" fontId="2" fillId="0" borderId="0" xfId="0" applyNumberFormat="1" applyFont="1"/>
    <xf numFmtId="0" fontId="12" fillId="5" borderId="1" xfId="0" applyNumberFormat="1" applyFont="1" applyFill="1" applyBorder="1" applyAlignment="1">
      <alignment horizontal="center" vertical="center" wrapText="1"/>
    </xf>
    <xf numFmtId="0" fontId="8" fillId="3" borderId="1" xfId="0" applyNumberFormat="1" applyFont="1" applyFill="1" applyBorder="1" applyAlignment="1">
      <alignment horizontal="center" vertical="center"/>
    </xf>
    <xf numFmtId="0" fontId="3" fillId="0" borderId="0" xfId="0" applyNumberFormat="1" applyFont="1" applyBorder="1" applyAlignment="1">
      <alignment horizontal="center" vertical="center"/>
    </xf>
    <xf numFmtId="15" fontId="8" fillId="3" borderId="1" xfId="0" applyNumberFormat="1" applyFont="1" applyFill="1" applyBorder="1" applyAlignment="1">
      <alignment horizontal="center" vertical="center"/>
    </xf>
    <xf numFmtId="15" fontId="3" fillId="0" borderId="1" xfId="0" applyNumberFormat="1" applyFont="1" applyBorder="1" applyAlignment="1">
      <alignment horizontal="center" vertical="center"/>
    </xf>
    <xf numFmtId="15" fontId="3" fillId="7" borderId="1" xfId="0" applyNumberFormat="1" applyFont="1" applyFill="1" applyBorder="1" applyAlignment="1">
      <alignment horizontal="center" vertical="center"/>
    </xf>
    <xf numFmtId="0" fontId="17" fillId="0" borderId="0" xfId="0" applyFont="1"/>
    <xf numFmtId="0" fontId="18" fillId="4" borderId="1" xfId="0" applyFont="1" applyFill="1" applyBorder="1" applyAlignment="1">
      <alignment horizontal="left" vertical="center" indent="1"/>
    </xf>
    <xf numFmtId="171" fontId="18" fillId="4" borderId="1" xfId="9" applyNumberFormat="1" applyFont="1" applyFill="1" applyBorder="1" applyAlignment="1">
      <alignment vertical="center"/>
    </xf>
    <xf numFmtId="15" fontId="18" fillId="4" borderId="1" xfId="0" applyNumberFormat="1" applyFont="1" applyFill="1" applyBorder="1" applyAlignment="1">
      <alignment horizontal="center" vertical="center"/>
    </xf>
    <xf numFmtId="0" fontId="17" fillId="4" borderId="0" xfId="0" applyFont="1" applyFill="1"/>
    <xf numFmtId="0" fontId="19" fillId="7" borderId="1" xfId="0" applyFont="1" applyFill="1" applyBorder="1" applyAlignment="1">
      <alignment horizontal="left" vertical="center" indent="1"/>
    </xf>
    <xf numFmtId="171" fontId="19" fillId="7" borderId="1" xfId="9" applyNumberFormat="1" applyFont="1" applyFill="1" applyBorder="1" applyAlignment="1">
      <alignment vertical="center"/>
    </xf>
    <xf numFmtId="0" fontId="20" fillId="7" borderId="0" xfId="0" applyFont="1" applyFill="1"/>
    <xf numFmtId="0" fontId="18" fillId="4" borderId="0" xfId="0" applyFont="1" applyFill="1"/>
    <xf numFmtId="15" fontId="19" fillId="7" borderId="1" xfId="0" applyNumberFormat="1" applyFont="1" applyFill="1" applyBorder="1" applyAlignment="1">
      <alignment horizontal="center" vertical="center"/>
    </xf>
  </cellXfs>
  <cellStyles count="12">
    <cellStyle name="Currency" xfId="9" builtinId="4"/>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11" builtinId="8"/>
    <cellStyle name="Normal" xfId="0" builtinId="0"/>
    <cellStyle name="Normal 2" xfId="1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goo.gl/iVmUyj"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660400</xdr:colOff>
      <xdr:row>0</xdr:row>
      <xdr:rowOff>0</xdr:rowOff>
    </xdr:from>
    <xdr:to>
      <xdr:col>14</xdr:col>
      <xdr:colOff>158750</xdr:colOff>
      <xdr:row>1</xdr:row>
      <xdr:rowOff>38100</xdr:rowOff>
    </xdr:to>
    <xdr:pic>
      <xdr:nvPicPr>
        <xdr:cNvPr id="4" name="Picture 3">
          <a:hlinkClick xmlns:r="http://schemas.openxmlformats.org/officeDocument/2006/relationships" r:id="rId1"/>
          <a:extLst>
            <a:ext uri="{FF2B5EF4-FFF2-40B4-BE49-F238E27FC236}">
              <a16:creationId xmlns:a16="http://schemas.microsoft.com/office/drawing/2014/main" xmlns="" id="{0A11700C-9959-6642-96EE-C0F7647D3F2A}"/>
            </a:ext>
          </a:extLst>
        </xdr:cNvPr>
        <xdr:cNvPicPr>
          <a:picLocks noChangeAspect="1"/>
        </xdr:cNvPicPr>
      </xdr:nvPicPr>
      <xdr:blipFill>
        <a:blip xmlns:r="http://schemas.openxmlformats.org/officeDocument/2006/relationships" r:embed="rId2"/>
        <a:stretch>
          <a:fillRect/>
        </a:stretch>
      </xdr:blipFill>
      <xdr:spPr>
        <a:xfrm>
          <a:off x="15240000" y="0"/>
          <a:ext cx="3467100" cy="673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oo.gl/iVmUyj"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J44"/>
  <sheetViews>
    <sheetView showGridLines="0" tabSelected="1" zoomScaleNormal="100" workbookViewId="0">
      <pane ySplit="1" topLeftCell="A16" activePane="bottomLeft" state="frozen"/>
      <selection pane="bottomLeft" activeCell="I38" sqref="I38"/>
    </sheetView>
  </sheetViews>
  <sheetFormatPr defaultColWidth="10.75" defaultRowHeight="17.25" x14ac:dyDescent="0.3"/>
  <cols>
    <col min="1" max="1" width="3" style="1" customWidth="1"/>
    <col min="2" max="2" width="11.75" style="1" customWidth="1"/>
    <col min="3" max="3" width="39.375" style="1" customWidth="1"/>
    <col min="4" max="4" width="17" style="1" customWidth="1"/>
    <col min="5" max="5" width="22.75" style="1" customWidth="1"/>
    <col min="6" max="6" width="73" style="1" customWidth="1"/>
    <col min="7" max="7" width="13.5" style="23" customWidth="1"/>
    <col min="8" max="10" width="16.75" style="34" customWidth="1"/>
    <col min="11" max="11" width="3" style="1" customWidth="1"/>
    <col min="12" max="16384" width="10.75" style="1"/>
  </cols>
  <sheetData>
    <row r="1" spans="1:10" customFormat="1" ht="49.9" customHeight="1" x14ac:dyDescent="0.25">
      <c r="A1" s="6"/>
      <c r="B1" s="7" t="s">
        <v>90</v>
      </c>
      <c r="D1" s="7"/>
      <c r="F1" s="8"/>
      <c r="G1" s="22"/>
      <c r="H1" s="33"/>
      <c r="I1" s="33"/>
      <c r="J1" s="33"/>
    </row>
    <row r="2" spans="1:10" ht="24" customHeight="1" x14ac:dyDescent="0.3">
      <c r="C2" s="14" t="s">
        <v>0</v>
      </c>
      <c r="D2" s="14" t="s">
        <v>1</v>
      </c>
      <c r="E2" s="15"/>
      <c r="F2" s="23"/>
      <c r="G2" s="34"/>
      <c r="J2" s="1"/>
    </row>
    <row r="3" spans="1:10" ht="24" customHeight="1" x14ac:dyDescent="0.3">
      <c r="C3" s="18" t="s">
        <v>26</v>
      </c>
      <c r="D3" s="19" t="s">
        <v>23</v>
      </c>
      <c r="E3" s="11"/>
      <c r="F3" s="23"/>
      <c r="G3" s="34"/>
      <c r="J3" s="1"/>
    </row>
    <row r="4" spans="1:10" ht="18" customHeight="1" x14ac:dyDescent="0.3"/>
    <row r="5" spans="1:10" ht="36" customHeight="1" x14ac:dyDescent="0.3">
      <c r="B5" s="16" t="s">
        <v>12</v>
      </c>
      <c r="C5" s="17" t="s">
        <v>25</v>
      </c>
      <c r="D5" s="17" t="s">
        <v>14</v>
      </c>
      <c r="E5" s="17" t="s">
        <v>15</v>
      </c>
      <c r="F5" s="17" t="s">
        <v>13</v>
      </c>
      <c r="G5" s="24" t="s">
        <v>16</v>
      </c>
      <c r="H5" s="35" t="s">
        <v>17</v>
      </c>
      <c r="I5" s="35" t="s">
        <v>18</v>
      </c>
      <c r="J5" s="35" t="s">
        <v>19</v>
      </c>
    </row>
    <row r="6" spans="1:10" ht="18" customHeight="1" x14ac:dyDescent="0.3">
      <c r="B6" s="9">
        <v>1</v>
      </c>
      <c r="C6" s="10" t="s">
        <v>26</v>
      </c>
      <c r="D6" s="10"/>
      <c r="E6" s="10"/>
      <c r="F6" s="10"/>
      <c r="G6" s="25"/>
      <c r="H6" s="38"/>
      <c r="I6" s="36"/>
      <c r="J6" s="38"/>
    </row>
    <row r="7" spans="1:10" s="41" customFormat="1" ht="18" customHeight="1" x14ac:dyDescent="0.2">
      <c r="B7" s="32">
        <v>1.1000000000000001</v>
      </c>
      <c r="C7" s="42" t="s">
        <v>24</v>
      </c>
      <c r="D7" s="42">
        <v>1</v>
      </c>
      <c r="E7" s="42" t="s">
        <v>46</v>
      </c>
      <c r="F7" s="42" t="s">
        <v>27</v>
      </c>
      <c r="G7" s="43">
        <f>SUM(G8:G12)</f>
        <v>34000</v>
      </c>
      <c r="H7" s="44">
        <v>43983</v>
      </c>
      <c r="I7" s="44">
        <v>43994</v>
      </c>
      <c r="J7" s="44">
        <v>43993</v>
      </c>
    </row>
    <row r="8" spans="1:10" ht="18" customHeight="1" x14ac:dyDescent="0.3">
      <c r="B8" s="2" t="s">
        <v>2</v>
      </c>
      <c r="C8" s="3" t="s">
        <v>28</v>
      </c>
      <c r="D8" s="3" t="s">
        <v>6</v>
      </c>
      <c r="E8" s="3" t="s">
        <v>32</v>
      </c>
      <c r="F8" s="3" t="s">
        <v>31</v>
      </c>
      <c r="G8" s="26">
        <v>10000</v>
      </c>
      <c r="H8" s="39">
        <v>43983</v>
      </c>
      <c r="I8" s="39">
        <v>43985</v>
      </c>
      <c r="J8" s="39">
        <v>43985</v>
      </c>
    </row>
    <row r="9" spans="1:10" ht="18" customHeight="1" x14ac:dyDescent="0.3">
      <c r="B9" s="2" t="s">
        <v>3</v>
      </c>
      <c r="C9" s="3" t="s">
        <v>29</v>
      </c>
      <c r="D9" s="3"/>
      <c r="E9" s="3" t="s">
        <v>46</v>
      </c>
      <c r="F9" s="3" t="s">
        <v>36</v>
      </c>
      <c r="G9" s="26">
        <v>15000</v>
      </c>
      <c r="H9" s="39">
        <v>43986</v>
      </c>
      <c r="I9" s="39">
        <v>43987</v>
      </c>
      <c r="J9" s="39" t="s">
        <v>126</v>
      </c>
    </row>
    <row r="10" spans="1:10" ht="18" customHeight="1" x14ac:dyDescent="0.3">
      <c r="B10" s="2" t="s">
        <v>4</v>
      </c>
      <c r="C10" s="3" t="s">
        <v>30</v>
      </c>
      <c r="D10" s="3"/>
      <c r="E10" s="3" t="s">
        <v>46</v>
      </c>
      <c r="F10" s="3" t="s">
        <v>37</v>
      </c>
      <c r="G10" s="26">
        <v>3000</v>
      </c>
      <c r="H10" s="39">
        <v>43990</v>
      </c>
      <c r="I10" s="39">
        <v>43990</v>
      </c>
      <c r="J10" s="39">
        <v>43990</v>
      </c>
    </row>
    <row r="11" spans="1:10" s="28" customFormat="1" ht="18" customHeight="1" x14ac:dyDescent="0.3">
      <c r="B11" s="29" t="s">
        <v>33</v>
      </c>
      <c r="C11" s="30" t="s">
        <v>34</v>
      </c>
      <c r="D11" s="30"/>
      <c r="E11" s="30" t="s">
        <v>47</v>
      </c>
      <c r="F11" s="30" t="s">
        <v>38</v>
      </c>
      <c r="G11" s="31">
        <v>3000</v>
      </c>
      <c r="H11" s="40">
        <v>43991</v>
      </c>
      <c r="I11" s="40">
        <v>43992</v>
      </c>
      <c r="J11" s="40">
        <v>43992</v>
      </c>
    </row>
    <row r="12" spans="1:10" ht="18" customHeight="1" x14ac:dyDescent="0.3">
      <c r="B12" s="2" t="s">
        <v>40</v>
      </c>
      <c r="C12" s="3" t="s">
        <v>35</v>
      </c>
      <c r="D12" s="3"/>
      <c r="E12" s="3" t="s">
        <v>47</v>
      </c>
      <c r="F12" s="3" t="s">
        <v>39</v>
      </c>
      <c r="G12" s="26">
        <v>3000</v>
      </c>
      <c r="H12" s="39">
        <v>43993</v>
      </c>
      <c r="I12" s="39">
        <v>43993</v>
      </c>
      <c r="J12" s="39">
        <v>43993</v>
      </c>
    </row>
    <row r="13" spans="1:10" s="45" customFormat="1" ht="18" customHeight="1" x14ac:dyDescent="0.2">
      <c r="B13" s="32">
        <v>1.2</v>
      </c>
      <c r="C13" s="42" t="s">
        <v>41</v>
      </c>
      <c r="D13" s="42"/>
      <c r="E13" s="42" t="s">
        <v>46</v>
      </c>
      <c r="F13" s="42" t="s">
        <v>42</v>
      </c>
      <c r="G13" s="43">
        <f>SUM(G14:G19)</f>
        <v>101000</v>
      </c>
      <c r="H13" s="44">
        <v>43994</v>
      </c>
      <c r="I13" s="44">
        <v>44029</v>
      </c>
      <c r="J13" s="44">
        <v>44026</v>
      </c>
    </row>
    <row r="14" spans="1:10" s="28" customFormat="1" ht="18" customHeight="1" x14ac:dyDescent="0.3">
      <c r="B14" s="29" t="s">
        <v>5</v>
      </c>
      <c r="C14" s="30" t="s">
        <v>43</v>
      </c>
      <c r="D14" s="30"/>
      <c r="E14" s="30" t="s">
        <v>46</v>
      </c>
      <c r="F14" s="30" t="s">
        <v>44</v>
      </c>
      <c r="G14" s="31">
        <v>20000</v>
      </c>
      <c r="H14" s="40">
        <v>43994</v>
      </c>
      <c r="I14" s="40">
        <v>44001</v>
      </c>
      <c r="J14" s="40">
        <v>44001</v>
      </c>
    </row>
    <row r="15" spans="1:10" ht="18" customHeight="1" x14ac:dyDescent="0.3">
      <c r="B15" s="2" t="s">
        <v>6</v>
      </c>
      <c r="C15" s="3" t="s">
        <v>45</v>
      </c>
      <c r="D15" s="3"/>
      <c r="E15" s="3" t="s">
        <v>46</v>
      </c>
      <c r="F15" s="3" t="s">
        <v>125</v>
      </c>
      <c r="G15" s="26">
        <v>50000</v>
      </c>
      <c r="H15" s="39">
        <v>44004</v>
      </c>
      <c r="I15" s="39">
        <v>44012</v>
      </c>
      <c r="J15" s="39">
        <v>44008</v>
      </c>
    </row>
    <row r="16" spans="1:10" s="28" customFormat="1" ht="18" customHeight="1" x14ac:dyDescent="0.3">
      <c r="B16" s="29" t="s">
        <v>48</v>
      </c>
      <c r="C16" s="30" t="s">
        <v>49</v>
      </c>
      <c r="D16" s="30"/>
      <c r="E16" s="30" t="s">
        <v>51</v>
      </c>
      <c r="F16" s="30" t="s">
        <v>50</v>
      </c>
      <c r="G16" s="31">
        <v>5000</v>
      </c>
      <c r="H16" s="40">
        <v>44011</v>
      </c>
      <c r="I16" s="40">
        <v>44011</v>
      </c>
      <c r="J16" s="40">
        <v>44011</v>
      </c>
    </row>
    <row r="17" spans="2:10" ht="18" customHeight="1" x14ac:dyDescent="0.3">
      <c r="B17" s="2" t="s">
        <v>53</v>
      </c>
      <c r="C17" s="3" t="s">
        <v>52</v>
      </c>
      <c r="D17" s="3" t="s">
        <v>5</v>
      </c>
      <c r="E17" s="3" t="s">
        <v>32</v>
      </c>
      <c r="F17" s="3" t="s">
        <v>56</v>
      </c>
      <c r="G17" s="26">
        <v>20000</v>
      </c>
      <c r="H17" s="39">
        <v>44012</v>
      </c>
      <c r="I17" s="39">
        <v>44022</v>
      </c>
      <c r="J17" s="39">
        <v>44021</v>
      </c>
    </row>
    <row r="18" spans="2:10" ht="18" customHeight="1" x14ac:dyDescent="0.3">
      <c r="B18" s="2" t="s">
        <v>54</v>
      </c>
      <c r="C18" s="3" t="s">
        <v>57</v>
      </c>
      <c r="D18" s="3" t="s">
        <v>53</v>
      </c>
      <c r="E18" s="3" t="s">
        <v>46</v>
      </c>
      <c r="F18" s="3" t="s">
        <v>58</v>
      </c>
      <c r="G18" s="26">
        <v>3000</v>
      </c>
      <c r="H18" s="39">
        <v>44022</v>
      </c>
      <c r="I18" s="39">
        <v>44022</v>
      </c>
      <c r="J18" s="39">
        <v>44022</v>
      </c>
    </row>
    <row r="19" spans="2:10" ht="18" customHeight="1" x14ac:dyDescent="0.3">
      <c r="B19" s="2" t="s">
        <v>55</v>
      </c>
      <c r="C19" s="3" t="s">
        <v>59</v>
      </c>
      <c r="D19" s="3"/>
      <c r="E19" s="3" t="s">
        <v>46</v>
      </c>
      <c r="F19" s="3" t="s">
        <v>60</v>
      </c>
      <c r="G19" s="26">
        <v>3000</v>
      </c>
      <c r="H19" s="39">
        <v>44026</v>
      </c>
      <c r="I19" s="39">
        <v>44026</v>
      </c>
      <c r="J19" s="39">
        <v>44026</v>
      </c>
    </row>
    <row r="20" spans="2:10" s="45" customFormat="1" ht="18" customHeight="1" x14ac:dyDescent="0.2">
      <c r="B20" s="32">
        <v>1.3</v>
      </c>
      <c r="C20" s="42" t="s">
        <v>65</v>
      </c>
      <c r="D20" s="42"/>
      <c r="E20" s="42" t="s">
        <v>66</v>
      </c>
      <c r="F20" s="49" t="s">
        <v>68</v>
      </c>
      <c r="G20" s="43">
        <f>SUM(G21:G28)</f>
        <v>205000</v>
      </c>
      <c r="H20" s="44">
        <v>44027</v>
      </c>
      <c r="I20" s="44">
        <v>44106</v>
      </c>
      <c r="J20" s="44">
        <v>44106</v>
      </c>
    </row>
    <row r="21" spans="2:10" s="48" customFormat="1" ht="18" customHeight="1" x14ac:dyDescent="0.3">
      <c r="B21" s="29" t="s">
        <v>7</v>
      </c>
      <c r="C21" s="46" t="s">
        <v>69</v>
      </c>
      <c r="D21" s="46" t="s">
        <v>55</v>
      </c>
      <c r="E21" s="46" t="s">
        <v>66</v>
      </c>
      <c r="F21" s="46" t="s">
        <v>67</v>
      </c>
      <c r="G21" s="47">
        <v>30000</v>
      </c>
      <c r="H21" s="50">
        <v>44027</v>
      </c>
      <c r="I21" s="50">
        <v>44029</v>
      </c>
      <c r="J21" s="50">
        <v>44029</v>
      </c>
    </row>
    <row r="22" spans="2:10" s="48" customFormat="1" ht="18" customHeight="1" x14ac:dyDescent="0.3">
      <c r="B22" s="29" t="s">
        <v>62</v>
      </c>
      <c r="C22" s="46" t="s">
        <v>86</v>
      </c>
      <c r="D22" s="46" t="s">
        <v>55</v>
      </c>
      <c r="E22" s="46" t="s">
        <v>51</v>
      </c>
      <c r="F22" s="3" t="s">
        <v>87</v>
      </c>
      <c r="G22" s="47">
        <v>15000</v>
      </c>
      <c r="H22" s="50">
        <v>44032</v>
      </c>
      <c r="I22" s="50">
        <v>44034</v>
      </c>
      <c r="J22" s="50">
        <v>44034</v>
      </c>
    </row>
    <row r="23" spans="2:10" ht="18" customHeight="1" x14ac:dyDescent="0.3">
      <c r="B23" s="2" t="s">
        <v>63</v>
      </c>
      <c r="C23" s="46" t="s">
        <v>85</v>
      </c>
      <c r="D23" s="3"/>
      <c r="E23" s="3" t="s">
        <v>66</v>
      </c>
      <c r="F23" s="46" t="s">
        <v>67</v>
      </c>
      <c r="G23" s="26">
        <v>15000</v>
      </c>
      <c r="H23" s="39">
        <v>44035</v>
      </c>
      <c r="I23" s="39">
        <v>44036</v>
      </c>
      <c r="J23" s="39">
        <v>44036</v>
      </c>
    </row>
    <row r="24" spans="2:10" ht="18" customHeight="1" x14ac:dyDescent="0.3">
      <c r="B24" s="2" t="s">
        <v>64</v>
      </c>
      <c r="C24" s="3" t="s">
        <v>127</v>
      </c>
      <c r="D24" s="3"/>
      <c r="E24" s="3" t="s">
        <v>66</v>
      </c>
      <c r="F24" s="3" t="s">
        <v>72</v>
      </c>
      <c r="G24" s="26">
        <v>30000</v>
      </c>
      <c r="H24" s="39">
        <v>44039</v>
      </c>
      <c r="I24" s="39">
        <v>44043</v>
      </c>
      <c r="J24" s="39">
        <v>44043</v>
      </c>
    </row>
    <row r="25" spans="2:10" s="48" customFormat="1" ht="18" customHeight="1" x14ac:dyDescent="0.3">
      <c r="B25" s="29" t="s">
        <v>73</v>
      </c>
      <c r="C25" s="46" t="s">
        <v>75</v>
      </c>
      <c r="D25" s="46"/>
      <c r="E25" s="46" t="s">
        <v>66</v>
      </c>
      <c r="F25" s="46" t="s">
        <v>76</v>
      </c>
      <c r="G25" s="47">
        <v>30000</v>
      </c>
      <c r="H25" s="50">
        <v>44046</v>
      </c>
      <c r="I25" s="50">
        <v>44057</v>
      </c>
      <c r="J25" s="50">
        <v>44057</v>
      </c>
    </row>
    <row r="26" spans="2:10" ht="18" customHeight="1" x14ac:dyDescent="0.3">
      <c r="B26" s="2" t="s">
        <v>70</v>
      </c>
      <c r="C26" s="3" t="s">
        <v>77</v>
      </c>
      <c r="D26" s="3"/>
      <c r="E26" s="3" t="s">
        <v>66</v>
      </c>
      <c r="F26" s="3" t="s">
        <v>78</v>
      </c>
      <c r="G26" s="26">
        <v>40000</v>
      </c>
      <c r="H26" s="39">
        <v>44060</v>
      </c>
      <c r="I26" s="39">
        <v>44092</v>
      </c>
      <c r="J26" s="39">
        <v>44092</v>
      </c>
    </row>
    <row r="27" spans="2:10" ht="18" customHeight="1" x14ac:dyDescent="0.3">
      <c r="B27" s="2" t="s">
        <v>74</v>
      </c>
      <c r="C27" s="3" t="s">
        <v>79</v>
      </c>
      <c r="D27" s="3" t="s">
        <v>10</v>
      </c>
      <c r="E27" s="3" t="s">
        <v>82</v>
      </c>
      <c r="F27" s="3" t="s">
        <v>80</v>
      </c>
      <c r="G27" s="26">
        <v>35000</v>
      </c>
      <c r="H27" s="39">
        <v>44095</v>
      </c>
      <c r="I27" s="39">
        <v>44104</v>
      </c>
      <c r="J27" s="39">
        <v>44104</v>
      </c>
    </row>
    <row r="28" spans="2:10" s="48" customFormat="1" ht="18" customHeight="1" x14ac:dyDescent="0.3">
      <c r="B28" s="29" t="s">
        <v>81</v>
      </c>
      <c r="C28" s="46" t="s">
        <v>83</v>
      </c>
      <c r="D28" s="46"/>
      <c r="E28" s="46" t="s">
        <v>51</v>
      </c>
      <c r="F28" s="46" t="s">
        <v>84</v>
      </c>
      <c r="G28" s="47">
        <v>10000</v>
      </c>
      <c r="H28" s="50">
        <v>44105</v>
      </c>
      <c r="I28" s="50">
        <v>44106</v>
      </c>
      <c r="J28" s="50">
        <v>44106</v>
      </c>
    </row>
    <row r="29" spans="2:10" s="41" customFormat="1" ht="18" customHeight="1" x14ac:dyDescent="0.2">
      <c r="B29" s="32">
        <v>1.4</v>
      </c>
      <c r="C29" s="42" t="s">
        <v>61</v>
      </c>
      <c r="D29" s="42"/>
      <c r="E29" s="42" t="s">
        <v>51</v>
      </c>
      <c r="F29" s="42" t="s">
        <v>88</v>
      </c>
      <c r="G29" s="43">
        <f>SUM(G30:G36)</f>
        <v>160000</v>
      </c>
      <c r="H29" s="44">
        <v>44109</v>
      </c>
      <c r="I29" s="44">
        <v>44148</v>
      </c>
      <c r="J29" s="44">
        <v>44148</v>
      </c>
    </row>
    <row r="30" spans="2:10" ht="18" customHeight="1" x14ac:dyDescent="0.3">
      <c r="B30" s="2" t="s">
        <v>8</v>
      </c>
      <c r="C30" s="3" t="s">
        <v>89</v>
      </c>
      <c r="D30" s="3"/>
      <c r="E30" s="3" t="s">
        <v>46</v>
      </c>
      <c r="F30" s="3" t="s">
        <v>91</v>
      </c>
      <c r="G30" s="26">
        <v>5000</v>
      </c>
      <c r="H30" s="39">
        <v>44109</v>
      </c>
      <c r="I30" s="39">
        <v>44109</v>
      </c>
      <c r="J30" s="39">
        <v>44109</v>
      </c>
    </row>
    <row r="31" spans="2:10" s="48" customFormat="1" ht="18" customHeight="1" x14ac:dyDescent="0.3">
      <c r="B31" s="29" t="s">
        <v>9</v>
      </c>
      <c r="C31" s="46" t="s">
        <v>92</v>
      </c>
      <c r="D31" s="46"/>
      <c r="E31" s="46" t="s">
        <v>93</v>
      </c>
      <c r="F31" s="46" t="s">
        <v>94</v>
      </c>
      <c r="G31" s="47">
        <v>40000</v>
      </c>
      <c r="H31" s="50">
        <v>44110</v>
      </c>
      <c r="I31" s="50">
        <v>44113</v>
      </c>
      <c r="J31" s="50">
        <v>44113</v>
      </c>
    </row>
    <row r="32" spans="2:10" s="48" customFormat="1" ht="18" customHeight="1" x14ac:dyDescent="0.3">
      <c r="B32" s="29" t="s">
        <v>10</v>
      </c>
      <c r="C32" s="46" t="s">
        <v>95</v>
      </c>
      <c r="D32" s="46"/>
      <c r="E32" s="46" t="s">
        <v>93</v>
      </c>
      <c r="F32" s="46" t="s">
        <v>96</v>
      </c>
      <c r="G32" s="47">
        <v>30000</v>
      </c>
      <c r="H32" s="50">
        <v>44116</v>
      </c>
      <c r="I32" s="50">
        <v>44118</v>
      </c>
      <c r="J32" s="50">
        <v>44118</v>
      </c>
    </row>
    <row r="33" spans="2:10" ht="18" customHeight="1" x14ac:dyDescent="0.3">
      <c r="B33" s="2" t="s">
        <v>11</v>
      </c>
      <c r="C33" s="3" t="s">
        <v>97</v>
      </c>
      <c r="D33" s="3" t="s">
        <v>74</v>
      </c>
      <c r="E33" s="3" t="s">
        <v>82</v>
      </c>
      <c r="F33" s="3" t="s">
        <v>98</v>
      </c>
      <c r="G33" s="26">
        <v>35000</v>
      </c>
      <c r="H33" s="39">
        <v>44119</v>
      </c>
      <c r="I33" s="39">
        <v>44134</v>
      </c>
      <c r="J33" s="39">
        <v>44134</v>
      </c>
    </row>
    <row r="34" spans="2:10" s="28" customFormat="1" ht="18" customHeight="1" x14ac:dyDescent="0.3">
      <c r="B34" s="29" t="s">
        <v>100</v>
      </c>
      <c r="C34" s="30" t="s">
        <v>99</v>
      </c>
      <c r="D34" s="30"/>
      <c r="E34" s="30" t="s">
        <v>93</v>
      </c>
      <c r="F34" s="30" t="s">
        <v>101</v>
      </c>
      <c r="G34" s="31">
        <v>30000</v>
      </c>
      <c r="H34" s="40">
        <v>44137</v>
      </c>
      <c r="I34" s="40">
        <v>44139</v>
      </c>
      <c r="J34" s="40">
        <v>44139</v>
      </c>
    </row>
    <row r="35" spans="2:10" ht="18" customHeight="1" x14ac:dyDescent="0.3">
      <c r="B35" s="2" t="s">
        <v>71</v>
      </c>
      <c r="C35" s="3" t="s">
        <v>102</v>
      </c>
      <c r="D35" s="3"/>
      <c r="E35" s="3" t="s">
        <v>104</v>
      </c>
      <c r="F35" s="3" t="s">
        <v>103</v>
      </c>
      <c r="G35" s="26">
        <v>10000</v>
      </c>
      <c r="H35" s="39">
        <v>44140</v>
      </c>
      <c r="I35" s="39">
        <v>44148</v>
      </c>
      <c r="J35" s="39">
        <v>44147</v>
      </c>
    </row>
    <row r="36" spans="2:10" s="28" customFormat="1" ht="18" customHeight="1" x14ac:dyDescent="0.3">
      <c r="B36" s="29" t="s">
        <v>106</v>
      </c>
      <c r="C36" s="30" t="s">
        <v>105</v>
      </c>
      <c r="D36" s="30" t="s">
        <v>113</v>
      </c>
      <c r="E36" s="30" t="s">
        <v>104</v>
      </c>
      <c r="F36" s="30" t="s">
        <v>107</v>
      </c>
      <c r="G36" s="31">
        <v>10000</v>
      </c>
      <c r="H36" s="40">
        <v>44148</v>
      </c>
      <c r="I36" s="40">
        <v>44148</v>
      </c>
      <c r="J36" s="40">
        <v>44148</v>
      </c>
    </row>
    <row r="37" spans="2:10" s="45" customFormat="1" ht="18" customHeight="1" x14ac:dyDescent="0.2">
      <c r="B37" s="32">
        <v>1.5</v>
      </c>
      <c r="C37" s="42" t="s">
        <v>108</v>
      </c>
      <c r="D37" s="42" t="s">
        <v>81</v>
      </c>
      <c r="E37" s="42" t="s">
        <v>109</v>
      </c>
      <c r="F37" s="42" t="s">
        <v>110</v>
      </c>
      <c r="G37" s="43">
        <f>SUM(G38:G41)</f>
        <v>75000</v>
      </c>
      <c r="H37" s="44">
        <v>44151</v>
      </c>
      <c r="I37" s="44">
        <v>44162</v>
      </c>
      <c r="J37" s="44">
        <v>44161</v>
      </c>
    </row>
    <row r="38" spans="2:10" s="48" customFormat="1" ht="18" customHeight="1" x14ac:dyDescent="0.3">
      <c r="B38" s="29" t="s">
        <v>113</v>
      </c>
      <c r="C38" s="46" t="s">
        <v>111</v>
      </c>
      <c r="D38" s="46"/>
      <c r="E38" s="46" t="s">
        <v>109</v>
      </c>
      <c r="F38" s="46" t="s">
        <v>112</v>
      </c>
      <c r="G38" s="47">
        <v>20000</v>
      </c>
      <c r="H38" s="50">
        <v>44151</v>
      </c>
      <c r="I38" s="50">
        <v>44153</v>
      </c>
      <c r="J38" s="50">
        <v>44153</v>
      </c>
    </row>
    <row r="39" spans="2:10" s="48" customFormat="1" ht="18" customHeight="1" x14ac:dyDescent="0.3">
      <c r="B39" s="29" t="s">
        <v>114</v>
      </c>
      <c r="C39" s="46" t="s">
        <v>117</v>
      </c>
      <c r="D39" s="46"/>
      <c r="E39" s="46" t="s">
        <v>119</v>
      </c>
      <c r="F39" s="46" t="s">
        <v>118</v>
      </c>
      <c r="G39" s="47">
        <v>35000</v>
      </c>
      <c r="H39" s="50">
        <v>44154</v>
      </c>
      <c r="I39" s="50">
        <v>44155</v>
      </c>
      <c r="J39" s="50">
        <v>44155</v>
      </c>
    </row>
    <row r="40" spans="2:10" ht="18" customHeight="1" x14ac:dyDescent="0.3">
      <c r="B40" s="2" t="s">
        <v>115</v>
      </c>
      <c r="C40" s="3" t="s">
        <v>123</v>
      </c>
      <c r="D40" s="3"/>
      <c r="E40" s="3" t="s">
        <v>124</v>
      </c>
      <c r="F40" s="3" t="s">
        <v>122</v>
      </c>
      <c r="G40" s="26">
        <v>15000</v>
      </c>
      <c r="H40" s="39">
        <v>44158</v>
      </c>
      <c r="I40" s="39">
        <v>44160</v>
      </c>
      <c r="J40" s="39">
        <v>44160</v>
      </c>
    </row>
    <row r="41" spans="2:10" ht="18" customHeight="1" x14ac:dyDescent="0.3">
      <c r="B41" s="2" t="s">
        <v>116</v>
      </c>
      <c r="C41" s="3" t="s">
        <v>121</v>
      </c>
      <c r="D41" s="3"/>
      <c r="E41" s="3" t="s">
        <v>47</v>
      </c>
      <c r="F41" s="3" t="s">
        <v>120</v>
      </c>
      <c r="G41" s="26">
        <v>5000</v>
      </c>
      <c r="H41" s="39">
        <v>44161</v>
      </c>
      <c r="I41" s="39">
        <v>44161</v>
      </c>
      <c r="J41" s="39">
        <v>44161</v>
      </c>
    </row>
    <row r="42" spans="2:10" ht="31.15" customHeight="1" x14ac:dyDescent="0.3">
      <c r="B42" s="4"/>
      <c r="C42" s="5"/>
      <c r="D42" s="5"/>
      <c r="E42" s="5"/>
      <c r="F42" s="20" t="s">
        <v>20</v>
      </c>
      <c r="G42" s="27">
        <f>SUM(G7,G13,G20,G29,G37)</f>
        <v>575000</v>
      </c>
      <c r="H42" s="37"/>
      <c r="I42" s="37"/>
      <c r="J42" s="37"/>
    </row>
    <row r="44" spans="2:10" s="6" customFormat="1" ht="49.9" customHeight="1" x14ac:dyDescent="0.2">
      <c r="B44" s="21" t="s">
        <v>21</v>
      </c>
      <c r="C44" s="21"/>
      <c r="D44" s="21"/>
      <c r="E44" s="21"/>
      <c r="F44" s="21"/>
      <c r="G44" s="21"/>
      <c r="H44" s="21"/>
      <c r="I44" s="21"/>
      <c r="J44" s="21"/>
    </row>
  </sheetData>
  <mergeCells count="1">
    <mergeCell ref="B44:J44"/>
  </mergeCells>
  <hyperlinks>
    <hyperlink ref="B44:J44" r:id="rId1" display="CLICK HERE TO CREATE IN SMARTSHEET"/>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1:B2"/>
  <sheetViews>
    <sheetView showGridLines="0" workbookViewId="0">
      <selection activeCell="W47" sqref="W47"/>
    </sheetView>
  </sheetViews>
  <sheetFormatPr defaultColWidth="10.75" defaultRowHeight="15" x14ac:dyDescent="0.25"/>
  <cols>
    <col min="1" max="1" width="3.25" style="12" customWidth="1"/>
    <col min="2" max="2" width="88.25" style="12" customWidth="1"/>
    <col min="3" max="16384" width="10.75" style="12"/>
  </cols>
  <sheetData>
    <row r="1" spans="2:2" ht="19.899999999999999" customHeight="1" x14ac:dyDescent="0.25"/>
    <row r="2" spans="2:2" ht="105" customHeight="1" x14ac:dyDescent="0.25">
      <c r="B2" s="13" t="s">
        <v>22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Dictionary</vt:lpstr>
      <vt:lpstr>- Disclaimer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Tina</cp:lastModifiedBy>
  <dcterms:created xsi:type="dcterms:W3CDTF">2016-06-18T21:51:36Z</dcterms:created>
  <dcterms:modified xsi:type="dcterms:W3CDTF">2020-10-20T00:10:24Z</dcterms:modified>
</cp:coreProperties>
</file>