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habi\Desktop\ICT App Dev\ICT App Dev Year 4\PROFESSIONAL DEVELOPMENT 4 (PFD473S)\Semester 2\Term 3\T3 Assignment\"/>
    </mc:Choice>
  </mc:AlternateContent>
  <xr:revisionPtr revIDLastSave="0" documentId="13_ncr:1_{6630C524-114C-472A-A134-AA14F7A3579F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Cash Flow" sheetId="1" r:id="rId1"/>
    <sheet name="WBS" sheetId="2" r:id="rId2"/>
    <sheet name="Gantt" sheetId="3" r:id="rId3"/>
  </sheets>
  <definedNames>
    <definedName name="_xlnm._FilterDatabase" localSheetId="1" hidden="1">WBS!$A$4:$K$99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3" l="1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G110" i="2"/>
  <c r="G109" i="2"/>
  <c r="G108" i="2"/>
  <c r="G107" i="2"/>
  <c r="G106" i="2"/>
  <c r="G105" i="2"/>
  <c r="G104" i="2"/>
  <c r="G103" i="2"/>
  <c r="G100" i="2"/>
  <c r="I100" i="2" s="1"/>
  <c r="K99" i="2"/>
  <c r="J99" i="2"/>
  <c r="K98" i="2"/>
  <c r="J98" i="2"/>
  <c r="K97" i="2"/>
  <c r="J97" i="2"/>
  <c r="K96" i="2"/>
  <c r="J96" i="2"/>
  <c r="K95" i="2"/>
  <c r="J95" i="2"/>
  <c r="K94" i="2"/>
  <c r="J94" i="2"/>
  <c r="K93" i="2"/>
  <c r="J93" i="2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K68" i="2"/>
  <c r="J68" i="2"/>
  <c r="K67" i="2"/>
  <c r="J67" i="2"/>
  <c r="K66" i="2"/>
  <c r="J66" i="2"/>
  <c r="K65" i="2"/>
  <c r="J65" i="2"/>
  <c r="K64" i="2"/>
  <c r="J64" i="2"/>
  <c r="K63" i="2"/>
  <c r="J63" i="2"/>
  <c r="K62" i="2"/>
  <c r="J62" i="2"/>
  <c r="K61" i="2"/>
  <c r="J61" i="2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K36" i="2"/>
  <c r="J36" i="2"/>
  <c r="K35" i="2"/>
  <c r="J35" i="2"/>
  <c r="K34" i="2"/>
  <c r="J34" i="2"/>
  <c r="K33" i="2"/>
  <c r="J33" i="2"/>
  <c r="K32" i="2"/>
  <c r="J32" i="2"/>
  <c r="K31" i="2"/>
  <c r="J31" i="2"/>
  <c r="K30" i="2"/>
  <c r="J30" i="2"/>
  <c r="K29" i="2"/>
  <c r="J29" i="2"/>
  <c r="K28" i="2"/>
  <c r="J28" i="2"/>
  <c r="K27" i="2"/>
  <c r="J27" i="2"/>
  <c r="K26" i="2"/>
  <c r="J26" i="2"/>
  <c r="K25" i="2"/>
  <c r="J25" i="2"/>
  <c r="K24" i="2"/>
  <c r="J24" i="2"/>
  <c r="K23" i="2"/>
  <c r="J23" i="2"/>
  <c r="K22" i="2"/>
  <c r="J22" i="2"/>
  <c r="K21" i="2"/>
  <c r="J21" i="2"/>
  <c r="K20" i="2"/>
  <c r="J20" i="2"/>
  <c r="K19" i="2"/>
  <c r="J19" i="2"/>
  <c r="K18" i="2"/>
  <c r="J18" i="2"/>
  <c r="K17" i="2"/>
  <c r="J17" i="2"/>
  <c r="K16" i="2"/>
  <c r="J16" i="2"/>
  <c r="K15" i="2"/>
  <c r="J15" i="2"/>
  <c r="K14" i="2"/>
  <c r="J14" i="2"/>
  <c r="K13" i="2"/>
  <c r="J13" i="2"/>
  <c r="K12" i="2"/>
  <c r="J12" i="2"/>
  <c r="K11" i="2"/>
  <c r="J11" i="2"/>
  <c r="K10" i="2"/>
  <c r="J10" i="2"/>
  <c r="K9" i="2"/>
  <c r="J9" i="2"/>
  <c r="K8" i="2"/>
  <c r="J8" i="2"/>
  <c r="K7" i="2"/>
  <c r="J7" i="2"/>
  <c r="K6" i="2"/>
  <c r="J6" i="2"/>
  <c r="K5" i="2"/>
  <c r="J5" i="2"/>
  <c r="G17" i="1"/>
  <c r="G16" i="1"/>
  <c r="G18" i="1" s="1"/>
  <c r="F16" i="1"/>
  <c r="F17" i="1" s="1"/>
  <c r="E16" i="1"/>
  <c r="E17" i="1" s="1"/>
  <c r="D16" i="1"/>
  <c r="D17" i="1" s="1"/>
  <c r="C16" i="1"/>
  <c r="C17" i="1" s="1"/>
  <c r="B16" i="1"/>
  <c r="B17" i="1" s="1"/>
  <c r="H15" i="1"/>
  <c r="H14" i="1"/>
  <c r="H13" i="1"/>
  <c r="H12" i="1"/>
  <c r="H11" i="1"/>
  <c r="H10" i="1"/>
  <c r="H9" i="1"/>
  <c r="H8" i="1"/>
  <c r="H7" i="1"/>
  <c r="H6" i="1"/>
  <c r="H5" i="1"/>
  <c r="H16" i="1" s="1"/>
  <c r="H22" i="1" l="1"/>
  <c r="H17" i="1"/>
  <c r="H18" i="1" s="1"/>
  <c r="B18" i="1"/>
  <c r="B19" i="1" s="1"/>
  <c r="C18" i="1"/>
  <c r="D18" i="1"/>
  <c r="E18" i="1"/>
  <c r="F18" i="1"/>
  <c r="H24" i="1" l="1"/>
  <c r="H23" i="1"/>
  <c r="B20" i="1"/>
  <c r="C19" i="1"/>
  <c r="D19" i="1" l="1"/>
  <c r="C20" i="1"/>
  <c r="D20" i="1" l="1"/>
  <c r="E19" i="1"/>
  <c r="E20" i="1" l="1"/>
  <c r="F19" i="1"/>
  <c r="F20" i="1" l="1"/>
  <c r="G19" i="1"/>
  <c r="G20" i="1" s="1"/>
</calcChain>
</file>

<file path=xl/sharedStrings.xml><?xml version="1.0" encoding="utf-8"?>
<sst xmlns="http://schemas.openxmlformats.org/spreadsheetml/2006/main" count="658" uniqueCount="403">
  <si>
    <t>GCP ERP Migration: Monthly Cash Flow Projection (ZAR, excluding VAT)</t>
  </si>
  <si>
    <t>Karoo Retail Group | 5 Oct 2026 to 2 Apr 2027 | Matches SPMP Appendix B</t>
  </si>
  <si>
    <t>Cost line</t>
  </si>
  <si>
    <t>M1 (Oct)</t>
  </si>
  <si>
    <t>M2 (Nov)</t>
  </si>
  <si>
    <t>M3 (Dec)</t>
  </si>
  <si>
    <t>M4 (Jan)</t>
  </si>
  <si>
    <t>M5 (Feb)</t>
  </si>
  <si>
    <t>M6 (Mar)</t>
  </si>
  <si>
    <t>Total</t>
  </si>
  <si>
    <t>Labour (9 roles)</t>
  </si>
  <si>
    <t>GCP consumption</t>
  </si>
  <si>
    <t>Google Cloud Partner (MSP)</t>
  </si>
  <si>
    <t>Connectivity</t>
  </si>
  <si>
    <t>Security, identity and Looker licences</t>
  </si>
  <si>
    <t>Penetration test and POPIA review</t>
  </si>
  <si>
    <t>Training and certification</t>
  </si>
  <si>
    <t>Tooling</t>
  </si>
  <si>
    <t>Load-shedding resilience</t>
  </si>
  <si>
    <t>Travel</t>
  </si>
  <si>
    <t>Project office and miscellaneous</t>
  </si>
  <si>
    <t>Total direct cost</t>
  </si>
  <si>
    <t>Contingency (10% of direct)</t>
  </si>
  <si>
    <t>Planned spend incl. contingency</t>
  </si>
  <si>
    <t>Cumulative (cost baseline)</t>
  </si>
  <si>
    <t>Cumulative % of BAC</t>
  </si>
  <si>
    <t>Management reserve (5% of direct, SteerCo)</t>
  </si>
  <si>
    <t>Total funding envelope</t>
  </si>
  <si>
    <t>Check: BAC should equal R7,770,400</t>
  </si>
  <si>
    <t>GCP ERP Migration: Work Breakdown Structure and Dictionary (Level 3)</t>
  </si>
  <si>
    <t>Owner = accountable role; effort covers all roles working on the package. Total matches the 6,880 planned hours in SPMP Section 5.5.</t>
  </si>
  <si>
    <t>WBS ID</t>
  </si>
  <si>
    <t>Level</t>
  </si>
  <si>
    <t>Work package</t>
  </si>
  <si>
    <t>Level-1 phase</t>
  </si>
  <si>
    <t>Level-2 group</t>
  </si>
  <si>
    <t>Owner</t>
  </si>
  <si>
    <t>Effort (h)</t>
  </si>
  <si>
    <t>Start week</t>
  </si>
  <si>
    <t>End week</t>
  </si>
  <si>
    <t>Start date</t>
  </si>
  <si>
    <t>End date</t>
  </si>
  <si>
    <t>1.1.1</t>
  </si>
  <si>
    <t>Charter and mandate approved</t>
  </si>
  <si>
    <t>1.0 Initiation and Planning</t>
  </si>
  <si>
    <t>1.1 Project initiation</t>
  </si>
  <si>
    <t>PM</t>
  </si>
  <si>
    <t>1.1.2</t>
  </si>
  <si>
    <t>Stakeholder register and engagement plan</t>
  </si>
  <si>
    <t>BA</t>
  </si>
  <si>
    <t>1.1.3</t>
  </si>
  <si>
    <t>Governance set-up (SteerCo, CCB, RACI)</t>
  </si>
  <si>
    <t>1.2.1</t>
  </si>
  <si>
    <t>SPMP and management plans</t>
  </si>
  <si>
    <t>1.2 Project planning</t>
  </si>
  <si>
    <t>1.2.2</t>
  </si>
  <si>
    <t>Schedule, cost and resource baselines</t>
  </si>
  <si>
    <t>1.2.3</t>
  </si>
  <si>
    <t>Tooling and environments</t>
  </si>
  <si>
    <t>CE</t>
  </si>
  <si>
    <t>1.3.1</t>
  </si>
  <si>
    <t>Onboarding and access provisioning</t>
  </si>
  <si>
    <t>1.3 Team mobilisation</t>
  </si>
  <si>
    <t>1.3.2</t>
  </si>
  <si>
    <t>MSP and vendor RFQ issued</t>
  </si>
  <si>
    <t>2.1.1</t>
  </si>
  <si>
    <t>Migration Center discovery and inventory</t>
  </si>
  <si>
    <t>2.0 Discovery and Assessment</t>
  </si>
  <si>
    <t>2.1 Estate inventory</t>
  </si>
  <si>
    <t>SA</t>
  </si>
  <si>
    <t>2.1.2</t>
  </si>
  <si>
    <t>Dependency and 14-interface mapping</t>
  </si>
  <si>
    <t>AD</t>
  </si>
  <si>
    <t>2.1.3</t>
  </si>
  <si>
    <t>Licence and support-status review</t>
  </si>
  <si>
    <t>2.2.1</t>
  </si>
  <si>
    <t>Data profiling and quality baseline</t>
  </si>
  <si>
    <t>2.2 Data assessment</t>
  </si>
  <si>
    <t>DE</t>
  </si>
  <si>
    <t>2.2.2</t>
  </si>
  <si>
    <t>POPIA data classification and DPIA scoping</t>
  </si>
  <si>
    <t>SE</t>
  </si>
  <si>
    <t>2.2.3</t>
  </si>
  <si>
    <t>Volume, growth and cutover-window analysis</t>
  </si>
  <si>
    <t>2.3.1</t>
  </si>
  <si>
    <t>Business and BI requirements</t>
  </si>
  <si>
    <t>2.3 Requirements</t>
  </si>
  <si>
    <t>2.3.2</t>
  </si>
  <si>
    <t>Non-functional requirements</t>
  </si>
  <si>
    <t>2.3.3</t>
  </si>
  <si>
    <t>Compliance requirements</t>
  </si>
  <si>
    <t>2.4.1</t>
  </si>
  <si>
    <t>6R disposition per workload</t>
  </si>
  <si>
    <t>2.4 Migration strategy</t>
  </si>
  <si>
    <t>2.4.2</t>
  </si>
  <si>
    <t>TCO and GCP cost model</t>
  </si>
  <si>
    <t>2.4.3</t>
  </si>
  <si>
    <t>Migration and cutover approach</t>
  </si>
  <si>
    <t>2.4.4</t>
  </si>
  <si>
    <t>Assessment report and G2 pack</t>
  </si>
  <si>
    <t>3.1.1</t>
  </si>
  <si>
    <t>Solution architecture (HLD/LLD)</t>
  </si>
  <si>
    <t>3.0 Architecture and Landing Zone</t>
  </si>
  <si>
    <t>3.1 Target architecture</t>
  </si>
  <si>
    <t>3.1.2</t>
  </si>
  <si>
    <t>Network and connectivity design</t>
  </si>
  <si>
    <t>3.1.3</t>
  </si>
  <si>
    <t>Backup and DR design</t>
  </si>
  <si>
    <t>3.1.4</t>
  </si>
  <si>
    <t>Security and identity architecture</t>
  </si>
  <si>
    <t>3.2.1</t>
  </si>
  <si>
    <t>Resource hierarchy, Organization Policy, labelling</t>
  </si>
  <si>
    <t>3.2 Landing zone build</t>
  </si>
  <si>
    <t>3.2.2</t>
  </si>
  <si>
    <t>Hub-and-spoke network, firewall, DNS</t>
  </si>
  <si>
    <t>3.2.3</t>
  </si>
  <si>
    <t>Cloud VPN and Dedicated Interconnect connectivity</t>
  </si>
  <si>
    <t>3.2.4</t>
  </si>
  <si>
    <t>Monitoring, logging and Secret Manager</t>
  </si>
  <si>
    <t>3.2.5</t>
  </si>
  <si>
    <t>IaC pipelines and environments</t>
  </si>
  <si>
    <t>3.3.1</t>
  </si>
  <si>
    <t>Architecture Framework review</t>
  </si>
  <si>
    <t>3.3 Landing zone validation</t>
  </si>
  <si>
    <t>3.3.2</t>
  </si>
  <si>
    <t>Security baseline scan</t>
  </si>
  <si>
    <t>3.3.3</t>
  </si>
  <si>
    <t>G3 approval</t>
  </si>
  <si>
    <t>4.1.1</t>
  </si>
  <si>
    <t>Source-to-target mapping</t>
  </si>
  <si>
    <t>4.0 Build and Migration</t>
  </si>
  <si>
    <t>4.1 Data migration</t>
  </si>
  <si>
    <t>4.1.2</t>
  </si>
  <si>
    <t>Replication and ETL pipelines</t>
  </si>
  <si>
    <t>4.1.3</t>
  </si>
  <si>
    <t>Mock migration 1</t>
  </si>
  <si>
    <t>4.1.4</t>
  </si>
  <si>
    <t>Mock migration 2 (dress rehearsal)</t>
  </si>
  <si>
    <t>4.1.5</t>
  </si>
  <si>
    <t>Reconciliation reports</t>
  </si>
  <si>
    <t>4.2.1</t>
  </si>
  <si>
    <t>ERP application-tier replatform to Compute Engine</t>
  </si>
  <si>
    <t>4.2 Application modernisation</t>
  </si>
  <si>
    <t>4.2.2</t>
  </si>
  <si>
    <t>Database replatform to Cloud SQL for SQL Server</t>
  </si>
  <si>
    <t>4.2.3</t>
  </si>
  <si>
    <t>Integration layer for 14 interfaces</t>
  </si>
  <si>
    <t>4.2.4</t>
  </si>
  <si>
    <t>CI/CD pipelines</t>
  </si>
  <si>
    <t>4.2.5</t>
  </si>
  <si>
    <t>Reporting decoupled from OLTP</t>
  </si>
  <si>
    <t>4.3.1</t>
  </si>
  <si>
    <t>Cloud Identity tenant and hybrid synchronisation</t>
  </si>
  <si>
    <t>4.3 Identity and access management</t>
  </si>
  <si>
    <t>4.3.2</t>
  </si>
  <si>
    <t>MFA and Context-Aware Access</t>
  </si>
  <si>
    <t>4.3.3</t>
  </si>
  <si>
    <t>RBAC, PAM and joiner-mover-leaver process</t>
  </si>
  <si>
    <t>4.3.4</t>
  </si>
  <si>
    <t>ERP single sign-on</t>
  </si>
  <si>
    <t>4.4.1</t>
  </si>
  <si>
    <t>BigQuery reporting dataset and semantic views</t>
  </si>
  <si>
    <t>4.4 Looker analytics layer</t>
  </si>
  <si>
    <t>BI</t>
  </si>
  <si>
    <t>4.4.2</t>
  </si>
  <si>
    <t>Reports and dashboards</t>
  </si>
  <si>
    <t>4.4.3</t>
  </si>
  <si>
    <t>Row-level security and governance</t>
  </si>
  <si>
    <t>4.4.4</t>
  </si>
  <si>
    <t>Dataform pipeline and refresh scheduling</t>
  </si>
  <si>
    <t>5.1.1</t>
  </si>
  <si>
    <t>Test strategy and cases</t>
  </si>
  <si>
    <t>5.0 Testing, Hardening and Readiness</t>
  </si>
  <si>
    <t>5.1 Test planning and SIT</t>
  </si>
  <si>
    <t>QA</t>
  </si>
  <si>
    <t>5.1.2</t>
  </si>
  <si>
    <t>SIT execution</t>
  </si>
  <si>
    <t>5.1.3</t>
  </si>
  <si>
    <t>Defect triage and regression</t>
  </si>
  <si>
    <t>5.2.1</t>
  </si>
  <si>
    <t>CIS benchmark hardening</t>
  </si>
  <si>
    <t>5.2 Security hardening</t>
  </si>
  <si>
    <t>5.2.2</t>
  </si>
  <si>
    <t>Security Command Center findings remediation</t>
  </si>
  <si>
    <t>5.2.3</t>
  </si>
  <si>
    <t>Independent penetration test and remediation</t>
  </si>
  <si>
    <t>5.2.4</t>
  </si>
  <si>
    <t>POPIA compliance review and DPIA</t>
  </si>
  <si>
    <t>5.3.1</t>
  </si>
  <si>
    <t>Performance and load testing</t>
  </si>
  <si>
    <t>5.3 Performance and DR testing</t>
  </si>
  <si>
    <t>5.3.2</t>
  </si>
  <si>
    <t>DR failover test</t>
  </si>
  <si>
    <t>5.3.3</t>
  </si>
  <si>
    <t>Backup and restore test</t>
  </si>
  <si>
    <t>5.4.1</t>
  </si>
  <si>
    <t>UAT execution</t>
  </si>
  <si>
    <t>5.4 UAT and readiness</t>
  </si>
  <si>
    <t>5.4.2</t>
  </si>
  <si>
    <t>End-user training and communications</t>
  </si>
  <si>
    <t>5.4.3</t>
  </si>
  <si>
    <t>Operational readiness and runbooks</t>
  </si>
  <si>
    <t>5.4.4</t>
  </si>
  <si>
    <t>Go/No-Go (G6)</t>
  </si>
  <si>
    <t>6.1.1</t>
  </si>
  <si>
    <t>Cutover runbook (timed)</t>
  </si>
  <si>
    <t>6.0 Cutover and Go-Live</t>
  </si>
  <si>
    <t>6.1 Cutover planning</t>
  </si>
  <si>
    <t>6.1.2</t>
  </si>
  <si>
    <t>Rollback plan and decision points</t>
  </si>
  <si>
    <t>6.1.3</t>
  </si>
  <si>
    <t>Trading freeze and communications</t>
  </si>
  <si>
    <t>6.2.1</t>
  </si>
  <si>
    <t>Final data synchronisation</t>
  </si>
  <si>
    <t>6.2 Cutover execution</t>
  </si>
  <si>
    <t>6.2.2</t>
  </si>
  <si>
    <t>Integration and DNS switch</t>
  </si>
  <si>
    <t>6.2.3</t>
  </si>
  <si>
    <t>Smoke tests and business sign-off</t>
  </si>
  <si>
    <t>6.3.1</t>
  </si>
  <si>
    <t>Legacy set to read-only</t>
  </si>
  <si>
    <t>6.3 Legacy retirement preparation</t>
  </si>
  <si>
    <t>6.3.2</t>
  </si>
  <si>
    <t>Archive and decommission plan</t>
  </si>
  <si>
    <t>7.1.1</t>
  </si>
  <si>
    <t>Daily triage (command centre)</t>
  </si>
  <si>
    <t>7.0 Hypercare and Closure</t>
  </si>
  <si>
    <t>7.1 Hypercare</t>
  </si>
  <si>
    <t>7.1.2</t>
  </si>
  <si>
    <t>Performance tuning and cost optimisation</t>
  </si>
  <si>
    <t>7.1.3</t>
  </si>
  <si>
    <t>Parallel-run reconciliation</t>
  </si>
  <si>
    <t>7.2.1</t>
  </si>
  <si>
    <t>Knowledge transfer</t>
  </si>
  <si>
    <t>7.2 Transition to operations</t>
  </si>
  <si>
    <t>7.2.2</t>
  </si>
  <si>
    <t>Support model and SLAs</t>
  </si>
  <si>
    <t>7.2.3</t>
  </si>
  <si>
    <t>Operations acceptance</t>
  </si>
  <si>
    <t>7.3.1</t>
  </si>
  <si>
    <t>Sponsor acceptance (G7)</t>
  </si>
  <si>
    <t>7.3 Project closure</t>
  </si>
  <si>
    <t>7.3.2</t>
  </si>
  <si>
    <t>Lessons learned</t>
  </si>
  <si>
    <t>7.3.3</t>
  </si>
  <si>
    <t>Benefits realisation plan</t>
  </si>
  <si>
    <t>7.3.4</t>
  </si>
  <si>
    <t>Final report and archive</t>
  </si>
  <si>
    <t>8.1.1</t>
  </si>
  <si>
    <t>Status reporting and SteerCo</t>
  </si>
  <si>
    <t>8.0 PM, Quality and Governance</t>
  </si>
  <si>
    <t>8.1 Project management</t>
  </si>
  <si>
    <t>8.1.2</t>
  </si>
  <si>
    <t>Risk and issue management</t>
  </si>
  <si>
    <t>8.1.3</t>
  </si>
  <si>
    <t>Change control</t>
  </si>
  <si>
    <t>8.2.1</t>
  </si>
  <si>
    <t>Quality plan, reviews and audits</t>
  </si>
  <si>
    <t>8.2 Quality management</t>
  </si>
  <si>
    <t>8.2.2</t>
  </si>
  <si>
    <t>Metrics collection and reporting</t>
  </si>
  <si>
    <t>8.2.3</t>
  </si>
  <si>
    <t>Process-improvement actions</t>
  </si>
  <si>
    <t>8.3.1</t>
  </si>
  <si>
    <t>Repositories and branching</t>
  </si>
  <si>
    <t>8.3 Configuration management</t>
  </si>
  <si>
    <t>8.3.2</t>
  </si>
  <si>
    <t>Baselines and release management</t>
  </si>
  <si>
    <t>8.3.3</t>
  </si>
  <si>
    <t>Configuration audits (FCA/PCA)</t>
  </si>
  <si>
    <t>8.4.1</t>
  </si>
  <si>
    <t>RFQ, evaluation and award</t>
  </si>
  <si>
    <t>8.4 Procurement</t>
  </si>
  <si>
    <t>8.4.2</t>
  </si>
  <si>
    <t>Contract and licence administration</t>
  </si>
  <si>
    <t>8.4.3</t>
  </si>
  <si>
    <t>Vendor performance reviews</t>
  </si>
  <si>
    <t>Total planned effort</t>
  </si>
  <si>
    <t>Check</t>
  </si>
  <si>
    <t>Effort by phase</t>
  </si>
  <si>
    <t>GCP ERP Migration: Gantt Chart (26 weeks, 5 Oct 2026 to 2 Apr 2027)</t>
  </si>
  <si>
    <t>Bars are drawn by conditional formatting from the Start/End week columns; change a week and the bar moves. Red = critical path. Can be imported into MS Project.</t>
  </si>
  <si>
    <t>ID</t>
  </si>
  <si>
    <t>Task</t>
  </si>
  <si>
    <t>Start wk</t>
  </si>
  <si>
    <t>End wk</t>
  </si>
  <si>
    <t>Critical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</si>
  <si>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</si>
  <si>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</si>
  <si>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</si>
  <si>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</si>
  <si>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</si>
  <si>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</si>
  <si>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</si>
  <si>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</si>
  <si>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</si>
  <si>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</si>
  <si>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</si>
  <si>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</si>
  <si>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</si>
  <si>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</si>
  <si>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</si>
  <si>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</si>
  <si>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</si>
  <si>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</si>
  <si>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</si>
  <si>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</si>
  <si>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</si>
  <si>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</si>
  <si>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</si>
  <si>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</si>
  <si>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</si>
  <si>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</si>
  <si>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1.0</t>
  </si>
  <si>
    <t>Initiation and Planning</t>
  </si>
  <si>
    <t>1.1</t>
  </si>
  <si>
    <t xml:space="preserve">   Project initiation</t>
  </si>
  <si>
    <t>1.2</t>
  </si>
  <si>
    <t xml:space="preserve">   Project planning</t>
  </si>
  <si>
    <t>1.3</t>
  </si>
  <si>
    <t xml:space="preserve">   Team mobilisation</t>
  </si>
  <si>
    <t>2.0</t>
  </si>
  <si>
    <t>Discovery and Assessment</t>
  </si>
  <si>
    <t>2.1</t>
  </si>
  <si>
    <t xml:space="preserve">   Estate inventory</t>
  </si>
  <si>
    <t>2.2</t>
  </si>
  <si>
    <t xml:space="preserve">   Data assessment</t>
  </si>
  <si>
    <t>2.3</t>
  </si>
  <si>
    <t xml:space="preserve">   Requirements</t>
  </si>
  <si>
    <t>2.4</t>
  </si>
  <si>
    <t xml:space="preserve">   Migration strategy</t>
  </si>
  <si>
    <t>3.0</t>
  </si>
  <si>
    <t>Architecture and Landing Zone</t>
  </si>
  <si>
    <t>3.1</t>
  </si>
  <si>
    <t xml:space="preserve">   Target architecture</t>
  </si>
  <si>
    <t>3.2</t>
  </si>
  <si>
    <t xml:space="preserve">   Landing zone build</t>
  </si>
  <si>
    <t>3.3</t>
  </si>
  <si>
    <t xml:space="preserve">   Landing zone validation</t>
  </si>
  <si>
    <t>4.0</t>
  </si>
  <si>
    <t>Build and Migration</t>
  </si>
  <si>
    <t>4.1</t>
  </si>
  <si>
    <t xml:space="preserve">   Data migration</t>
  </si>
  <si>
    <t>4.2</t>
  </si>
  <si>
    <t xml:space="preserve">   Application modernisation</t>
  </si>
  <si>
    <t>4.3</t>
  </si>
  <si>
    <t xml:space="preserve">   Identity and access management</t>
  </si>
  <si>
    <t>4.4</t>
  </si>
  <si>
    <t xml:space="preserve">   Looker analytics layer</t>
  </si>
  <si>
    <t>5.0</t>
  </si>
  <si>
    <t>Testing, Hardening and Readiness</t>
  </si>
  <si>
    <t>5.1</t>
  </si>
  <si>
    <t xml:space="preserve">   Test planning and SIT</t>
  </si>
  <si>
    <t>5.2</t>
  </si>
  <si>
    <t xml:space="preserve">   Security hardening</t>
  </si>
  <si>
    <t>5.3</t>
  </si>
  <si>
    <t xml:space="preserve">   Performance and DR testing</t>
  </si>
  <si>
    <t>5.4</t>
  </si>
  <si>
    <t xml:space="preserve">   UAT and readiness</t>
  </si>
  <si>
    <t>6.0</t>
  </si>
  <si>
    <t>Cutover and Go-Live</t>
  </si>
  <si>
    <t>6.1</t>
  </si>
  <si>
    <t xml:space="preserve">   Cutover planning</t>
  </si>
  <si>
    <t>6.2</t>
  </si>
  <si>
    <t xml:space="preserve">   Cutover execution</t>
  </si>
  <si>
    <t>6.3</t>
  </si>
  <si>
    <t xml:space="preserve">   Legacy retirement preparation</t>
  </si>
  <si>
    <t>7.0</t>
  </si>
  <si>
    <t>Hypercare and Closure</t>
  </si>
  <si>
    <t>7.1</t>
  </si>
  <si>
    <t xml:space="preserve">   Hypercare</t>
  </si>
  <si>
    <t>7.2</t>
  </si>
  <si>
    <t xml:space="preserve">   Transition to operations</t>
  </si>
  <si>
    <t>7.3</t>
  </si>
  <si>
    <t xml:space="preserve">   Project closure</t>
  </si>
  <si>
    <t>8.0</t>
  </si>
  <si>
    <t>PM, Quality and Governance</t>
  </si>
  <si>
    <t>8.1</t>
  </si>
  <si>
    <t xml:space="preserve">   Project management</t>
  </si>
  <si>
    <t>8.2</t>
  </si>
  <si>
    <t xml:space="preserve">   Quality management</t>
  </si>
  <si>
    <t>8.3</t>
  </si>
  <si>
    <t xml:space="preserve">   Configuration management</t>
  </si>
  <si>
    <t>8.4</t>
  </si>
  <si>
    <t xml:space="preserve">   Procurement</t>
  </si>
  <si>
    <t>M1</t>
  </si>
  <si>
    <t>◆ G1 SPMP approved</t>
  </si>
  <si>
    <t>M</t>
  </si>
  <si>
    <t>M2</t>
  </si>
  <si>
    <t>◆ G2 Strategy approved</t>
  </si>
  <si>
    <t>M3</t>
  </si>
  <si>
    <t>◆ G3 Landing zone live</t>
  </si>
  <si>
    <t>M4</t>
  </si>
  <si>
    <t>◆ G4 Mock 1</t>
  </si>
  <si>
    <t>M5</t>
  </si>
  <si>
    <t>◆ G5 Build complete, Mock 2</t>
  </si>
  <si>
    <t>M6</t>
  </si>
  <si>
    <t>◆ G6 Go/No-Go</t>
  </si>
  <si>
    <t>M7</t>
  </si>
  <si>
    <t>◆ Go-live (12–14 Mar)</t>
  </si>
  <si>
    <t>M8</t>
  </si>
  <si>
    <t>◆ G7 Closure</t>
  </si>
  <si>
    <t>Legend: blue = activity; red = critical path; gold = milestone. Critical column: 1 = critical, 0 = has float.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</si>
</sst>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dd\ mmm\ yyyy"/>
  </numFmts>
  <fonts count="6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3" fontId="0" fillId="0" borderId="0" xfId="0" applyNumberFormat="1"/>
    <xf numFmtId="0" fontId="3" fillId="0" borderId="0" xfId="0" applyFont="1"/>
    <xf numFmtId="3" fontId="3" fillId="0" borderId="0" xfId="0" applyNumberFormat="1" applyFont="1"/>
    <xf numFmtId="0" fontId="4" fillId="0" borderId="0" xfId="0" applyFont="1"/>
    <xf numFmtId="3" fontId="4" fillId="0" borderId="0" xfId="0" applyNumberFormat="1" applyFont="1"/>
    <xf numFmtId="164" fontId="0" fillId="0" borderId="0" xfId="0" applyNumberFormat="1"/>
    <xf numFmtId="0" fontId="0" fillId="0" borderId="1" xfId="0" applyBorder="1"/>
    <xf numFmtId="165" fontId="0" fillId="0" borderId="1" xfId="0" applyNumberFormat="1" applyBorder="1"/>
    <xf numFmtId="16" fontId="5" fillId="0" borderId="0" xfId="0" applyNumberFormat="1" applyFont="1" applyAlignment="1">
      <alignment textRotation="90"/>
    </xf>
    <xf numFmtId="0" fontId="3" fillId="0" borderId="1" xfId="0" applyFont="1" applyBorder="1"/>
  </cellXfs>
  <cellStyles count="1">
    <cellStyle name="Normal" xfId="0" builtinId="0"/>
  </cellStyles>
  <dxfs count="3">
    <dxf>
      <fill>
        <patternFill patternType="solid">
          <fgColor rgb="FF2E75B6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ZA"/>
              <a:t>Monthly and cumulative planned spend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6.4557779212395094E-3"/>
          <c:y val="2.1909233176838811E-2"/>
          <c:w val="0.97159457714654618"/>
          <c:h val="0.93114241001564946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'Cash Flow'!$A$18</c:f>
              <c:strCache>
                <c:ptCount val="1"/>
                <c:pt idx="0">
                  <c:v>Planned spend incl. contingency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'Cash Flow'!$B$4:$G$4</c:f>
              <c:strCache>
                <c:ptCount val="6"/>
                <c:pt idx="0">
                  <c:v>M1 (Oct)</c:v>
                </c:pt>
                <c:pt idx="1">
                  <c:v>M2 (Nov)</c:v>
                </c:pt>
                <c:pt idx="2">
                  <c:v>M3 (Dec)</c:v>
                </c:pt>
                <c:pt idx="3">
                  <c:v>M4 (Jan)</c:v>
                </c:pt>
                <c:pt idx="4">
                  <c:v>M5 (Feb)</c:v>
                </c:pt>
                <c:pt idx="5">
                  <c:v>M6 (Mar)</c:v>
                </c:pt>
              </c:strCache>
            </c:strRef>
          </c:cat>
          <c:val>
            <c:numRef>
              <c:f>'Cash Flow'!$B$18:$G$18</c:f>
              <c:numCache>
                <c:formatCode>#,##0</c:formatCode>
                <c:ptCount val="6"/>
                <c:pt idx="0">
                  <c:v>741400</c:v>
                </c:pt>
                <c:pt idx="1">
                  <c:v>1136850</c:v>
                </c:pt>
                <c:pt idx="2">
                  <c:v>1232550</c:v>
                </c:pt>
                <c:pt idx="3">
                  <c:v>1302400</c:v>
                </c:pt>
                <c:pt idx="4">
                  <c:v>1601600</c:v>
                </c:pt>
                <c:pt idx="5">
                  <c:v>1755600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61-4C6C-9592-98418AAFB4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1"/>
        <c:ser>
          <c:idx val="1"/>
          <c:order val="1"/>
          <c:tx>
            <c:strRef>
              <c:f>'Cash Flow'!$A$19</c:f>
              <c:strCache>
                <c:ptCount val="1"/>
                <c:pt idx="0">
                  <c:v>Cumulative (cost baseline)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'Cash Flow'!$B$19:$G$19</c:f>
              <c:numCache>
                <c:formatCode>#,##0</c:formatCode>
                <c:ptCount val="6"/>
                <c:pt idx="0">
                  <c:v>741400</c:v>
                </c:pt>
                <c:pt idx="1">
                  <c:v>1878250</c:v>
                </c:pt>
                <c:pt idx="2">
                  <c:v>3110800</c:v>
                </c:pt>
                <c:pt idx="3">
                  <c:v>4413200</c:v>
                </c:pt>
                <c:pt idx="4">
                  <c:v>6014800</c:v>
                </c:pt>
                <c:pt idx="5">
                  <c:v>7770400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961-4C6C-9592-98418AAFB4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R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  <c:valAx>
        <c:axId val="200"/>
        <c:scaling>
          <c:orientation val="minMax"/>
        </c:scaling>
        <c:delete val="1"/>
        <c:axPos val="r"/>
        <c:majorGridlines/>
        <c:numFmt formatCode="#,##0" sourceLinked="1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8.6498172557352218E-2"/>
          <c:y val="4.0703116335810134E-2"/>
          <c:w val="0.22015124985229506"/>
          <c:h val="0.12987583333333333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25</xdr:row>
      <xdr:rowOff>0</xdr:rowOff>
    </xdr:from>
    <xdr:ext cx="9836150" cy="40576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workbookViewId="0">
      <pane xSplit="1" ySplit="4" topLeftCell="B5" activePane="bottomRight" state="frozen"/>
      <selection pane="topRight"/>
      <selection pane="bottomLeft"/>
      <selection pane="bottomRight" activeCell="I39" sqref="I39"/>
    </sheetView>
  </sheetViews>
  <sheetFormatPr defaultRowHeight="14.5" x14ac:dyDescent="0.35"/>
  <cols>
    <col min="1" max="1" width="42" customWidth="1"/>
    <col min="2" max="8" width="13" customWidth="1"/>
  </cols>
  <sheetData>
    <row r="1" spans="1:8" ht="17" x14ac:dyDescent="0.4">
      <c r="A1" s="1" t="s">
        <v>0</v>
      </c>
    </row>
    <row r="2" spans="1:8" x14ac:dyDescent="0.35">
      <c r="A2" t="s">
        <v>1</v>
      </c>
    </row>
    <row r="4" spans="1:8" x14ac:dyDescent="0.3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</row>
    <row r="5" spans="1:8" x14ac:dyDescent="0.35">
      <c r="A5" t="s">
        <v>10</v>
      </c>
      <c r="B5" s="3">
        <v>589000</v>
      </c>
      <c r="C5" s="3">
        <v>760500</v>
      </c>
      <c r="D5" s="3">
        <v>782500</v>
      </c>
      <c r="E5" s="3">
        <v>856000</v>
      </c>
      <c r="F5" s="3">
        <v>933000</v>
      </c>
      <c r="G5" s="3">
        <v>958000</v>
      </c>
      <c r="H5" s="3">
        <f t="shared" ref="H5:H15" si="0">SUM(B5:G5)</f>
        <v>4879000</v>
      </c>
    </row>
    <row r="6" spans="1:8" x14ac:dyDescent="0.35">
      <c r="A6" t="s">
        <v>11</v>
      </c>
      <c r="B6" s="3">
        <v>0</v>
      </c>
      <c r="C6" s="3">
        <v>30000</v>
      </c>
      <c r="D6" s="3">
        <v>90000</v>
      </c>
      <c r="E6" s="3">
        <v>110000</v>
      </c>
      <c r="F6" s="3">
        <v>150000</v>
      </c>
      <c r="G6" s="3">
        <v>240000</v>
      </c>
      <c r="H6" s="3">
        <f t="shared" si="0"/>
        <v>620000</v>
      </c>
    </row>
    <row r="7" spans="1:8" x14ac:dyDescent="0.35">
      <c r="A7" t="s">
        <v>12</v>
      </c>
      <c r="B7" s="3">
        <v>0</v>
      </c>
      <c r="C7" s="3">
        <v>100000</v>
      </c>
      <c r="D7" s="3">
        <v>100000</v>
      </c>
      <c r="E7" s="3">
        <v>60000</v>
      </c>
      <c r="F7" s="3">
        <v>60000</v>
      </c>
      <c r="G7" s="3">
        <v>130000</v>
      </c>
      <c r="H7" s="3">
        <f t="shared" si="0"/>
        <v>450000</v>
      </c>
    </row>
    <row r="8" spans="1:8" x14ac:dyDescent="0.35">
      <c r="A8" t="s">
        <v>13</v>
      </c>
      <c r="B8" s="3">
        <v>0</v>
      </c>
      <c r="C8" s="3">
        <v>40000</v>
      </c>
      <c r="D8" s="3">
        <v>50000</v>
      </c>
      <c r="E8" s="3">
        <v>30000</v>
      </c>
      <c r="F8" s="3">
        <v>30000</v>
      </c>
      <c r="G8" s="3">
        <v>30000</v>
      </c>
      <c r="H8" s="3">
        <f t="shared" si="0"/>
        <v>180000</v>
      </c>
    </row>
    <row r="9" spans="1:8" x14ac:dyDescent="0.35">
      <c r="A9" t="s">
        <v>14</v>
      </c>
      <c r="B9" s="3">
        <v>0</v>
      </c>
      <c r="C9" s="3">
        <v>20000</v>
      </c>
      <c r="D9" s="3">
        <v>30000</v>
      </c>
      <c r="E9" s="3">
        <v>60000</v>
      </c>
      <c r="F9" s="3">
        <v>60000</v>
      </c>
      <c r="G9" s="3">
        <v>65000</v>
      </c>
      <c r="H9" s="3">
        <f t="shared" si="0"/>
        <v>235000</v>
      </c>
    </row>
    <row r="10" spans="1:8" x14ac:dyDescent="0.35">
      <c r="A10" t="s">
        <v>15</v>
      </c>
      <c r="B10" s="3">
        <v>0</v>
      </c>
      <c r="C10" s="3">
        <v>0</v>
      </c>
      <c r="D10" s="3">
        <v>0</v>
      </c>
      <c r="E10" s="3">
        <v>0</v>
      </c>
      <c r="F10" s="3">
        <v>150000</v>
      </c>
      <c r="G10" s="3">
        <v>70000</v>
      </c>
      <c r="H10" s="3">
        <f t="shared" si="0"/>
        <v>220000</v>
      </c>
    </row>
    <row r="11" spans="1:8" x14ac:dyDescent="0.35">
      <c r="A11" t="s">
        <v>16</v>
      </c>
      <c r="B11" s="3">
        <v>0</v>
      </c>
      <c r="C11" s="3">
        <v>20000</v>
      </c>
      <c r="D11" s="3">
        <v>20000</v>
      </c>
      <c r="E11" s="3">
        <v>25000</v>
      </c>
      <c r="F11" s="3">
        <v>35000</v>
      </c>
      <c r="G11" s="3">
        <v>60000</v>
      </c>
      <c r="H11" s="3">
        <f t="shared" si="0"/>
        <v>160000</v>
      </c>
    </row>
    <row r="12" spans="1:8" x14ac:dyDescent="0.35">
      <c r="A12" t="s">
        <v>17</v>
      </c>
      <c r="B12" s="3">
        <v>30000</v>
      </c>
      <c r="C12" s="3">
        <v>20000</v>
      </c>
      <c r="D12" s="3">
        <v>20000</v>
      </c>
      <c r="E12" s="3">
        <v>20000</v>
      </c>
      <c r="F12" s="3">
        <v>15000</v>
      </c>
      <c r="G12" s="3">
        <v>15000</v>
      </c>
      <c r="H12" s="3">
        <f t="shared" si="0"/>
        <v>120000</v>
      </c>
    </row>
    <row r="13" spans="1:8" x14ac:dyDescent="0.35">
      <c r="A13" t="s">
        <v>18</v>
      </c>
      <c r="B13" s="3">
        <v>30000</v>
      </c>
      <c r="C13" s="3">
        <v>20000</v>
      </c>
      <c r="D13" s="3">
        <v>10000</v>
      </c>
      <c r="E13" s="3">
        <v>0</v>
      </c>
      <c r="F13" s="3">
        <v>0</v>
      </c>
      <c r="G13" s="3">
        <v>0</v>
      </c>
      <c r="H13" s="3">
        <f t="shared" si="0"/>
        <v>60000</v>
      </c>
    </row>
    <row r="14" spans="1:8" x14ac:dyDescent="0.35">
      <c r="A14" t="s">
        <v>19</v>
      </c>
      <c r="B14" s="3">
        <v>15000</v>
      </c>
      <c r="C14" s="3">
        <v>15000</v>
      </c>
      <c r="D14" s="3">
        <v>10000</v>
      </c>
      <c r="E14" s="3">
        <v>15000</v>
      </c>
      <c r="F14" s="3">
        <v>15000</v>
      </c>
      <c r="G14" s="3">
        <v>20000</v>
      </c>
      <c r="H14" s="3">
        <f t="shared" si="0"/>
        <v>90000</v>
      </c>
    </row>
    <row r="15" spans="1:8" x14ac:dyDescent="0.35">
      <c r="A15" t="s">
        <v>20</v>
      </c>
      <c r="B15" s="3">
        <v>10000</v>
      </c>
      <c r="C15" s="3">
        <v>8000</v>
      </c>
      <c r="D15" s="3">
        <v>8000</v>
      </c>
      <c r="E15" s="3">
        <v>8000</v>
      </c>
      <c r="F15" s="3">
        <v>8000</v>
      </c>
      <c r="G15" s="3">
        <v>8000</v>
      </c>
      <c r="H15" s="3">
        <f t="shared" si="0"/>
        <v>50000</v>
      </c>
    </row>
    <row r="16" spans="1:8" x14ac:dyDescent="0.35">
      <c r="A16" s="4" t="s">
        <v>21</v>
      </c>
      <c r="B16" s="5">
        <f t="shared" ref="B16:H16" si="1">SUM(B5:B15)</f>
        <v>674000</v>
      </c>
      <c r="C16" s="5">
        <f t="shared" si="1"/>
        <v>1033500</v>
      </c>
      <c r="D16" s="5">
        <f t="shared" si="1"/>
        <v>1120500</v>
      </c>
      <c r="E16" s="5">
        <f t="shared" si="1"/>
        <v>1184000</v>
      </c>
      <c r="F16" s="5">
        <f t="shared" si="1"/>
        <v>1456000</v>
      </c>
      <c r="G16" s="5">
        <f t="shared" si="1"/>
        <v>1596000</v>
      </c>
      <c r="H16" s="5">
        <f t="shared" si="1"/>
        <v>7064000</v>
      </c>
    </row>
    <row r="17" spans="1:8" x14ac:dyDescent="0.35">
      <c r="A17" s="6" t="s">
        <v>22</v>
      </c>
      <c r="B17" s="7">
        <f t="shared" ref="B17:H17" si="2">B16*0.1</f>
        <v>67400</v>
      </c>
      <c r="C17" s="7">
        <f t="shared" si="2"/>
        <v>103350</v>
      </c>
      <c r="D17" s="7">
        <f t="shared" si="2"/>
        <v>112050</v>
      </c>
      <c r="E17" s="7">
        <f t="shared" si="2"/>
        <v>118400</v>
      </c>
      <c r="F17" s="7">
        <f t="shared" si="2"/>
        <v>145600</v>
      </c>
      <c r="G17" s="7">
        <f t="shared" si="2"/>
        <v>159600</v>
      </c>
      <c r="H17" s="7">
        <f t="shared" si="2"/>
        <v>706400</v>
      </c>
    </row>
    <row r="18" spans="1:8" x14ac:dyDescent="0.35">
      <c r="A18" s="4" t="s">
        <v>23</v>
      </c>
      <c r="B18" s="5">
        <f t="shared" ref="B18:H18" si="3">B16+B17</f>
        <v>741400</v>
      </c>
      <c r="C18" s="5">
        <f t="shared" si="3"/>
        <v>1136850</v>
      </c>
      <c r="D18" s="5">
        <f t="shared" si="3"/>
        <v>1232550</v>
      </c>
      <c r="E18" s="5">
        <f t="shared" si="3"/>
        <v>1302400</v>
      </c>
      <c r="F18" s="5">
        <f t="shared" si="3"/>
        <v>1601600</v>
      </c>
      <c r="G18" s="5">
        <f t="shared" si="3"/>
        <v>1755600</v>
      </c>
      <c r="H18" s="5">
        <f t="shared" si="3"/>
        <v>7770400</v>
      </c>
    </row>
    <row r="19" spans="1:8" x14ac:dyDescent="0.35">
      <c r="A19" s="4" t="s">
        <v>24</v>
      </c>
      <c r="B19" s="3">
        <f>B18</f>
        <v>741400</v>
      </c>
      <c r="C19" s="3">
        <f>B19+C18</f>
        <v>1878250</v>
      </c>
      <c r="D19" s="3">
        <f>C19+D18</f>
        <v>3110800</v>
      </c>
      <c r="E19" s="3">
        <f>D19+E18</f>
        <v>4413200</v>
      </c>
      <c r="F19" s="3">
        <f>E19+F18</f>
        <v>6014800</v>
      </c>
      <c r="G19" s="3">
        <f>F19+G18</f>
        <v>7770400</v>
      </c>
      <c r="H19" s="3"/>
    </row>
    <row r="20" spans="1:8" x14ac:dyDescent="0.35">
      <c r="A20" t="s">
        <v>25</v>
      </c>
      <c r="B20" s="8">
        <f t="shared" ref="B20:G20" si="4">B19/$H$18</f>
        <v>9.5413363533408832E-2</v>
      </c>
      <c r="C20" s="8">
        <f t="shared" si="4"/>
        <v>0.24171857304643263</v>
      </c>
      <c r="D20" s="8">
        <f t="shared" si="4"/>
        <v>0.40033975084937712</v>
      </c>
      <c r="E20" s="8">
        <f t="shared" si="4"/>
        <v>0.56795016987542468</v>
      </c>
      <c r="F20" s="8">
        <f t="shared" si="4"/>
        <v>0.77406568516421292</v>
      </c>
      <c r="G20" s="8">
        <f t="shared" si="4"/>
        <v>1</v>
      </c>
      <c r="H20" s="3"/>
    </row>
    <row r="21" spans="1:8" x14ac:dyDescent="0.35">
      <c r="B21" s="3"/>
      <c r="C21" s="3"/>
      <c r="D21" s="3"/>
      <c r="E21" s="3"/>
      <c r="F21" s="3"/>
      <c r="G21" s="3"/>
      <c r="H21" s="3"/>
    </row>
    <row r="22" spans="1:8" x14ac:dyDescent="0.35">
      <c r="A22" t="s">
        <v>26</v>
      </c>
      <c r="B22" s="3"/>
      <c r="C22" s="3"/>
      <c r="D22" s="3"/>
      <c r="E22" s="3"/>
      <c r="F22" s="3"/>
      <c r="G22" s="3"/>
      <c r="H22" s="3">
        <f>H16*0.05</f>
        <v>353200</v>
      </c>
    </row>
    <row r="23" spans="1:8" x14ac:dyDescent="0.35">
      <c r="A23" s="4" t="s">
        <v>27</v>
      </c>
      <c r="B23" s="3"/>
      <c r="C23" s="3"/>
      <c r="D23" s="3"/>
      <c r="E23" s="3"/>
      <c r="F23" s="3"/>
      <c r="G23" s="3"/>
      <c r="H23" s="5">
        <f>H18+H22</f>
        <v>8123600</v>
      </c>
    </row>
    <row r="24" spans="1:8" x14ac:dyDescent="0.35">
      <c r="A24" t="s">
        <v>28</v>
      </c>
      <c r="B24" s="3"/>
      <c r="C24" s="3"/>
      <c r="D24" s="3"/>
      <c r="E24" s="3"/>
      <c r="F24" s="3"/>
      <c r="G24" s="3"/>
      <c r="H24" s="3" t="str">
        <f>IF(ROUND(H18,0)=7770400,"OK","CHECK")</f>
        <v>OK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0"/>
  <sheetViews>
    <sheetView workbookViewId="0">
      <pane xSplit="3" ySplit="4" topLeftCell="D9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8" customWidth="1"/>
    <col min="2" max="2" width="6" customWidth="1"/>
    <col min="3" max="3" width="46" customWidth="1"/>
    <col min="4" max="5" width="30" customWidth="1"/>
    <col min="6" max="6" width="8" customWidth="1"/>
    <col min="7" max="9" width="10" customWidth="1"/>
    <col min="10" max="11" width="13" customWidth="1"/>
  </cols>
  <sheetData>
    <row r="1" spans="1:11" ht="17" x14ac:dyDescent="0.4">
      <c r="A1" s="1" t="s">
        <v>29</v>
      </c>
    </row>
    <row r="2" spans="1:11" x14ac:dyDescent="0.35">
      <c r="A2" t="s">
        <v>30</v>
      </c>
    </row>
    <row r="4" spans="1:11" x14ac:dyDescent="0.35">
      <c r="A4" s="2" t="s">
        <v>31</v>
      </c>
      <c r="B4" s="2" t="s">
        <v>32</v>
      </c>
      <c r="C4" s="2" t="s">
        <v>33</v>
      </c>
      <c r="D4" s="2" t="s">
        <v>34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41</v>
      </c>
    </row>
    <row r="5" spans="1:11" x14ac:dyDescent="0.35">
      <c r="A5" s="9" t="s">
        <v>42</v>
      </c>
      <c r="B5" s="9">
        <v>3</v>
      </c>
      <c r="C5" s="9" t="s">
        <v>43</v>
      </c>
      <c r="D5" s="9" t="s">
        <v>44</v>
      </c>
      <c r="E5" s="9" t="s">
        <v>45</v>
      </c>
      <c r="F5" s="9" t="s">
        <v>46</v>
      </c>
      <c r="G5" s="9">
        <v>40</v>
      </c>
      <c r="H5" s="9">
        <v>1</v>
      </c>
      <c r="I5" s="9">
        <v>2</v>
      </c>
      <c r="J5" s="10">
        <f t="shared" ref="J5:J36" si="0">DATE(2026,10,5)+(H5-1)*7</f>
        <v>46300</v>
      </c>
      <c r="K5" s="10">
        <f t="shared" ref="K5:K36" si="1">DATE(2026,10,5)+(I5-1)*7+4</f>
        <v>46311</v>
      </c>
    </row>
    <row r="6" spans="1:11" x14ac:dyDescent="0.35">
      <c r="A6" s="9" t="s">
        <v>47</v>
      </c>
      <c r="B6" s="9">
        <v>3</v>
      </c>
      <c r="C6" s="9" t="s">
        <v>48</v>
      </c>
      <c r="D6" s="9" t="s">
        <v>44</v>
      </c>
      <c r="E6" s="9" t="s">
        <v>45</v>
      </c>
      <c r="F6" s="9" t="s">
        <v>49</v>
      </c>
      <c r="G6" s="9">
        <v>40</v>
      </c>
      <c r="H6" s="9">
        <v>1</v>
      </c>
      <c r="I6" s="9">
        <v>2</v>
      </c>
      <c r="J6" s="10">
        <f t="shared" si="0"/>
        <v>46300</v>
      </c>
      <c r="K6" s="10">
        <f t="shared" si="1"/>
        <v>46311</v>
      </c>
    </row>
    <row r="7" spans="1:11" x14ac:dyDescent="0.35">
      <c r="A7" s="9" t="s">
        <v>50</v>
      </c>
      <c r="B7" s="9">
        <v>3</v>
      </c>
      <c r="C7" s="9" t="s">
        <v>51</v>
      </c>
      <c r="D7" s="9" t="s">
        <v>44</v>
      </c>
      <c r="E7" s="9" t="s">
        <v>45</v>
      </c>
      <c r="F7" s="9" t="s">
        <v>46</v>
      </c>
      <c r="G7" s="9">
        <v>30</v>
      </c>
      <c r="H7" s="9">
        <v>1</v>
      </c>
      <c r="I7" s="9">
        <v>2</v>
      </c>
      <c r="J7" s="10">
        <f t="shared" si="0"/>
        <v>46300</v>
      </c>
      <c r="K7" s="10">
        <f t="shared" si="1"/>
        <v>46311</v>
      </c>
    </row>
    <row r="8" spans="1:11" x14ac:dyDescent="0.35">
      <c r="A8" s="9" t="s">
        <v>52</v>
      </c>
      <c r="B8" s="9">
        <v>3</v>
      </c>
      <c r="C8" s="9" t="s">
        <v>53</v>
      </c>
      <c r="D8" s="9" t="s">
        <v>44</v>
      </c>
      <c r="E8" s="9" t="s">
        <v>54</v>
      </c>
      <c r="F8" s="9" t="s">
        <v>46</v>
      </c>
      <c r="G8" s="9">
        <v>120</v>
      </c>
      <c r="H8" s="9">
        <v>1</v>
      </c>
      <c r="I8" s="9">
        <v>3</v>
      </c>
      <c r="J8" s="10">
        <f t="shared" si="0"/>
        <v>46300</v>
      </c>
      <c r="K8" s="10">
        <f t="shared" si="1"/>
        <v>46318</v>
      </c>
    </row>
    <row r="9" spans="1:11" x14ac:dyDescent="0.35">
      <c r="A9" s="9" t="s">
        <v>55</v>
      </c>
      <c r="B9" s="9">
        <v>3</v>
      </c>
      <c r="C9" s="9" t="s">
        <v>56</v>
      </c>
      <c r="D9" s="9" t="s">
        <v>44</v>
      </c>
      <c r="E9" s="9" t="s">
        <v>54</v>
      </c>
      <c r="F9" s="9" t="s">
        <v>46</v>
      </c>
      <c r="G9" s="9">
        <v>80</v>
      </c>
      <c r="H9" s="9">
        <v>1</v>
      </c>
      <c r="I9" s="9">
        <v>3</v>
      </c>
      <c r="J9" s="10">
        <f t="shared" si="0"/>
        <v>46300</v>
      </c>
      <c r="K9" s="10">
        <f t="shared" si="1"/>
        <v>46318</v>
      </c>
    </row>
    <row r="10" spans="1:11" x14ac:dyDescent="0.35">
      <c r="A10" s="9" t="s">
        <v>57</v>
      </c>
      <c r="B10" s="9">
        <v>3</v>
      </c>
      <c r="C10" s="9" t="s">
        <v>58</v>
      </c>
      <c r="D10" s="9" t="s">
        <v>44</v>
      </c>
      <c r="E10" s="9" t="s">
        <v>54</v>
      </c>
      <c r="F10" s="9" t="s">
        <v>59</v>
      </c>
      <c r="G10" s="9">
        <v>50</v>
      </c>
      <c r="H10" s="9">
        <v>1</v>
      </c>
      <c r="I10" s="9">
        <v>3</v>
      </c>
      <c r="J10" s="10">
        <f t="shared" si="0"/>
        <v>46300</v>
      </c>
      <c r="K10" s="10">
        <f t="shared" si="1"/>
        <v>46318</v>
      </c>
    </row>
    <row r="11" spans="1:11" x14ac:dyDescent="0.35">
      <c r="A11" s="9" t="s">
        <v>60</v>
      </c>
      <c r="B11" s="9">
        <v>3</v>
      </c>
      <c r="C11" s="9" t="s">
        <v>61</v>
      </c>
      <c r="D11" s="9" t="s">
        <v>44</v>
      </c>
      <c r="E11" s="9" t="s">
        <v>62</v>
      </c>
      <c r="F11" s="9" t="s">
        <v>59</v>
      </c>
      <c r="G11" s="9">
        <v>30</v>
      </c>
      <c r="H11" s="9">
        <v>1</v>
      </c>
      <c r="I11" s="9">
        <v>2</v>
      </c>
      <c r="J11" s="10">
        <f t="shared" si="0"/>
        <v>46300</v>
      </c>
      <c r="K11" s="10">
        <f t="shared" si="1"/>
        <v>46311</v>
      </c>
    </row>
    <row r="12" spans="1:11" x14ac:dyDescent="0.35">
      <c r="A12" s="9" t="s">
        <v>63</v>
      </c>
      <c r="B12" s="9">
        <v>3</v>
      </c>
      <c r="C12" s="9" t="s">
        <v>64</v>
      </c>
      <c r="D12" s="9" t="s">
        <v>44</v>
      </c>
      <c r="E12" s="9" t="s">
        <v>62</v>
      </c>
      <c r="F12" s="9" t="s">
        <v>46</v>
      </c>
      <c r="G12" s="9">
        <v>30</v>
      </c>
      <c r="H12" s="9">
        <v>1</v>
      </c>
      <c r="I12" s="9">
        <v>2</v>
      </c>
      <c r="J12" s="10">
        <f t="shared" si="0"/>
        <v>46300</v>
      </c>
      <c r="K12" s="10">
        <f t="shared" si="1"/>
        <v>46311</v>
      </c>
    </row>
    <row r="13" spans="1:11" x14ac:dyDescent="0.35">
      <c r="A13" s="9" t="s">
        <v>65</v>
      </c>
      <c r="B13" s="9">
        <v>3</v>
      </c>
      <c r="C13" s="9" t="s">
        <v>66</v>
      </c>
      <c r="D13" s="9" t="s">
        <v>67</v>
      </c>
      <c r="E13" s="9" t="s">
        <v>68</v>
      </c>
      <c r="F13" s="9" t="s">
        <v>69</v>
      </c>
      <c r="G13" s="9">
        <v>90</v>
      </c>
      <c r="H13" s="9">
        <v>3</v>
      </c>
      <c r="I13" s="9">
        <v>5</v>
      </c>
      <c r="J13" s="10">
        <f t="shared" si="0"/>
        <v>46314</v>
      </c>
      <c r="K13" s="10">
        <f t="shared" si="1"/>
        <v>46332</v>
      </c>
    </row>
    <row r="14" spans="1:11" x14ac:dyDescent="0.35">
      <c r="A14" s="9" t="s">
        <v>70</v>
      </c>
      <c r="B14" s="9">
        <v>3</v>
      </c>
      <c r="C14" s="9" t="s">
        <v>71</v>
      </c>
      <c r="D14" s="9" t="s">
        <v>67</v>
      </c>
      <c r="E14" s="9" t="s">
        <v>68</v>
      </c>
      <c r="F14" s="9" t="s">
        <v>72</v>
      </c>
      <c r="G14" s="9">
        <v>90</v>
      </c>
      <c r="H14" s="9">
        <v>3</v>
      </c>
      <c r="I14" s="9">
        <v>5</v>
      </c>
      <c r="J14" s="10">
        <f t="shared" si="0"/>
        <v>46314</v>
      </c>
      <c r="K14" s="10">
        <f t="shared" si="1"/>
        <v>46332</v>
      </c>
    </row>
    <row r="15" spans="1:11" x14ac:dyDescent="0.35">
      <c r="A15" s="9" t="s">
        <v>73</v>
      </c>
      <c r="B15" s="9">
        <v>3</v>
      </c>
      <c r="C15" s="9" t="s">
        <v>74</v>
      </c>
      <c r="D15" s="9" t="s">
        <v>67</v>
      </c>
      <c r="E15" s="9" t="s">
        <v>68</v>
      </c>
      <c r="F15" s="9" t="s">
        <v>69</v>
      </c>
      <c r="G15" s="9">
        <v>30</v>
      </c>
      <c r="H15" s="9">
        <v>3</v>
      </c>
      <c r="I15" s="9">
        <v>5</v>
      </c>
      <c r="J15" s="10">
        <f t="shared" si="0"/>
        <v>46314</v>
      </c>
      <c r="K15" s="10">
        <f t="shared" si="1"/>
        <v>46332</v>
      </c>
    </row>
    <row r="16" spans="1:11" x14ac:dyDescent="0.35">
      <c r="A16" s="9" t="s">
        <v>75</v>
      </c>
      <c r="B16" s="9">
        <v>3</v>
      </c>
      <c r="C16" s="9" t="s">
        <v>76</v>
      </c>
      <c r="D16" s="9" t="s">
        <v>67</v>
      </c>
      <c r="E16" s="9" t="s">
        <v>77</v>
      </c>
      <c r="F16" s="9" t="s">
        <v>78</v>
      </c>
      <c r="G16" s="9">
        <v>80</v>
      </c>
      <c r="H16" s="9">
        <v>3</v>
      </c>
      <c r="I16" s="9">
        <v>6</v>
      </c>
      <c r="J16" s="10">
        <f t="shared" si="0"/>
        <v>46314</v>
      </c>
      <c r="K16" s="10">
        <f t="shared" si="1"/>
        <v>46339</v>
      </c>
    </row>
    <row r="17" spans="1:11" x14ac:dyDescent="0.35">
      <c r="A17" s="9" t="s">
        <v>79</v>
      </c>
      <c r="B17" s="9">
        <v>3</v>
      </c>
      <c r="C17" s="9" t="s">
        <v>80</v>
      </c>
      <c r="D17" s="9" t="s">
        <v>67</v>
      </c>
      <c r="E17" s="9" t="s">
        <v>77</v>
      </c>
      <c r="F17" s="9" t="s">
        <v>81</v>
      </c>
      <c r="G17" s="9">
        <v>50</v>
      </c>
      <c r="H17" s="9">
        <v>3</v>
      </c>
      <c r="I17" s="9">
        <v>6</v>
      </c>
      <c r="J17" s="10">
        <f t="shared" si="0"/>
        <v>46314</v>
      </c>
      <c r="K17" s="10">
        <f t="shared" si="1"/>
        <v>46339</v>
      </c>
    </row>
    <row r="18" spans="1:11" x14ac:dyDescent="0.35">
      <c r="A18" s="9" t="s">
        <v>82</v>
      </c>
      <c r="B18" s="9">
        <v>3</v>
      </c>
      <c r="C18" s="9" t="s">
        <v>83</v>
      </c>
      <c r="D18" s="9" t="s">
        <v>67</v>
      </c>
      <c r="E18" s="9" t="s">
        <v>77</v>
      </c>
      <c r="F18" s="9" t="s">
        <v>78</v>
      </c>
      <c r="G18" s="9">
        <v>40</v>
      </c>
      <c r="H18" s="9">
        <v>3</v>
      </c>
      <c r="I18" s="9">
        <v>6</v>
      </c>
      <c r="J18" s="10">
        <f t="shared" si="0"/>
        <v>46314</v>
      </c>
      <c r="K18" s="10">
        <f t="shared" si="1"/>
        <v>46339</v>
      </c>
    </row>
    <row r="19" spans="1:11" x14ac:dyDescent="0.35">
      <c r="A19" s="9" t="s">
        <v>84</v>
      </c>
      <c r="B19" s="9">
        <v>3</v>
      </c>
      <c r="C19" s="9" t="s">
        <v>85</v>
      </c>
      <c r="D19" s="9" t="s">
        <v>67</v>
      </c>
      <c r="E19" s="9" t="s">
        <v>86</v>
      </c>
      <c r="F19" s="9" t="s">
        <v>49</v>
      </c>
      <c r="G19" s="9">
        <v>90</v>
      </c>
      <c r="H19" s="9">
        <v>3</v>
      </c>
      <c r="I19" s="9">
        <v>5</v>
      </c>
      <c r="J19" s="10">
        <f t="shared" si="0"/>
        <v>46314</v>
      </c>
      <c r="K19" s="10">
        <f t="shared" si="1"/>
        <v>46332</v>
      </c>
    </row>
    <row r="20" spans="1:11" x14ac:dyDescent="0.35">
      <c r="A20" s="9" t="s">
        <v>87</v>
      </c>
      <c r="B20" s="9">
        <v>3</v>
      </c>
      <c r="C20" s="9" t="s">
        <v>88</v>
      </c>
      <c r="D20" s="9" t="s">
        <v>67</v>
      </c>
      <c r="E20" s="9" t="s">
        <v>86</v>
      </c>
      <c r="F20" s="9" t="s">
        <v>69</v>
      </c>
      <c r="G20" s="9">
        <v>40</v>
      </c>
      <c r="H20" s="9">
        <v>3</v>
      </c>
      <c r="I20" s="9">
        <v>5</v>
      </c>
      <c r="J20" s="10">
        <f t="shared" si="0"/>
        <v>46314</v>
      </c>
      <c r="K20" s="10">
        <f t="shared" si="1"/>
        <v>46332</v>
      </c>
    </row>
    <row r="21" spans="1:11" x14ac:dyDescent="0.35">
      <c r="A21" s="9" t="s">
        <v>89</v>
      </c>
      <c r="B21" s="9">
        <v>3</v>
      </c>
      <c r="C21" s="9" t="s">
        <v>90</v>
      </c>
      <c r="D21" s="9" t="s">
        <v>67</v>
      </c>
      <c r="E21" s="9" t="s">
        <v>86</v>
      </c>
      <c r="F21" s="9" t="s">
        <v>81</v>
      </c>
      <c r="G21" s="9">
        <v>30</v>
      </c>
      <c r="H21" s="9">
        <v>3</v>
      </c>
      <c r="I21" s="9">
        <v>5</v>
      </c>
      <c r="J21" s="10">
        <f t="shared" si="0"/>
        <v>46314</v>
      </c>
      <c r="K21" s="10">
        <f t="shared" si="1"/>
        <v>46332</v>
      </c>
    </row>
    <row r="22" spans="1:11" x14ac:dyDescent="0.35">
      <c r="A22" s="9" t="s">
        <v>91</v>
      </c>
      <c r="B22" s="9">
        <v>3</v>
      </c>
      <c r="C22" s="9" t="s">
        <v>92</v>
      </c>
      <c r="D22" s="9" t="s">
        <v>67</v>
      </c>
      <c r="E22" s="9" t="s">
        <v>93</v>
      </c>
      <c r="F22" s="9" t="s">
        <v>69</v>
      </c>
      <c r="G22" s="9">
        <v>40</v>
      </c>
      <c r="H22" s="9">
        <v>5</v>
      </c>
      <c r="I22" s="9">
        <v>6</v>
      </c>
      <c r="J22" s="10">
        <f t="shared" si="0"/>
        <v>46328</v>
      </c>
      <c r="K22" s="10">
        <f t="shared" si="1"/>
        <v>46339</v>
      </c>
    </row>
    <row r="23" spans="1:11" x14ac:dyDescent="0.35">
      <c r="A23" s="9" t="s">
        <v>94</v>
      </c>
      <c r="B23" s="9">
        <v>3</v>
      </c>
      <c r="C23" s="9" t="s">
        <v>95</v>
      </c>
      <c r="D23" s="9" t="s">
        <v>67</v>
      </c>
      <c r="E23" s="9" t="s">
        <v>93</v>
      </c>
      <c r="F23" s="9" t="s">
        <v>69</v>
      </c>
      <c r="G23" s="9">
        <v>40</v>
      </c>
      <c r="H23" s="9">
        <v>5</v>
      </c>
      <c r="I23" s="9">
        <v>6</v>
      </c>
      <c r="J23" s="10">
        <f t="shared" si="0"/>
        <v>46328</v>
      </c>
      <c r="K23" s="10">
        <f t="shared" si="1"/>
        <v>46339</v>
      </c>
    </row>
    <row r="24" spans="1:11" x14ac:dyDescent="0.35">
      <c r="A24" s="9" t="s">
        <v>96</v>
      </c>
      <c r="B24" s="9">
        <v>3</v>
      </c>
      <c r="C24" s="9" t="s">
        <v>97</v>
      </c>
      <c r="D24" s="9" t="s">
        <v>67</v>
      </c>
      <c r="E24" s="9" t="s">
        <v>93</v>
      </c>
      <c r="F24" s="9" t="s">
        <v>69</v>
      </c>
      <c r="G24" s="9">
        <v>30</v>
      </c>
      <c r="H24" s="9">
        <v>5</v>
      </c>
      <c r="I24" s="9">
        <v>6</v>
      </c>
      <c r="J24" s="10">
        <f t="shared" si="0"/>
        <v>46328</v>
      </c>
      <c r="K24" s="10">
        <f t="shared" si="1"/>
        <v>46339</v>
      </c>
    </row>
    <row r="25" spans="1:11" x14ac:dyDescent="0.35">
      <c r="A25" s="9" t="s">
        <v>98</v>
      </c>
      <c r="B25" s="9">
        <v>3</v>
      </c>
      <c r="C25" s="9" t="s">
        <v>99</v>
      </c>
      <c r="D25" s="9" t="s">
        <v>67</v>
      </c>
      <c r="E25" s="9" t="s">
        <v>93</v>
      </c>
      <c r="F25" s="9" t="s">
        <v>46</v>
      </c>
      <c r="G25" s="9">
        <v>50</v>
      </c>
      <c r="H25" s="9">
        <v>5</v>
      </c>
      <c r="I25" s="9">
        <v>6</v>
      </c>
      <c r="J25" s="10">
        <f t="shared" si="0"/>
        <v>46328</v>
      </c>
      <c r="K25" s="10">
        <f t="shared" si="1"/>
        <v>46339</v>
      </c>
    </row>
    <row r="26" spans="1:11" x14ac:dyDescent="0.35">
      <c r="A26" s="9" t="s">
        <v>100</v>
      </c>
      <c r="B26" s="9">
        <v>3</v>
      </c>
      <c r="C26" s="9" t="s">
        <v>101</v>
      </c>
      <c r="D26" s="9" t="s">
        <v>102</v>
      </c>
      <c r="E26" s="9" t="s">
        <v>103</v>
      </c>
      <c r="F26" s="9" t="s">
        <v>69</v>
      </c>
      <c r="G26" s="9">
        <v>120</v>
      </c>
      <c r="H26" s="9">
        <v>6</v>
      </c>
      <c r="I26" s="9">
        <v>8</v>
      </c>
      <c r="J26" s="10">
        <f t="shared" si="0"/>
        <v>46335</v>
      </c>
      <c r="K26" s="10">
        <f t="shared" si="1"/>
        <v>46353</v>
      </c>
    </row>
    <row r="27" spans="1:11" x14ac:dyDescent="0.35">
      <c r="A27" s="9" t="s">
        <v>104</v>
      </c>
      <c r="B27" s="9">
        <v>3</v>
      </c>
      <c r="C27" s="9" t="s">
        <v>105</v>
      </c>
      <c r="D27" s="9" t="s">
        <v>102</v>
      </c>
      <c r="E27" s="9" t="s">
        <v>103</v>
      </c>
      <c r="F27" s="9" t="s">
        <v>59</v>
      </c>
      <c r="G27" s="9">
        <v>60</v>
      </c>
      <c r="H27" s="9">
        <v>6</v>
      </c>
      <c r="I27" s="9">
        <v>8</v>
      </c>
      <c r="J27" s="10">
        <f t="shared" si="0"/>
        <v>46335</v>
      </c>
      <c r="K27" s="10">
        <f t="shared" si="1"/>
        <v>46353</v>
      </c>
    </row>
    <row r="28" spans="1:11" x14ac:dyDescent="0.35">
      <c r="A28" s="9" t="s">
        <v>106</v>
      </c>
      <c r="B28" s="9">
        <v>3</v>
      </c>
      <c r="C28" s="9" t="s">
        <v>107</v>
      </c>
      <c r="D28" s="9" t="s">
        <v>102</v>
      </c>
      <c r="E28" s="9" t="s">
        <v>103</v>
      </c>
      <c r="F28" s="9" t="s">
        <v>59</v>
      </c>
      <c r="G28" s="9">
        <v>40</v>
      </c>
      <c r="H28" s="9">
        <v>6</v>
      </c>
      <c r="I28" s="9">
        <v>8</v>
      </c>
      <c r="J28" s="10">
        <f t="shared" si="0"/>
        <v>46335</v>
      </c>
      <c r="K28" s="10">
        <f t="shared" si="1"/>
        <v>46353</v>
      </c>
    </row>
    <row r="29" spans="1:11" x14ac:dyDescent="0.35">
      <c r="A29" s="9" t="s">
        <v>108</v>
      </c>
      <c r="B29" s="9">
        <v>3</v>
      </c>
      <c r="C29" s="9" t="s">
        <v>109</v>
      </c>
      <c r="D29" s="9" t="s">
        <v>102</v>
      </c>
      <c r="E29" s="9" t="s">
        <v>103</v>
      </c>
      <c r="F29" s="9" t="s">
        <v>81</v>
      </c>
      <c r="G29" s="9">
        <v>60</v>
      </c>
      <c r="H29" s="9">
        <v>6</v>
      </c>
      <c r="I29" s="9">
        <v>8</v>
      </c>
      <c r="J29" s="10">
        <f t="shared" si="0"/>
        <v>46335</v>
      </c>
      <c r="K29" s="10">
        <f t="shared" si="1"/>
        <v>46353</v>
      </c>
    </row>
    <row r="30" spans="1:11" x14ac:dyDescent="0.35">
      <c r="A30" s="9" t="s">
        <v>110</v>
      </c>
      <c r="B30" s="9">
        <v>3</v>
      </c>
      <c r="C30" s="9" t="s">
        <v>111</v>
      </c>
      <c r="D30" s="9" t="s">
        <v>102</v>
      </c>
      <c r="E30" s="9" t="s">
        <v>112</v>
      </c>
      <c r="F30" s="9" t="s">
        <v>59</v>
      </c>
      <c r="G30" s="9">
        <v>80</v>
      </c>
      <c r="H30" s="9">
        <v>7</v>
      </c>
      <c r="I30" s="9">
        <v>9</v>
      </c>
      <c r="J30" s="10">
        <f t="shared" si="0"/>
        <v>46342</v>
      </c>
      <c r="K30" s="10">
        <f t="shared" si="1"/>
        <v>46360</v>
      </c>
    </row>
    <row r="31" spans="1:11" x14ac:dyDescent="0.35">
      <c r="A31" s="9" t="s">
        <v>113</v>
      </c>
      <c r="B31" s="9">
        <v>3</v>
      </c>
      <c r="C31" s="9" t="s">
        <v>114</v>
      </c>
      <c r="D31" s="9" t="s">
        <v>102</v>
      </c>
      <c r="E31" s="9" t="s">
        <v>112</v>
      </c>
      <c r="F31" s="9" t="s">
        <v>59</v>
      </c>
      <c r="G31" s="9">
        <v>100</v>
      </c>
      <c r="H31" s="9">
        <v>7</v>
      </c>
      <c r="I31" s="9">
        <v>9</v>
      </c>
      <c r="J31" s="10">
        <f t="shared" si="0"/>
        <v>46342</v>
      </c>
      <c r="K31" s="10">
        <f t="shared" si="1"/>
        <v>46360</v>
      </c>
    </row>
    <row r="32" spans="1:11" x14ac:dyDescent="0.35">
      <c r="A32" s="9" t="s">
        <v>115</v>
      </c>
      <c r="B32" s="9">
        <v>3</v>
      </c>
      <c r="C32" s="9" t="s">
        <v>116</v>
      </c>
      <c r="D32" s="9" t="s">
        <v>102</v>
      </c>
      <c r="E32" s="9" t="s">
        <v>112</v>
      </c>
      <c r="F32" s="9" t="s">
        <v>59</v>
      </c>
      <c r="G32" s="9">
        <v>60</v>
      </c>
      <c r="H32" s="9">
        <v>7</v>
      </c>
      <c r="I32" s="9">
        <v>9</v>
      </c>
      <c r="J32" s="10">
        <f t="shared" si="0"/>
        <v>46342</v>
      </c>
      <c r="K32" s="10">
        <f t="shared" si="1"/>
        <v>46360</v>
      </c>
    </row>
    <row r="33" spans="1:11" x14ac:dyDescent="0.35">
      <c r="A33" s="9" t="s">
        <v>117</v>
      </c>
      <c r="B33" s="9">
        <v>3</v>
      </c>
      <c r="C33" s="9" t="s">
        <v>118</v>
      </c>
      <c r="D33" s="9" t="s">
        <v>102</v>
      </c>
      <c r="E33" s="9" t="s">
        <v>112</v>
      </c>
      <c r="F33" s="9" t="s">
        <v>59</v>
      </c>
      <c r="G33" s="9">
        <v>70</v>
      </c>
      <c r="H33" s="9">
        <v>7</v>
      </c>
      <c r="I33" s="9">
        <v>9</v>
      </c>
      <c r="J33" s="10">
        <f t="shared" si="0"/>
        <v>46342</v>
      </c>
      <c r="K33" s="10">
        <f t="shared" si="1"/>
        <v>46360</v>
      </c>
    </row>
    <row r="34" spans="1:11" x14ac:dyDescent="0.35">
      <c r="A34" s="9" t="s">
        <v>119</v>
      </c>
      <c r="B34" s="9">
        <v>3</v>
      </c>
      <c r="C34" s="9" t="s">
        <v>120</v>
      </c>
      <c r="D34" s="9" t="s">
        <v>102</v>
      </c>
      <c r="E34" s="9" t="s">
        <v>112</v>
      </c>
      <c r="F34" s="9" t="s">
        <v>59</v>
      </c>
      <c r="G34" s="9">
        <v>120</v>
      </c>
      <c r="H34" s="9">
        <v>7</v>
      </c>
      <c r="I34" s="9">
        <v>9</v>
      </c>
      <c r="J34" s="10">
        <f t="shared" si="0"/>
        <v>46342</v>
      </c>
      <c r="K34" s="10">
        <f t="shared" si="1"/>
        <v>46360</v>
      </c>
    </row>
    <row r="35" spans="1:11" x14ac:dyDescent="0.35">
      <c r="A35" s="9" t="s">
        <v>121</v>
      </c>
      <c r="B35" s="9">
        <v>3</v>
      </c>
      <c r="C35" s="9" t="s">
        <v>122</v>
      </c>
      <c r="D35" s="9" t="s">
        <v>102</v>
      </c>
      <c r="E35" s="9" t="s">
        <v>123</v>
      </c>
      <c r="F35" s="9" t="s">
        <v>69</v>
      </c>
      <c r="G35" s="9">
        <v>60</v>
      </c>
      <c r="H35" s="9">
        <v>9</v>
      </c>
      <c r="I35" s="9">
        <v>9</v>
      </c>
      <c r="J35" s="10">
        <f t="shared" si="0"/>
        <v>46356</v>
      </c>
      <c r="K35" s="10">
        <f t="shared" si="1"/>
        <v>46360</v>
      </c>
    </row>
    <row r="36" spans="1:11" x14ac:dyDescent="0.35">
      <c r="A36" s="9" t="s">
        <v>124</v>
      </c>
      <c r="B36" s="9">
        <v>3</v>
      </c>
      <c r="C36" s="9" t="s">
        <v>125</v>
      </c>
      <c r="D36" s="9" t="s">
        <v>102</v>
      </c>
      <c r="E36" s="9" t="s">
        <v>123</v>
      </c>
      <c r="F36" s="9" t="s">
        <v>81</v>
      </c>
      <c r="G36" s="9">
        <v>80</v>
      </c>
      <c r="H36" s="9">
        <v>9</v>
      </c>
      <c r="I36" s="9">
        <v>9</v>
      </c>
      <c r="J36" s="10">
        <f t="shared" si="0"/>
        <v>46356</v>
      </c>
      <c r="K36" s="10">
        <f t="shared" si="1"/>
        <v>46360</v>
      </c>
    </row>
    <row r="37" spans="1:11" x14ac:dyDescent="0.35">
      <c r="A37" s="9" t="s">
        <v>126</v>
      </c>
      <c r="B37" s="9">
        <v>3</v>
      </c>
      <c r="C37" s="9" t="s">
        <v>127</v>
      </c>
      <c r="D37" s="9" t="s">
        <v>102</v>
      </c>
      <c r="E37" s="9" t="s">
        <v>123</v>
      </c>
      <c r="F37" s="9" t="s">
        <v>46</v>
      </c>
      <c r="G37" s="9">
        <v>50</v>
      </c>
      <c r="H37" s="9">
        <v>9</v>
      </c>
      <c r="I37" s="9">
        <v>9</v>
      </c>
      <c r="J37" s="10">
        <f t="shared" ref="J37:J68" si="2">DATE(2026,10,5)+(H37-1)*7</f>
        <v>46356</v>
      </c>
      <c r="K37" s="10">
        <f t="shared" ref="K37:K68" si="3">DATE(2026,10,5)+(I37-1)*7+4</f>
        <v>46360</v>
      </c>
    </row>
    <row r="38" spans="1:11" x14ac:dyDescent="0.35">
      <c r="A38" s="9" t="s">
        <v>128</v>
      </c>
      <c r="B38" s="9">
        <v>3</v>
      </c>
      <c r="C38" s="9" t="s">
        <v>129</v>
      </c>
      <c r="D38" s="9" t="s">
        <v>130</v>
      </c>
      <c r="E38" s="9" t="s">
        <v>131</v>
      </c>
      <c r="F38" s="9" t="s">
        <v>78</v>
      </c>
      <c r="G38" s="9">
        <v>160</v>
      </c>
      <c r="H38" s="9">
        <v>9</v>
      </c>
      <c r="I38" s="9">
        <v>20</v>
      </c>
      <c r="J38" s="10">
        <f t="shared" si="2"/>
        <v>46356</v>
      </c>
      <c r="K38" s="10">
        <f t="shared" si="3"/>
        <v>46437</v>
      </c>
    </row>
    <row r="39" spans="1:11" x14ac:dyDescent="0.35">
      <c r="A39" s="9" t="s">
        <v>132</v>
      </c>
      <c r="B39" s="9">
        <v>3</v>
      </c>
      <c r="C39" s="9" t="s">
        <v>133</v>
      </c>
      <c r="D39" s="9" t="s">
        <v>130</v>
      </c>
      <c r="E39" s="9" t="s">
        <v>131</v>
      </c>
      <c r="F39" s="9" t="s">
        <v>78</v>
      </c>
      <c r="G39" s="9">
        <v>720</v>
      </c>
      <c r="H39" s="9">
        <v>9</v>
      </c>
      <c r="I39" s="9">
        <v>20</v>
      </c>
      <c r="J39" s="10">
        <f t="shared" si="2"/>
        <v>46356</v>
      </c>
      <c r="K39" s="10">
        <f t="shared" si="3"/>
        <v>46437</v>
      </c>
    </row>
    <row r="40" spans="1:11" x14ac:dyDescent="0.35">
      <c r="A40" s="9" t="s">
        <v>134</v>
      </c>
      <c r="B40" s="9">
        <v>3</v>
      </c>
      <c r="C40" s="9" t="s">
        <v>135</v>
      </c>
      <c r="D40" s="9" t="s">
        <v>130</v>
      </c>
      <c r="E40" s="9" t="s">
        <v>131</v>
      </c>
      <c r="F40" s="9" t="s">
        <v>78</v>
      </c>
      <c r="G40" s="9">
        <v>150</v>
      </c>
      <c r="H40" s="9">
        <v>9</v>
      </c>
      <c r="I40" s="9">
        <v>20</v>
      </c>
      <c r="J40" s="10">
        <f t="shared" si="2"/>
        <v>46356</v>
      </c>
      <c r="K40" s="10">
        <f t="shared" si="3"/>
        <v>46437</v>
      </c>
    </row>
    <row r="41" spans="1:11" x14ac:dyDescent="0.35">
      <c r="A41" s="9" t="s">
        <v>136</v>
      </c>
      <c r="B41" s="9">
        <v>3</v>
      </c>
      <c r="C41" s="9" t="s">
        <v>137</v>
      </c>
      <c r="D41" s="9" t="s">
        <v>130</v>
      </c>
      <c r="E41" s="9" t="s">
        <v>131</v>
      </c>
      <c r="F41" s="9" t="s">
        <v>78</v>
      </c>
      <c r="G41" s="9">
        <v>150</v>
      </c>
      <c r="H41" s="9">
        <v>9</v>
      </c>
      <c r="I41" s="9">
        <v>20</v>
      </c>
      <c r="J41" s="10">
        <f t="shared" si="2"/>
        <v>46356</v>
      </c>
      <c r="K41" s="10">
        <f t="shared" si="3"/>
        <v>46437</v>
      </c>
    </row>
    <row r="42" spans="1:11" x14ac:dyDescent="0.35">
      <c r="A42" s="9" t="s">
        <v>138</v>
      </c>
      <c r="B42" s="9">
        <v>3</v>
      </c>
      <c r="C42" s="9" t="s">
        <v>139</v>
      </c>
      <c r="D42" s="9" t="s">
        <v>130</v>
      </c>
      <c r="E42" s="9" t="s">
        <v>131</v>
      </c>
      <c r="F42" s="9" t="s">
        <v>78</v>
      </c>
      <c r="G42" s="9">
        <v>80</v>
      </c>
      <c r="H42" s="9">
        <v>9</v>
      </c>
      <c r="I42" s="9">
        <v>20</v>
      </c>
      <c r="J42" s="10">
        <f t="shared" si="2"/>
        <v>46356</v>
      </c>
      <c r="K42" s="10">
        <f t="shared" si="3"/>
        <v>46437</v>
      </c>
    </row>
    <row r="43" spans="1:11" x14ac:dyDescent="0.35">
      <c r="A43" s="9" t="s">
        <v>140</v>
      </c>
      <c r="B43" s="9">
        <v>3</v>
      </c>
      <c r="C43" s="9" t="s">
        <v>141</v>
      </c>
      <c r="D43" s="9" t="s">
        <v>130</v>
      </c>
      <c r="E43" s="9" t="s">
        <v>142</v>
      </c>
      <c r="F43" s="9" t="s">
        <v>72</v>
      </c>
      <c r="G43" s="9">
        <v>180</v>
      </c>
      <c r="H43" s="9">
        <v>9</v>
      </c>
      <c r="I43" s="9">
        <v>19</v>
      </c>
      <c r="J43" s="10">
        <f t="shared" si="2"/>
        <v>46356</v>
      </c>
      <c r="K43" s="10">
        <f t="shared" si="3"/>
        <v>46430</v>
      </c>
    </row>
    <row r="44" spans="1:11" x14ac:dyDescent="0.35">
      <c r="A44" s="9" t="s">
        <v>143</v>
      </c>
      <c r="B44" s="9">
        <v>3</v>
      </c>
      <c r="C44" s="9" t="s">
        <v>144</v>
      </c>
      <c r="D44" s="9" t="s">
        <v>130</v>
      </c>
      <c r="E44" s="9" t="s">
        <v>142</v>
      </c>
      <c r="F44" s="9" t="s">
        <v>59</v>
      </c>
      <c r="G44" s="9">
        <v>120</v>
      </c>
      <c r="H44" s="9">
        <v>9</v>
      </c>
      <c r="I44" s="9">
        <v>19</v>
      </c>
      <c r="J44" s="10">
        <f t="shared" si="2"/>
        <v>46356</v>
      </c>
      <c r="K44" s="10">
        <f t="shared" si="3"/>
        <v>46430</v>
      </c>
    </row>
    <row r="45" spans="1:11" x14ac:dyDescent="0.35">
      <c r="A45" s="9" t="s">
        <v>145</v>
      </c>
      <c r="B45" s="9">
        <v>3</v>
      </c>
      <c r="C45" s="9" t="s">
        <v>146</v>
      </c>
      <c r="D45" s="9" t="s">
        <v>130</v>
      </c>
      <c r="E45" s="9" t="s">
        <v>142</v>
      </c>
      <c r="F45" s="9" t="s">
        <v>72</v>
      </c>
      <c r="G45" s="9">
        <v>260</v>
      </c>
      <c r="H45" s="9">
        <v>9</v>
      </c>
      <c r="I45" s="9">
        <v>19</v>
      </c>
      <c r="J45" s="10">
        <f t="shared" si="2"/>
        <v>46356</v>
      </c>
      <c r="K45" s="10">
        <f t="shared" si="3"/>
        <v>46430</v>
      </c>
    </row>
    <row r="46" spans="1:11" x14ac:dyDescent="0.35">
      <c r="A46" s="9" t="s">
        <v>147</v>
      </c>
      <c r="B46" s="9">
        <v>3</v>
      </c>
      <c r="C46" s="9" t="s">
        <v>148</v>
      </c>
      <c r="D46" s="9" t="s">
        <v>130</v>
      </c>
      <c r="E46" s="9" t="s">
        <v>142</v>
      </c>
      <c r="F46" s="9" t="s">
        <v>72</v>
      </c>
      <c r="G46" s="9">
        <v>80</v>
      </c>
      <c r="H46" s="9">
        <v>9</v>
      </c>
      <c r="I46" s="9">
        <v>19</v>
      </c>
      <c r="J46" s="10">
        <f t="shared" si="2"/>
        <v>46356</v>
      </c>
      <c r="K46" s="10">
        <f t="shared" si="3"/>
        <v>46430</v>
      </c>
    </row>
    <row r="47" spans="1:11" x14ac:dyDescent="0.35">
      <c r="A47" s="9" t="s">
        <v>149</v>
      </c>
      <c r="B47" s="9">
        <v>3</v>
      </c>
      <c r="C47" s="9" t="s">
        <v>150</v>
      </c>
      <c r="D47" s="9" t="s">
        <v>130</v>
      </c>
      <c r="E47" s="9" t="s">
        <v>142</v>
      </c>
      <c r="F47" s="9" t="s">
        <v>72</v>
      </c>
      <c r="G47" s="9">
        <v>60</v>
      </c>
      <c r="H47" s="9">
        <v>9</v>
      </c>
      <c r="I47" s="9">
        <v>19</v>
      </c>
      <c r="J47" s="10">
        <f t="shared" si="2"/>
        <v>46356</v>
      </c>
      <c r="K47" s="10">
        <f t="shared" si="3"/>
        <v>46430</v>
      </c>
    </row>
    <row r="48" spans="1:11" x14ac:dyDescent="0.35">
      <c r="A48" s="9" t="s">
        <v>151</v>
      </c>
      <c r="B48" s="9">
        <v>3</v>
      </c>
      <c r="C48" s="9" t="s">
        <v>152</v>
      </c>
      <c r="D48" s="9" t="s">
        <v>130</v>
      </c>
      <c r="E48" s="9" t="s">
        <v>153</v>
      </c>
      <c r="F48" s="9" t="s">
        <v>81</v>
      </c>
      <c r="G48" s="9">
        <v>50</v>
      </c>
      <c r="H48" s="9">
        <v>9</v>
      </c>
      <c r="I48" s="9">
        <v>12</v>
      </c>
      <c r="J48" s="10">
        <f t="shared" si="2"/>
        <v>46356</v>
      </c>
      <c r="K48" s="10">
        <f t="shared" si="3"/>
        <v>46381</v>
      </c>
    </row>
    <row r="49" spans="1:11" x14ac:dyDescent="0.35">
      <c r="A49" s="9" t="s">
        <v>154</v>
      </c>
      <c r="B49" s="9">
        <v>3</v>
      </c>
      <c r="C49" s="9" t="s">
        <v>155</v>
      </c>
      <c r="D49" s="9" t="s">
        <v>130</v>
      </c>
      <c r="E49" s="9" t="s">
        <v>153</v>
      </c>
      <c r="F49" s="9" t="s">
        <v>81</v>
      </c>
      <c r="G49" s="9">
        <v>40</v>
      </c>
      <c r="H49" s="9">
        <v>9</v>
      </c>
      <c r="I49" s="9">
        <v>12</v>
      </c>
      <c r="J49" s="10">
        <f t="shared" si="2"/>
        <v>46356</v>
      </c>
      <c r="K49" s="10">
        <f t="shared" si="3"/>
        <v>46381</v>
      </c>
    </row>
    <row r="50" spans="1:11" x14ac:dyDescent="0.35">
      <c r="A50" s="9" t="s">
        <v>156</v>
      </c>
      <c r="B50" s="9">
        <v>3</v>
      </c>
      <c r="C50" s="9" t="s">
        <v>157</v>
      </c>
      <c r="D50" s="9" t="s">
        <v>130</v>
      </c>
      <c r="E50" s="9" t="s">
        <v>153</v>
      </c>
      <c r="F50" s="9" t="s">
        <v>81</v>
      </c>
      <c r="G50" s="9">
        <v>60</v>
      </c>
      <c r="H50" s="9">
        <v>9</v>
      </c>
      <c r="I50" s="9">
        <v>12</v>
      </c>
      <c r="J50" s="10">
        <f t="shared" si="2"/>
        <v>46356</v>
      </c>
      <c r="K50" s="10">
        <f t="shared" si="3"/>
        <v>46381</v>
      </c>
    </row>
    <row r="51" spans="1:11" x14ac:dyDescent="0.35">
      <c r="A51" s="9" t="s">
        <v>158</v>
      </c>
      <c r="B51" s="9">
        <v>3</v>
      </c>
      <c r="C51" s="9" t="s">
        <v>159</v>
      </c>
      <c r="D51" s="9" t="s">
        <v>130</v>
      </c>
      <c r="E51" s="9" t="s">
        <v>153</v>
      </c>
      <c r="F51" s="9" t="s">
        <v>72</v>
      </c>
      <c r="G51" s="9">
        <v>30</v>
      </c>
      <c r="H51" s="9">
        <v>9</v>
      </c>
      <c r="I51" s="9">
        <v>12</v>
      </c>
      <c r="J51" s="10">
        <f t="shared" si="2"/>
        <v>46356</v>
      </c>
      <c r="K51" s="10">
        <f t="shared" si="3"/>
        <v>46381</v>
      </c>
    </row>
    <row r="52" spans="1:11" x14ac:dyDescent="0.35">
      <c r="A52" s="9" t="s">
        <v>160</v>
      </c>
      <c r="B52" s="9">
        <v>3</v>
      </c>
      <c r="C52" s="9" t="s">
        <v>161</v>
      </c>
      <c r="D52" s="9" t="s">
        <v>130</v>
      </c>
      <c r="E52" s="9" t="s">
        <v>162</v>
      </c>
      <c r="F52" s="9" t="s">
        <v>163</v>
      </c>
      <c r="G52" s="9">
        <v>180</v>
      </c>
      <c r="H52" s="9">
        <v>12</v>
      </c>
      <c r="I52" s="9">
        <v>19</v>
      </c>
      <c r="J52" s="10">
        <f t="shared" si="2"/>
        <v>46377</v>
      </c>
      <c r="K52" s="10">
        <f t="shared" si="3"/>
        <v>46430</v>
      </c>
    </row>
    <row r="53" spans="1:11" x14ac:dyDescent="0.35">
      <c r="A53" s="9" t="s">
        <v>164</v>
      </c>
      <c r="B53" s="9">
        <v>3</v>
      </c>
      <c r="C53" s="9" t="s">
        <v>165</v>
      </c>
      <c r="D53" s="9" t="s">
        <v>130</v>
      </c>
      <c r="E53" s="9" t="s">
        <v>162</v>
      </c>
      <c r="F53" s="9" t="s">
        <v>163</v>
      </c>
      <c r="G53" s="9">
        <v>220</v>
      </c>
      <c r="H53" s="9">
        <v>12</v>
      </c>
      <c r="I53" s="9">
        <v>19</v>
      </c>
      <c r="J53" s="10">
        <f t="shared" si="2"/>
        <v>46377</v>
      </c>
      <c r="K53" s="10">
        <f t="shared" si="3"/>
        <v>46430</v>
      </c>
    </row>
    <row r="54" spans="1:11" x14ac:dyDescent="0.35">
      <c r="A54" s="9" t="s">
        <v>166</v>
      </c>
      <c r="B54" s="9">
        <v>3</v>
      </c>
      <c r="C54" s="9" t="s">
        <v>167</v>
      </c>
      <c r="D54" s="9" t="s">
        <v>130</v>
      </c>
      <c r="E54" s="9" t="s">
        <v>162</v>
      </c>
      <c r="F54" s="9" t="s">
        <v>163</v>
      </c>
      <c r="G54" s="9">
        <v>60</v>
      </c>
      <c r="H54" s="9">
        <v>12</v>
      </c>
      <c r="I54" s="9">
        <v>19</v>
      </c>
      <c r="J54" s="10">
        <f t="shared" si="2"/>
        <v>46377</v>
      </c>
      <c r="K54" s="10">
        <f t="shared" si="3"/>
        <v>46430</v>
      </c>
    </row>
    <row r="55" spans="1:11" x14ac:dyDescent="0.35">
      <c r="A55" s="9" t="s">
        <v>168</v>
      </c>
      <c r="B55" s="9">
        <v>3</v>
      </c>
      <c r="C55" s="9" t="s">
        <v>169</v>
      </c>
      <c r="D55" s="9" t="s">
        <v>130</v>
      </c>
      <c r="E55" s="9" t="s">
        <v>162</v>
      </c>
      <c r="F55" s="9" t="s">
        <v>163</v>
      </c>
      <c r="G55" s="9">
        <v>40</v>
      </c>
      <c r="H55" s="9">
        <v>12</v>
      </c>
      <c r="I55" s="9">
        <v>19</v>
      </c>
      <c r="J55" s="10">
        <f t="shared" si="2"/>
        <v>46377</v>
      </c>
      <c r="K55" s="10">
        <f t="shared" si="3"/>
        <v>46430</v>
      </c>
    </row>
    <row r="56" spans="1:11" x14ac:dyDescent="0.35">
      <c r="A56" s="9" t="s">
        <v>170</v>
      </c>
      <c r="B56" s="9">
        <v>3</v>
      </c>
      <c r="C56" s="9" t="s">
        <v>171</v>
      </c>
      <c r="D56" s="9" t="s">
        <v>172</v>
      </c>
      <c r="E56" s="9" t="s">
        <v>173</v>
      </c>
      <c r="F56" s="9" t="s">
        <v>174</v>
      </c>
      <c r="G56" s="9">
        <v>100</v>
      </c>
      <c r="H56" s="9">
        <v>16</v>
      </c>
      <c r="I56" s="9">
        <v>19</v>
      </c>
      <c r="J56" s="10">
        <f t="shared" si="2"/>
        <v>46405</v>
      </c>
      <c r="K56" s="10">
        <f t="shared" si="3"/>
        <v>46430</v>
      </c>
    </row>
    <row r="57" spans="1:11" x14ac:dyDescent="0.35">
      <c r="A57" s="9" t="s">
        <v>175</v>
      </c>
      <c r="B57" s="9">
        <v>3</v>
      </c>
      <c r="C57" s="9" t="s">
        <v>176</v>
      </c>
      <c r="D57" s="9" t="s">
        <v>172</v>
      </c>
      <c r="E57" s="9" t="s">
        <v>173</v>
      </c>
      <c r="F57" s="9" t="s">
        <v>174</v>
      </c>
      <c r="G57" s="9">
        <v>180</v>
      </c>
      <c r="H57" s="9">
        <v>16</v>
      </c>
      <c r="I57" s="9">
        <v>19</v>
      </c>
      <c r="J57" s="10">
        <f t="shared" si="2"/>
        <v>46405</v>
      </c>
      <c r="K57" s="10">
        <f t="shared" si="3"/>
        <v>46430</v>
      </c>
    </row>
    <row r="58" spans="1:11" x14ac:dyDescent="0.35">
      <c r="A58" s="9" t="s">
        <v>177</v>
      </c>
      <c r="B58" s="9">
        <v>3</v>
      </c>
      <c r="C58" s="9" t="s">
        <v>178</v>
      </c>
      <c r="D58" s="9" t="s">
        <v>172</v>
      </c>
      <c r="E58" s="9" t="s">
        <v>173</v>
      </c>
      <c r="F58" s="9" t="s">
        <v>72</v>
      </c>
      <c r="G58" s="9">
        <v>120</v>
      </c>
      <c r="H58" s="9">
        <v>16</v>
      </c>
      <c r="I58" s="9">
        <v>19</v>
      </c>
      <c r="J58" s="10">
        <f t="shared" si="2"/>
        <v>46405</v>
      </c>
      <c r="K58" s="10">
        <f t="shared" si="3"/>
        <v>46430</v>
      </c>
    </row>
    <row r="59" spans="1:11" x14ac:dyDescent="0.35">
      <c r="A59" s="9" t="s">
        <v>179</v>
      </c>
      <c r="B59" s="9">
        <v>3</v>
      </c>
      <c r="C59" s="9" t="s">
        <v>180</v>
      </c>
      <c r="D59" s="9" t="s">
        <v>172</v>
      </c>
      <c r="E59" s="9" t="s">
        <v>181</v>
      </c>
      <c r="F59" s="9" t="s">
        <v>81</v>
      </c>
      <c r="G59" s="9">
        <v>100</v>
      </c>
      <c r="H59" s="9">
        <v>15</v>
      </c>
      <c r="I59" s="9">
        <v>21</v>
      </c>
      <c r="J59" s="10">
        <f t="shared" si="2"/>
        <v>46398</v>
      </c>
      <c r="K59" s="10">
        <f t="shared" si="3"/>
        <v>46444</v>
      </c>
    </row>
    <row r="60" spans="1:11" x14ac:dyDescent="0.35">
      <c r="A60" s="9" t="s">
        <v>182</v>
      </c>
      <c r="B60" s="9">
        <v>3</v>
      </c>
      <c r="C60" s="9" t="s">
        <v>183</v>
      </c>
      <c r="D60" s="9" t="s">
        <v>172</v>
      </c>
      <c r="E60" s="9" t="s">
        <v>181</v>
      </c>
      <c r="F60" s="9" t="s">
        <v>81</v>
      </c>
      <c r="G60" s="9">
        <v>80</v>
      </c>
      <c r="H60" s="9">
        <v>15</v>
      </c>
      <c r="I60" s="9">
        <v>21</v>
      </c>
      <c r="J60" s="10">
        <f t="shared" si="2"/>
        <v>46398</v>
      </c>
      <c r="K60" s="10">
        <f t="shared" si="3"/>
        <v>46444</v>
      </c>
    </row>
    <row r="61" spans="1:11" x14ac:dyDescent="0.35">
      <c r="A61" s="9" t="s">
        <v>184</v>
      </c>
      <c r="B61" s="9">
        <v>3</v>
      </c>
      <c r="C61" s="9" t="s">
        <v>185</v>
      </c>
      <c r="D61" s="9" t="s">
        <v>172</v>
      </c>
      <c r="E61" s="9" t="s">
        <v>181</v>
      </c>
      <c r="F61" s="9" t="s">
        <v>81</v>
      </c>
      <c r="G61" s="9">
        <v>90</v>
      </c>
      <c r="H61" s="9">
        <v>15</v>
      </c>
      <c r="I61" s="9">
        <v>21</v>
      </c>
      <c r="J61" s="10">
        <f t="shared" si="2"/>
        <v>46398</v>
      </c>
      <c r="K61" s="10">
        <f t="shared" si="3"/>
        <v>46444</v>
      </c>
    </row>
    <row r="62" spans="1:11" x14ac:dyDescent="0.35">
      <c r="A62" s="9" t="s">
        <v>186</v>
      </c>
      <c r="B62" s="9">
        <v>3</v>
      </c>
      <c r="C62" s="9" t="s">
        <v>187</v>
      </c>
      <c r="D62" s="9" t="s">
        <v>172</v>
      </c>
      <c r="E62" s="9" t="s">
        <v>181</v>
      </c>
      <c r="F62" s="9" t="s">
        <v>81</v>
      </c>
      <c r="G62" s="9">
        <v>50</v>
      </c>
      <c r="H62" s="9">
        <v>15</v>
      </c>
      <c r="I62" s="9">
        <v>21</v>
      </c>
      <c r="J62" s="10">
        <f t="shared" si="2"/>
        <v>46398</v>
      </c>
      <c r="K62" s="10">
        <f t="shared" si="3"/>
        <v>46444</v>
      </c>
    </row>
    <row r="63" spans="1:11" x14ac:dyDescent="0.35">
      <c r="A63" s="9" t="s">
        <v>188</v>
      </c>
      <c r="B63" s="9">
        <v>3</v>
      </c>
      <c r="C63" s="9" t="s">
        <v>189</v>
      </c>
      <c r="D63" s="9" t="s">
        <v>172</v>
      </c>
      <c r="E63" s="9" t="s">
        <v>190</v>
      </c>
      <c r="F63" s="9" t="s">
        <v>59</v>
      </c>
      <c r="G63" s="9">
        <v>80</v>
      </c>
      <c r="H63" s="9">
        <v>20</v>
      </c>
      <c r="I63" s="9">
        <v>21</v>
      </c>
      <c r="J63" s="10">
        <f t="shared" si="2"/>
        <v>46433</v>
      </c>
      <c r="K63" s="10">
        <f t="shared" si="3"/>
        <v>46444</v>
      </c>
    </row>
    <row r="64" spans="1:11" x14ac:dyDescent="0.35">
      <c r="A64" s="9" t="s">
        <v>191</v>
      </c>
      <c r="B64" s="9">
        <v>3</v>
      </c>
      <c r="C64" s="9" t="s">
        <v>192</v>
      </c>
      <c r="D64" s="9" t="s">
        <v>172</v>
      </c>
      <c r="E64" s="9" t="s">
        <v>190</v>
      </c>
      <c r="F64" s="9" t="s">
        <v>59</v>
      </c>
      <c r="G64" s="9">
        <v>60</v>
      </c>
      <c r="H64" s="9">
        <v>20</v>
      </c>
      <c r="I64" s="9">
        <v>21</v>
      </c>
      <c r="J64" s="10">
        <f t="shared" si="2"/>
        <v>46433</v>
      </c>
      <c r="K64" s="10">
        <f t="shared" si="3"/>
        <v>46444</v>
      </c>
    </row>
    <row r="65" spans="1:11" x14ac:dyDescent="0.35">
      <c r="A65" s="9" t="s">
        <v>193</v>
      </c>
      <c r="B65" s="9">
        <v>3</v>
      </c>
      <c r="C65" s="9" t="s">
        <v>194</v>
      </c>
      <c r="D65" s="9" t="s">
        <v>172</v>
      </c>
      <c r="E65" s="9" t="s">
        <v>190</v>
      </c>
      <c r="F65" s="9" t="s">
        <v>59</v>
      </c>
      <c r="G65" s="9">
        <v>30</v>
      </c>
      <c r="H65" s="9">
        <v>20</v>
      </c>
      <c r="I65" s="9">
        <v>21</v>
      </c>
      <c r="J65" s="10">
        <f t="shared" si="2"/>
        <v>46433</v>
      </c>
      <c r="K65" s="10">
        <f t="shared" si="3"/>
        <v>46444</v>
      </c>
    </row>
    <row r="66" spans="1:11" x14ac:dyDescent="0.35">
      <c r="A66" s="9" t="s">
        <v>195</v>
      </c>
      <c r="B66" s="9">
        <v>3</v>
      </c>
      <c r="C66" s="9" t="s">
        <v>196</v>
      </c>
      <c r="D66" s="9" t="s">
        <v>172</v>
      </c>
      <c r="E66" s="9" t="s">
        <v>197</v>
      </c>
      <c r="F66" s="9" t="s">
        <v>49</v>
      </c>
      <c r="G66" s="9">
        <v>150</v>
      </c>
      <c r="H66" s="9">
        <v>21</v>
      </c>
      <c r="I66" s="9">
        <v>22</v>
      </c>
      <c r="J66" s="10">
        <f t="shared" si="2"/>
        <v>46440</v>
      </c>
      <c r="K66" s="10">
        <f t="shared" si="3"/>
        <v>46451</v>
      </c>
    </row>
    <row r="67" spans="1:11" x14ac:dyDescent="0.35">
      <c r="A67" s="9" t="s">
        <v>198</v>
      </c>
      <c r="B67" s="9">
        <v>3</v>
      </c>
      <c r="C67" s="9" t="s">
        <v>199</v>
      </c>
      <c r="D67" s="9" t="s">
        <v>172</v>
      </c>
      <c r="E67" s="9" t="s">
        <v>197</v>
      </c>
      <c r="F67" s="9" t="s">
        <v>49</v>
      </c>
      <c r="G67" s="9">
        <v>90</v>
      </c>
      <c r="H67" s="9">
        <v>21</v>
      </c>
      <c r="I67" s="9">
        <v>22</v>
      </c>
      <c r="J67" s="10">
        <f t="shared" si="2"/>
        <v>46440</v>
      </c>
      <c r="K67" s="10">
        <f t="shared" si="3"/>
        <v>46451</v>
      </c>
    </row>
    <row r="68" spans="1:11" x14ac:dyDescent="0.35">
      <c r="A68" s="9" t="s">
        <v>200</v>
      </c>
      <c r="B68" s="9">
        <v>3</v>
      </c>
      <c r="C68" s="9" t="s">
        <v>201</v>
      </c>
      <c r="D68" s="9" t="s">
        <v>172</v>
      </c>
      <c r="E68" s="9" t="s">
        <v>197</v>
      </c>
      <c r="F68" s="9" t="s">
        <v>59</v>
      </c>
      <c r="G68" s="9">
        <v>50</v>
      </c>
      <c r="H68" s="9">
        <v>21</v>
      </c>
      <c r="I68" s="9">
        <v>22</v>
      </c>
      <c r="J68" s="10">
        <f t="shared" si="2"/>
        <v>46440</v>
      </c>
      <c r="K68" s="10">
        <f t="shared" si="3"/>
        <v>46451</v>
      </c>
    </row>
    <row r="69" spans="1:11" x14ac:dyDescent="0.35">
      <c r="A69" s="9" t="s">
        <v>202</v>
      </c>
      <c r="B69" s="9">
        <v>3</v>
      </c>
      <c r="C69" s="9" t="s">
        <v>203</v>
      </c>
      <c r="D69" s="9" t="s">
        <v>172</v>
      </c>
      <c r="E69" s="9" t="s">
        <v>197</v>
      </c>
      <c r="F69" s="9" t="s">
        <v>46</v>
      </c>
      <c r="G69" s="9">
        <v>20</v>
      </c>
      <c r="H69" s="9">
        <v>21</v>
      </c>
      <c r="I69" s="9">
        <v>22</v>
      </c>
      <c r="J69" s="10">
        <f t="shared" ref="J69:J99" si="4">DATE(2026,10,5)+(H69-1)*7</f>
        <v>46440</v>
      </c>
      <c r="K69" s="10">
        <f t="shared" ref="K69:K99" si="5">DATE(2026,10,5)+(I69-1)*7+4</f>
        <v>46451</v>
      </c>
    </row>
    <row r="70" spans="1:11" x14ac:dyDescent="0.35">
      <c r="A70" s="9" t="s">
        <v>204</v>
      </c>
      <c r="B70" s="9">
        <v>3</v>
      </c>
      <c r="C70" s="9" t="s">
        <v>205</v>
      </c>
      <c r="D70" s="9" t="s">
        <v>206</v>
      </c>
      <c r="E70" s="9" t="s">
        <v>207</v>
      </c>
      <c r="F70" s="9" t="s">
        <v>46</v>
      </c>
      <c r="G70" s="9">
        <v>50</v>
      </c>
      <c r="H70" s="9">
        <v>20</v>
      </c>
      <c r="I70" s="9">
        <v>23</v>
      </c>
      <c r="J70" s="10">
        <f t="shared" si="4"/>
        <v>46433</v>
      </c>
      <c r="K70" s="10">
        <f t="shared" si="5"/>
        <v>46458</v>
      </c>
    </row>
    <row r="71" spans="1:11" x14ac:dyDescent="0.35">
      <c r="A71" s="9" t="s">
        <v>208</v>
      </c>
      <c r="B71" s="9">
        <v>3</v>
      </c>
      <c r="C71" s="9" t="s">
        <v>209</v>
      </c>
      <c r="D71" s="9" t="s">
        <v>206</v>
      </c>
      <c r="E71" s="9" t="s">
        <v>207</v>
      </c>
      <c r="F71" s="9" t="s">
        <v>69</v>
      </c>
      <c r="G71" s="9">
        <v>30</v>
      </c>
      <c r="H71" s="9">
        <v>20</v>
      </c>
      <c r="I71" s="9">
        <v>23</v>
      </c>
      <c r="J71" s="10">
        <f t="shared" si="4"/>
        <v>46433</v>
      </c>
      <c r="K71" s="10">
        <f t="shared" si="5"/>
        <v>46458</v>
      </c>
    </row>
    <row r="72" spans="1:11" x14ac:dyDescent="0.35">
      <c r="A72" s="9" t="s">
        <v>210</v>
      </c>
      <c r="B72" s="9">
        <v>3</v>
      </c>
      <c r="C72" s="9" t="s">
        <v>211</v>
      </c>
      <c r="D72" s="9" t="s">
        <v>206</v>
      </c>
      <c r="E72" s="9" t="s">
        <v>207</v>
      </c>
      <c r="F72" s="9" t="s">
        <v>49</v>
      </c>
      <c r="G72" s="9">
        <v>20</v>
      </c>
      <c r="H72" s="9">
        <v>20</v>
      </c>
      <c r="I72" s="9">
        <v>23</v>
      </c>
      <c r="J72" s="10">
        <f t="shared" si="4"/>
        <v>46433</v>
      </c>
      <c r="K72" s="10">
        <f t="shared" si="5"/>
        <v>46458</v>
      </c>
    </row>
    <row r="73" spans="1:11" x14ac:dyDescent="0.35">
      <c r="A73" s="9" t="s">
        <v>212</v>
      </c>
      <c r="B73" s="9">
        <v>3</v>
      </c>
      <c r="C73" s="9" t="s">
        <v>213</v>
      </c>
      <c r="D73" s="9" t="s">
        <v>206</v>
      </c>
      <c r="E73" s="9" t="s">
        <v>214</v>
      </c>
      <c r="F73" s="9" t="s">
        <v>78</v>
      </c>
      <c r="G73" s="9">
        <v>80</v>
      </c>
      <c r="H73" s="9">
        <v>23</v>
      </c>
      <c r="I73" s="9">
        <v>23</v>
      </c>
      <c r="J73" s="10">
        <f t="shared" si="4"/>
        <v>46454</v>
      </c>
      <c r="K73" s="10">
        <f t="shared" si="5"/>
        <v>46458</v>
      </c>
    </row>
    <row r="74" spans="1:11" x14ac:dyDescent="0.35">
      <c r="A74" s="9" t="s">
        <v>215</v>
      </c>
      <c r="B74" s="9">
        <v>3</v>
      </c>
      <c r="C74" s="9" t="s">
        <v>216</v>
      </c>
      <c r="D74" s="9" t="s">
        <v>206</v>
      </c>
      <c r="E74" s="9" t="s">
        <v>214</v>
      </c>
      <c r="F74" s="9" t="s">
        <v>59</v>
      </c>
      <c r="G74" s="9">
        <v>60</v>
      </c>
      <c r="H74" s="9">
        <v>23</v>
      </c>
      <c r="I74" s="9">
        <v>23</v>
      </c>
      <c r="J74" s="10">
        <f t="shared" si="4"/>
        <v>46454</v>
      </c>
      <c r="K74" s="10">
        <f t="shared" si="5"/>
        <v>46458</v>
      </c>
    </row>
    <row r="75" spans="1:11" x14ac:dyDescent="0.35">
      <c r="A75" s="9" t="s">
        <v>217</v>
      </c>
      <c r="B75" s="9">
        <v>3</v>
      </c>
      <c r="C75" s="9" t="s">
        <v>218</v>
      </c>
      <c r="D75" s="9" t="s">
        <v>206</v>
      </c>
      <c r="E75" s="9" t="s">
        <v>214</v>
      </c>
      <c r="F75" s="9" t="s">
        <v>174</v>
      </c>
      <c r="G75" s="9">
        <v>40</v>
      </c>
      <c r="H75" s="9">
        <v>23</v>
      </c>
      <c r="I75" s="9">
        <v>23</v>
      </c>
      <c r="J75" s="10">
        <f t="shared" si="4"/>
        <v>46454</v>
      </c>
      <c r="K75" s="10">
        <f t="shared" si="5"/>
        <v>46458</v>
      </c>
    </row>
    <row r="76" spans="1:11" x14ac:dyDescent="0.35">
      <c r="A76" s="9" t="s">
        <v>219</v>
      </c>
      <c r="B76" s="9">
        <v>3</v>
      </c>
      <c r="C76" s="9" t="s">
        <v>220</v>
      </c>
      <c r="D76" s="9" t="s">
        <v>206</v>
      </c>
      <c r="E76" s="9" t="s">
        <v>221</v>
      </c>
      <c r="F76" s="9" t="s">
        <v>78</v>
      </c>
      <c r="G76" s="9">
        <v>10</v>
      </c>
      <c r="H76" s="9">
        <v>23</v>
      </c>
      <c r="I76" s="9">
        <v>23</v>
      </c>
      <c r="J76" s="10">
        <f t="shared" si="4"/>
        <v>46454</v>
      </c>
      <c r="K76" s="10">
        <f t="shared" si="5"/>
        <v>46458</v>
      </c>
    </row>
    <row r="77" spans="1:11" x14ac:dyDescent="0.35">
      <c r="A77" s="9" t="s">
        <v>222</v>
      </c>
      <c r="B77" s="9">
        <v>3</v>
      </c>
      <c r="C77" s="9" t="s">
        <v>223</v>
      </c>
      <c r="D77" s="9" t="s">
        <v>206</v>
      </c>
      <c r="E77" s="9" t="s">
        <v>221</v>
      </c>
      <c r="F77" s="9" t="s">
        <v>59</v>
      </c>
      <c r="G77" s="9">
        <v>10</v>
      </c>
      <c r="H77" s="9">
        <v>23</v>
      </c>
      <c r="I77" s="9">
        <v>23</v>
      </c>
      <c r="J77" s="10">
        <f t="shared" si="4"/>
        <v>46454</v>
      </c>
      <c r="K77" s="10">
        <f t="shared" si="5"/>
        <v>46458</v>
      </c>
    </row>
    <row r="78" spans="1:11" x14ac:dyDescent="0.35">
      <c r="A78" s="9" t="s">
        <v>224</v>
      </c>
      <c r="B78" s="9">
        <v>3</v>
      </c>
      <c r="C78" s="9" t="s">
        <v>225</v>
      </c>
      <c r="D78" s="9" t="s">
        <v>226</v>
      </c>
      <c r="E78" s="9" t="s">
        <v>227</v>
      </c>
      <c r="F78" s="9" t="s">
        <v>46</v>
      </c>
      <c r="G78" s="9">
        <v>90</v>
      </c>
      <c r="H78" s="9">
        <v>24</v>
      </c>
      <c r="I78" s="9">
        <v>26</v>
      </c>
      <c r="J78" s="10">
        <f t="shared" si="4"/>
        <v>46461</v>
      </c>
      <c r="K78" s="10">
        <f t="shared" si="5"/>
        <v>46479</v>
      </c>
    </row>
    <row r="79" spans="1:11" x14ac:dyDescent="0.35">
      <c r="A79" s="9" t="s">
        <v>228</v>
      </c>
      <c r="B79" s="9">
        <v>3</v>
      </c>
      <c r="C79" s="9" t="s">
        <v>229</v>
      </c>
      <c r="D79" s="9" t="s">
        <v>226</v>
      </c>
      <c r="E79" s="9" t="s">
        <v>227</v>
      </c>
      <c r="F79" s="9" t="s">
        <v>59</v>
      </c>
      <c r="G79" s="9">
        <v>60</v>
      </c>
      <c r="H79" s="9">
        <v>24</v>
      </c>
      <c r="I79" s="9">
        <v>26</v>
      </c>
      <c r="J79" s="10">
        <f t="shared" si="4"/>
        <v>46461</v>
      </c>
      <c r="K79" s="10">
        <f t="shared" si="5"/>
        <v>46479</v>
      </c>
    </row>
    <row r="80" spans="1:11" x14ac:dyDescent="0.35">
      <c r="A80" s="9" t="s">
        <v>230</v>
      </c>
      <c r="B80" s="9">
        <v>3</v>
      </c>
      <c r="C80" s="9" t="s">
        <v>231</v>
      </c>
      <c r="D80" s="9" t="s">
        <v>226</v>
      </c>
      <c r="E80" s="9" t="s">
        <v>227</v>
      </c>
      <c r="F80" s="9" t="s">
        <v>78</v>
      </c>
      <c r="G80" s="9">
        <v>50</v>
      </c>
      <c r="H80" s="9">
        <v>24</v>
      </c>
      <c r="I80" s="9">
        <v>26</v>
      </c>
      <c r="J80" s="10">
        <f t="shared" si="4"/>
        <v>46461</v>
      </c>
      <c r="K80" s="10">
        <f t="shared" si="5"/>
        <v>46479</v>
      </c>
    </row>
    <row r="81" spans="1:11" x14ac:dyDescent="0.35">
      <c r="A81" s="9" t="s">
        <v>232</v>
      </c>
      <c r="B81" s="9">
        <v>3</v>
      </c>
      <c r="C81" s="9" t="s">
        <v>233</v>
      </c>
      <c r="D81" s="9" t="s">
        <v>226</v>
      </c>
      <c r="E81" s="9" t="s">
        <v>234</v>
      </c>
      <c r="F81" s="9" t="s">
        <v>69</v>
      </c>
      <c r="G81" s="9">
        <v>50</v>
      </c>
      <c r="H81" s="9">
        <v>24</v>
      </c>
      <c r="I81" s="9">
        <v>26</v>
      </c>
      <c r="J81" s="10">
        <f t="shared" si="4"/>
        <v>46461</v>
      </c>
      <c r="K81" s="10">
        <f t="shared" si="5"/>
        <v>46479</v>
      </c>
    </row>
    <row r="82" spans="1:11" x14ac:dyDescent="0.35">
      <c r="A82" s="9" t="s">
        <v>235</v>
      </c>
      <c r="B82" s="9">
        <v>3</v>
      </c>
      <c r="C82" s="9" t="s">
        <v>236</v>
      </c>
      <c r="D82" s="9" t="s">
        <v>226</v>
      </c>
      <c r="E82" s="9" t="s">
        <v>234</v>
      </c>
      <c r="F82" s="9" t="s">
        <v>46</v>
      </c>
      <c r="G82" s="9">
        <v>30</v>
      </c>
      <c r="H82" s="9">
        <v>24</v>
      </c>
      <c r="I82" s="9">
        <v>26</v>
      </c>
      <c r="J82" s="10">
        <f t="shared" si="4"/>
        <v>46461</v>
      </c>
      <c r="K82" s="10">
        <f t="shared" si="5"/>
        <v>46479</v>
      </c>
    </row>
    <row r="83" spans="1:11" x14ac:dyDescent="0.35">
      <c r="A83" s="9" t="s">
        <v>237</v>
      </c>
      <c r="B83" s="9">
        <v>3</v>
      </c>
      <c r="C83" s="9" t="s">
        <v>238</v>
      </c>
      <c r="D83" s="9" t="s">
        <v>226</v>
      </c>
      <c r="E83" s="9" t="s">
        <v>234</v>
      </c>
      <c r="F83" s="9" t="s">
        <v>46</v>
      </c>
      <c r="G83" s="9">
        <v>10</v>
      </c>
      <c r="H83" s="9">
        <v>24</v>
      </c>
      <c r="I83" s="9">
        <v>26</v>
      </c>
      <c r="J83" s="10">
        <f t="shared" si="4"/>
        <v>46461</v>
      </c>
      <c r="K83" s="10">
        <f t="shared" si="5"/>
        <v>46479</v>
      </c>
    </row>
    <row r="84" spans="1:11" x14ac:dyDescent="0.35">
      <c r="A84" s="9" t="s">
        <v>239</v>
      </c>
      <c r="B84" s="9">
        <v>3</v>
      </c>
      <c r="C84" s="9" t="s">
        <v>240</v>
      </c>
      <c r="D84" s="9" t="s">
        <v>226</v>
      </c>
      <c r="E84" s="9" t="s">
        <v>241</v>
      </c>
      <c r="F84" s="9" t="s">
        <v>46</v>
      </c>
      <c r="G84" s="9">
        <v>10</v>
      </c>
      <c r="H84" s="9">
        <v>26</v>
      </c>
      <c r="I84" s="9">
        <v>26</v>
      </c>
      <c r="J84" s="10">
        <f t="shared" si="4"/>
        <v>46475</v>
      </c>
      <c r="K84" s="10">
        <f t="shared" si="5"/>
        <v>46479</v>
      </c>
    </row>
    <row r="85" spans="1:11" x14ac:dyDescent="0.35">
      <c r="A85" s="9" t="s">
        <v>242</v>
      </c>
      <c r="B85" s="9">
        <v>3</v>
      </c>
      <c r="C85" s="9" t="s">
        <v>243</v>
      </c>
      <c r="D85" s="9" t="s">
        <v>226</v>
      </c>
      <c r="E85" s="9" t="s">
        <v>241</v>
      </c>
      <c r="F85" s="9" t="s">
        <v>46</v>
      </c>
      <c r="G85" s="9">
        <v>30</v>
      </c>
      <c r="H85" s="9">
        <v>26</v>
      </c>
      <c r="I85" s="9">
        <v>26</v>
      </c>
      <c r="J85" s="10">
        <f t="shared" si="4"/>
        <v>46475</v>
      </c>
      <c r="K85" s="10">
        <f t="shared" si="5"/>
        <v>46479</v>
      </c>
    </row>
    <row r="86" spans="1:11" x14ac:dyDescent="0.35">
      <c r="A86" s="9" t="s">
        <v>244</v>
      </c>
      <c r="B86" s="9">
        <v>3</v>
      </c>
      <c r="C86" s="9" t="s">
        <v>245</v>
      </c>
      <c r="D86" s="9" t="s">
        <v>226</v>
      </c>
      <c r="E86" s="9" t="s">
        <v>241</v>
      </c>
      <c r="F86" s="9" t="s">
        <v>49</v>
      </c>
      <c r="G86" s="9">
        <v>30</v>
      </c>
      <c r="H86" s="9">
        <v>26</v>
      </c>
      <c r="I86" s="9">
        <v>26</v>
      </c>
      <c r="J86" s="10">
        <f t="shared" si="4"/>
        <v>46475</v>
      </c>
      <c r="K86" s="10">
        <f t="shared" si="5"/>
        <v>46479</v>
      </c>
    </row>
    <row r="87" spans="1:11" x14ac:dyDescent="0.35">
      <c r="A87" s="9" t="s">
        <v>246</v>
      </c>
      <c r="B87" s="9">
        <v>3</v>
      </c>
      <c r="C87" s="9" t="s">
        <v>247</v>
      </c>
      <c r="D87" s="9" t="s">
        <v>226</v>
      </c>
      <c r="E87" s="9" t="s">
        <v>241</v>
      </c>
      <c r="F87" s="9" t="s">
        <v>46</v>
      </c>
      <c r="G87" s="9">
        <v>20</v>
      </c>
      <c r="H87" s="9">
        <v>26</v>
      </c>
      <c r="I87" s="9">
        <v>26</v>
      </c>
      <c r="J87" s="10">
        <f t="shared" si="4"/>
        <v>46475</v>
      </c>
      <c r="K87" s="10">
        <f t="shared" si="5"/>
        <v>46479</v>
      </c>
    </row>
    <row r="88" spans="1:11" x14ac:dyDescent="0.35">
      <c r="A88" s="9" t="s">
        <v>248</v>
      </c>
      <c r="B88" s="9">
        <v>3</v>
      </c>
      <c r="C88" s="9" t="s">
        <v>249</v>
      </c>
      <c r="D88" s="9" t="s">
        <v>250</v>
      </c>
      <c r="E88" s="9" t="s">
        <v>251</v>
      </c>
      <c r="F88" s="9" t="s">
        <v>46</v>
      </c>
      <c r="G88" s="9">
        <v>60</v>
      </c>
      <c r="H88" s="9">
        <v>1</v>
      </c>
      <c r="I88" s="9">
        <v>26</v>
      </c>
      <c r="J88" s="10">
        <f t="shared" si="4"/>
        <v>46300</v>
      </c>
      <c r="K88" s="10">
        <f t="shared" si="5"/>
        <v>46479</v>
      </c>
    </row>
    <row r="89" spans="1:11" x14ac:dyDescent="0.35">
      <c r="A89" s="9" t="s">
        <v>252</v>
      </c>
      <c r="B89" s="9">
        <v>3</v>
      </c>
      <c r="C89" s="9" t="s">
        <v>253</v>
      </c>
      <c r="D89" s="9" t="s">
        <v>250</v>
      </c>
      <c r="E89" s="9" t="s">
        <v>251</v>
      </c>
      <c r="F89" s="9" t="s">
        <v>46</v>
      </c>
      <c r="G89" s="9">
        <v>40</v>
      </c>
      <c r="H89" s="9">
        <v>1</v>
      </c>
      <c r="I89" s="9">
        <v>26</v>
      </c>
      <c r="J89" s="10">
        <f t="shared" si="4"/>
        <v>46300</v>
      </c>
      <c r="K89" s="10">
        <f t="shared" si="5"/>
        <v>46479</v>
      </c>
    </row>
    <row r="90" spans="1:11" x14ac:dyDescent="0.35">
      <c r="A90" s="9" t="s">
        <v>254</v>
      </c>
      <c r="B90" s="9">
        <v>3</v>
      </c>
      <c r="C90" s="9" t="s">
        <v>255</v>
      </c>
      <c r="D90" s="9" t="s">
        <v>250</v>
      </c>
      <c r="E90" s="9" t="s">
        <v>251</v>
      </c>
      <c r="F90" s="9" t="s">
        <v>46</v>
      </c>
      <c r="G90" s="9">
        <v>40</v>
      </c>
      <c r="H90" s="9">
        <v>1</v>
      </c>
      <c r="I90" s="9">
        <v>26</v>
      </c>
      <c r="J90" s="10">
        <f t="shared" si="4"/>
        <v>46300</v>
      </c>
      <c r="K90" s="10">
        <f t="shared" si="5"/>
        <v>46479</v>
      </c>
    </row>
    <row r="91" spans="1:11" x14ac:dyDescent="0.35">
      <c r="A91" s="9" t="s">
        <v>256</v>
      </c>
      <c r="B91" s="9">
        <v>3</v>
      </c>
      <c r="C91" s="9" t="s">
        <v>257</v>
      </c>
      <c r="D91" s="9" t="s">
        <v>250</v>
      </c>
      <c r="E91" s="9" t="s">
        <v>258</v>
      </c>
      <c r="F91" s="9" t="s">
        <v>174</v>
      </c>
      <c r="G91" s="9">
        <v>50</v>
      </c>
      <c r="H91" s="9">
        <v>1</v>
      </c>
      <c r="I91" s="9">
        <v>26</v>
      </c>
      <c r="J91" s="10">
        <f t="shared" si="4"/>
        <v>46300</v>
      </c>
      <c r="K91" s="10">
        <f t="shared" si="5"/>
        <v>46479</v>
      </c>
    </row>
    <row r="92" spans="1:11" x14ac:dyDescent="0.35">
      <c r="A92" s="9" t="s">
        <v>259</v>
      </c>
      <c r="B92" s="9">
        <v>3</v>
      </c>
      <c r="C92" s="9" t="s">
        <v>260</v>
      </c>
      <c r="D92" s="9" t="s">
        <v>250</v>
      </c>
      <c r="E92" s="9" t="s">
        <v>258</v>
      </c>
      <c r="F92" s="9" t="s">
        <v>174</v>
      </c>
      <c r="G92" s="9">
        <v>30</v>
      </c>
      <c r="H92" s="9">
        <v>1</v>
      </c>
      <c r="I92" s="9">
        <v>26</v>
      </c>
      <c r="J92" s="10">
        <f t="shared" si="4"/>
        <v>46300</v>
      </c>
      <c r="K92" s="10">
        <f t="shared" si="5"/>
        <v>46479</v>
      </c>
    </row>
    <row r="93" spans="1:11" x14ac:dyDescent="0.35">
      <c r="A93" s="9" t="s">
        <v>261</v>
      </c>
      <c r="B93" s="9">
        <v>3</v>
      </c>
      <c r="C93" s="9" t="s">
        <v>262</v>
      </c>
      <c r="D93" s="9" t="s">
        <v>250</v>
      </c>
      <c r="E93" s="9" t="s">
        <v>258</v>
      </c>
      <c r="F93" s="9" t="s">
        <v>174</v>
      </c>
      <c r="G93" s="9">
        <v>10</v>
      </c>
      <c r="H93" s="9">
        <v>1</v>
      </c>
      <c r="I93" s="9">
        <v>26</v>
      </c>
      <c r="J93" s="10">
        <f t="shared" si="4"/>
        <v>46300</v>
      </c>
      <c r="K93" s="10">
        <f t="shared" si="5"/>
        <v>46479</v>
      </c>
    </row>
    <row r="94" spans="1:11" x14ac:dyDescent="0.35">
      <c r="A94" s="9" t="s">
        <v>263</v>
      </c>
      <c r="B94" s="9">
        <v>3</v>
      </c>
      <c r="C94" s="9" t="s">
        <v>264</v>
      </c>
      <c r="D94" s="9" t="s">
        <v>250</v>
      </c>
      <c r="E94" s="9" t="s">
        <v>265</v>
      </c>
      <c r="F94" s="9" t="s">
        <v>59</v>
      </c>
      <c r="G94" s="9">
        <v>20</v>
      </c>
      <c r="H94" s="9">
        <v>1</v>
      </c>
      <c r="I94" s="9">
        <v>26</v>
      </c>
      <c r="J94" s="10">
        <f t="shared" si="4"/>
        <v>46300</v>
      </c>
      <c r="K94" s="10">
        <f t="shared" si="5"/>
        <v>46479</v>
      </c>
    </row>
    <row r="95" spans="1:11" x14ac:dyDescent="0.35">
      <c r="A95" s="9" t="s">
        <v>266</v>
      </c>
      <c r="B95" s="9">
        <v>3</v>
      </c>
      <c r="C95" s="9" t="s">
        <v>267</v>
      </c>
      <c r="D95" s="9" t="s">
        <v>250</v>
      </c>
      <c r="E95" s="9" t="s">
        <v>265</v>
      </c>
      <c r="F95" s="9" t="s">
        <v>69</v>
      </c>
      <c r="G95" s="9">
        <v>20</v>
      </c>
      <c r="H95" s="9">
        <v>1</v>
      </c>
      <c r="I95" s="9">
        <v>26</v>
      </c>
      <c r="J95" s="10">
        <f t="shared" si="4"/>
        <v>46300</v>
      </c>
      <c r="K95" s="10">
        <f t="shared" si="5"/>
        <v>46479</v>
      </c>
    </row>
    <row r="96" spans="1:11" x14ac:dyDescent="0.35">
      <c r="A96" s="9" t="s">
        <v>268</v>
      </c>
      <c r="B96" s="9">
        <v>3</v>
      </c>
      <c r="C96" s="9" t="s">
        <v>269</v>
      </c>
      <c r="D96" s="9" t="s">
        <v>250</v>
      </c>
      <c r="E96" s="9" t="s">
        <v>265</v>
      </c>
      <c r="F96" s="9" t="s">
        <v>174</v>
      </c>
      <c r="G96" s="9">
        <v>20</v>
      </c>
      <c r="H96" s="9">
        <v>1</v>
      </c>
      <c r="I96" s="9">
        <v>26</v>
      </c>
      <c r="J96" s="10">
        <f t="shared" si="4"/>
        <v>46300</v>
      </c>
      <c r="K96" s="10">
        <f t="shared" si="5"/>
        <v>46479</v>
      </c>
    </row>
    <row r="97" spans="1:11" x14ac:dyDescent="0.35">
      <c r="A97" s="9" t="s">
        <v>270</v>
      </c>
      <c r="B97" s="9">
        <v>3</v>
      </c>
      <c r="C97" s="9" t="s">
        <v>271</v>
      </c>
      <c r="D97" s="9" t="s">
        <v>250</v>
      </c>
      <c r="E97" s="9" t="s">
        <v>272</v>
      </c>
      <c r="F97" s="9" t="s">
        <v>46</v>
      </c>
      <c r="G97" s="9">
        <v>30</v>
      </c>
      <c r="H97" s="9">
        <v>1</v>
      </c>
      <c r="I97" s="9">
        <v>26</v>
      </c>
      <c r="J97" s="10">
        <f t="shared" si="4"/>
        <v>46300</v>
      </c>
      <c r="K97" s="10">
        <f t="shared" si="5"/>
        <v>46479</v>
      </c>
    </row>
    <row r="98" spans="1:11" x14ac:dyDescent="0.35">
      <c r="A98" s="9" t="s">
        <v>273</v>
      </c>
      <c r="B98" s="9">
        <v>3</v>
      </c>
      <c r="C98" s="9" t="s">
        <v>274</v>
      </c>
      <c r="D98" s="9" t="s">
        <v>250</v>
      </c>
      <c r="E98" s="9" t="s">
        <v>272</v>
      </c>
      <c r="F98" s="9" t="s">
        <v>46</v>
      </c>
      <c r="G98" s="9">
        <v>10</v>
      </c>
      <c r="H98" s="9">
        <v>1</v>
      </c>
      <c r="I98" s="9">
        <v>26</v>
      </c>
      <c r="J98" s="10">
        <f t="shared" si="4"/>
        <v>46300</v>
      </c>
      <c r="K98" s="10">
        <f t="shared" si="5"/>
        <v>46479</v>
      </c>
    </row>
    <row r="99" spans="1:11" x14ac:dyDescent="0.35">
      <c r="A99" s="9" t="s">
        <v>275</v>
      </c>
      <c r="B99" s="9">
        <v>3</v>
      </c>
      <c r="C99" s="9" t="s">
        <v>276</v>
      </c>
      <c r="D99" s="9" t="s">
        <v>250</v>
      </c>
      <c r="E99" s="9" t="s">
        <v>272</v>
      </c>
      <c r="F99" s="9" t="s">
        <v>46</v>
      </c>
      <c r="G99" s="9">
        <v>10</v>
      </c>
      <c r="H99" s="9">
        <v>1</v>
      </c>
      <c r="I99" s="9">
        <v>26</v>
      </c>
      <c r="J99" s="10">
        <f t="shared" si="4"/>
        <v>46300</v>
      </c>
      <c r="K99" s="10">
        <f t="shared" si="5"/>
        <v>46479</v>
      </c>
    </row>
    <row r="100" spans="1:11" x14ac:dyDescent="0.35">
      <c r="C100" s="4" t="s">
        <v>277</v>
      </c>
      <c r="G100" s="4">
        <f>SUM(G5:G99)</f>
        <v>6880</v>
      </c>
      <c r="H100" t="s">
        <v>278</v>
      </c>
      <c r="I100" t="str">
        <f>IF(G100=6880,"OK","CHECK")</f>
        <v>OK</v>
      </c>
    </row>
    <row r="102" spans="1:11" x14ac:dyDescent="0.35">
      <c r="C102" s="4" t="s">
        <v>279</v>
      </c>
    </row>
    <row r="103" spans="1:11" x14ac:dyDescent="0.35">
      <c r="C103" t="s">
        <v>44</v>
      </c>
      <c r="G103">
        <f>SUMIF(A$5:A$99,"1.*",G$5:G$99)</f>
        <v>420</v>
      </c>
    </row>
    <row r="104" spans="1:11" x14ac:dyDescent="0.35">
      <c r="C104" t="s">
        <v>67</v>
      </c>
      <c r="G104">
        <f>SUMIF(A$5:A$99,"2.*",G$5:G$99)</f>
        <v>700</v>
      </c>
    </row>
    <row r="105" spans="1:11" x14ac:dyDescent="0.35">
      <c r="C105" t="s">
        <v>102</v>
      </c>
      <c r="G105">
        <f>SUMIF(A$5:A$99,"3.*",G$5:G$99)</f>
        <v>900</v>
      </c>
    </row>
    <row r="106" spans="1:11" x14ac:dyDescent="0.35">
      <c r="C106" t="s">
        <v>130</v>
      </c>
      <c r="G106">
        <f>SUMIF(A$5:A$99,"4.*",G$5:G$99)</f>
        <v>2640</v>
      </c>
    </row>
    <row r="107" spans="1:11" x14ac:dyDescent="0.35">
      <c r="C107" t="s">
        <v>172</v>
      </c>
      <c r="G107">
        <f>SUMIF(A$5:A$99,"5.*",G$5:G$99)</f>
        <v>1200</v>
      </c>
    </row>
    <row r="108" spans="1:11" x14ac:dyDescent="0.35">
      <c r="C108" t="s">
        <v>206</v>
      </c>
      <c r="G108">
        <f>SUMIF(A$5:A$99,"6.*",G$5:G$99)</f>
        <v>300</v>
      </c>
    </row>
    <row r="109" spans="1:11" x14ac:dyDescent="0.35">
      <c r="C109" t="s">
        <v>226</v>
      </c>
      <c r="G109">
        <f>SUMIF(A$5:A$99,"7.*",G$5:G$99)</f>
        <v>380</v>
      </c>
    </row>
    <row r="110" spans="1:11" x14ac:dyDescent="0.35">
      <c r="C110" t="s">
        <v>250</v>
      </c>
      <c r="G110">
        <f>SUMIF(A$5:A$99,"8.*",G$5:G$99)</f>
        <v>340</v>
      </c>
    </row>
  </sheetData>
  <autoFilter ref="A4:K9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50"/>
  <sheetViews>
    <sheetView tabSelected="1" workbookViewId="0">
      <pane xSplit="5" ySplit="4" topLeftCell="F5" activePane="bottomRight" state="frozen"/>
      <selection pane="topRight"/>
      <selection pane="bottomLeft"/>
      <selection pane="bottomRight" activeCell="G5" sqref="G5"/>
    </sheetView>
  </sheetViews>
  <sheetFormatPr defaultRowHeight="14.5" x14ac:dyDescent="0.35"/>
  <cols>
    <col min="1" max="1" width="6" customWidth="1"/>
    <col min="2" max="2" width="34" customWidth="1"/>
    <col min="3" max="5" width="7" customWidth="1"/>
    <col min="6" max="31" width="4.26953125" customWidth="1"/>
  </cols>
  <sheetData>
    <row r="1" spans="1:31" ht="17" x14ac:dyDescent="0.4">
      <c r="A1" s="1" t="s">
        <v>280</v>
      </c>
    </row>
    <row r="2" spans="1:31" x14ac:dyDescent="0.35">
      <c r="A2" t="s">
        <v>281</v>
      </c>
    </row>
    <row r="3" spans="1:31" ht="42" customHeight="1" x14ac:dyDescent="0.35">
      <c r="F3" s="11">
        <f>DATE(2026,10,5)+0*7</f>
        <v>46300</v>
      </c>
      <c r="G3" s="11">
        <f>DATE(2026,10,5)+1*7</f>
        <v>46307</v>
      </c>
      <c r="H3" s="11">
        <f>DATE(2026,10,5)+2*7</f>
        <v>46314</v>
      </c>
      <c r="I3" s="11">
        <f>DATE(2026,10,5)+3*7</f>
        <v>46321</v>
      </c>
      <c r="J3" s="11">
        <f>DATE(2026,10,5)+4*7</f>
        <v>46328</v>
      </c>
      <c r="K3" s="11">
        <f>DATE(2026,10,5)+5*7</f>
        <v>46335</v>
      </c>
      <c r="L3" s="11">
        <f>DATE(2026,10,5)+6*7</f>
        <v>46342</v>
      </c>
      <c r="M3" s="11">
        <f>DATE(2026,10,5)+7*7</f>
        <v>46349</v>
      </c>
      <c r="N3" s="11">
        <f>DATE(2026,10,5)+8*7</f>
        <v>46356</v>
      </c>
      <c r="O3" s="11">
        <f>DATE(2026,10,5)+9*7</f>
        <v>46363</v>
      </c>
      <c r="P3" s="11">
        <f>DATE(2026,10,5)+10*7</f>
        <v>46370</v>
      </c>
      <c r="Q3" s="11">
        <f>DATE(2026,10,5)+11*7</f>
        <v>46377</v>
      </c>
      <c r="R3" s="11">
        <f>DATE(2026,10,5)+12*7</f>
        <v>46384</v>
      </c>
      <c r="S3" s="11">
        <f>DATE(2026,10,5)+13*7</f>
        <v>46391</v>
      </c>
      <c r="T3" s="11">
        <f>DATE(2026,10,5)+14*7</f>
        <v>46398</v>
      </c>
      <c r="U3" s="11">
        <f>DATE(2026,10,5)+15*7</f>
        <v>46405</v>
      </c>
      <c r="V3" s="11">
        <f>DATE(2026,10,5)+16*7</f>
        <v>46412</v>
      </c>
      <c r="W3" s="11">
        <f>DATE(2026,10,5)+17*7</f>
        <v>46419</v>
      </c>
      <c r="X3" s="11">
        <f>DATE(2026,10,5)+18*7</f>
        <v>46426</v>
      </c>
      <c r="Y3" s="11">
        <f>DATE(2026,10,5)+19*7</f>
        <v>46433</v>
      </c>
      <c r="Z3" s="11">
        <f>DATE(2026,10,5)+20*7</f>
        <v>46440</v>
      </c>
      <c r="AA3" s="11">
        <f>DATE(2026,10,5)+21*7</f>
        <v>46447</v>
      </c>
      <c r="AB3" s="11">
        <f>DATE(2026,10,5)+22*7</f>
        <v>46454</v>
      </c>
      <c r="AC3" s="11">
        <f>DATE(2026,10,5)+23*7</f>
        <v>46461</v>
      </c>
      <c r="AD3" s="11">
        <f>DATE(2026,10,5)+24*7</f>
        <v>46468</v>
      </c>
      <c r="AE3" s="11">
        <f>DATE(2026,10,5)+25*7</f>
        <v>46475</v>
      </c>
    </row>
    <row r="4" spans="1:31" ht="29" x14ac:dyDescent="0.35">
      <c r="A4" s="2" t="s">
        <v>282</v>
      </c>
      <c r="B4" s="2" t="s">
        <v>283</v>
      </c>
      <c r="C4" s="2" t="s">
        <v>284</v>
      </c>
      <c r="D4" s="2" t="s">
        <v>285</v>
      </c>
      <c r="E4" s="2" t="s">
        <v>286</v>
      </c>
      <c r="F4" s="2" t="s">
        <v>287</v>
      </c>
      <c r="G4" s="2" t="s">
        <v>288</v>
      </c>
      <c r="H4" s="2" t="s">
        <v>289</v>
      </c>
      <c r="I4" s="2" t="s">
        <v>290</v>
      </c>
      <c r="J4" s="2" t="s">
        <v>291</v>
      </c>
      <c r="K4" s="2" t="s">
        <v>292</v>
      </c>
      <c r="L4" s="2" t="s">
        <v>293</v>
      </c>
      <c r="M4" s="2" t="s">
        <v>294</v>
      </c>
      <c r="N4" s="2" t="s">
        <v>295</v>
      </c>
      <c r="O4" s="2" t="s">
        <v>296</v>
      </c>
      <c r="P4" s="2" t="s">
        <v>297</v>
      </c>
      <c r="Q4" s="2" t="s">
        <v>298</v>
      </c>
      <c r="R4" s="2" t="s">
        <v>299</v>
      </c>
      <c r="S4" s="2" t="s">
        <v>300</v>
      </c>
      <c r="T4" s="2" t="s">
        <v>301</v>
      </c>
      <c r="U4" s="2" t="s">
        <v>302</v>
      </c>
      <c r="V4" s="2" t="s">
        <v>303</v>
      </c>
      <c r="W4" s="2" t="s">
        <v>304</v>
      </c>
      <c r="X4" s="2" t="s">
        <v>305</v>
      </c>
      <c r="Y4" s="2" t="s">
        <v>306</v>
      </c>
      <c r="Z4" s="2" t="s">
        <v>307</v>
      </c>
      <c r="AA4" s="2" t="s">
        <v>308</v>
      </c>
      <c r="AB4" s="2" t="s">
        <v>309</v>
      </c>
      <c r="AC4" s="2" t="s">
        <v>310</v>
      </c>
      <c r="AD4" s="2" t="s">
        <v>311</v>
      </c>
      <c r="AE4" s="2" t="s">
        <v>312</v>
      </c>
    </row>
    <row r="5" spans="1:31" x14ac:dyDescent="0.35">
      <c r="A5" s="12" t="s">
        <v>313</v>
      </c>
      <c r="B5" s="12" t="s">
        <v>314</v>
      </c>
      <c r="C5" s="9">
        <v>1</v>
      </c>
      <c r="D5" s="9">
        <v>3</v>
      </c>
      <c r="E5" s="9">
        <v>1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x14ac:dyDescent="0.35">
      <c r="A6" s="9" t="s">
        <v>315</v>
      </c>
      <c r="B6" s="9" t="s">
        <v>316</v>
      </c>
      <c r="C6" s="9">
        <v>1</v>
      </c>
      <c r="D6" s="9">
        <v>2</v>
      </c>
      <c r="E6" s="9">
        <v>1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spans="1:31" x14ac:dyDescent="0.35">
      <c r="A7" s="9" t="s">
        <v>317</v>
      </c>
      <c r="B7" s="9" t="s">
        <v>318</v>
      </c>
      <c r="C7" s="9">
        <v>1</v>
      </c>
      <c r="D7" s="9">
        <v>3</v>
      </c>
      <c r="E7" s="9">
        <v>1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1" x14ac:dyDescent="0.35">
      <c r="A8" s="9" t="s">
        <v>319</v>
      </c>
      <c r="B8" s="9" t="s">
        <v>320</v>
      </c>
      <c r="C8" s="9">
        <v>1</v>
      </c>
      <c r="D8" s="9">
        <v>2</v>
      </c>
      <c r="E8" s="9">
        <v>0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1:31" x14ac:dyDescent="0.35">
      <c r="A9" s="12" t="s">
        <v>321</v>
      </c>
      <c r="B9" s="12" t="s">
        <v>322</v>
      </c>
      <c r="C9" s="9">
        <v>3</v>
      </c>
      <c r="D9" s="9">
        <v>6</v>
      </c>
      <c r="E9" s="9">
        <v>1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</row>
    <row r="10" spans="1:31" x14ac:dyDescent="0.35">
      <c r="A10" s="9" t="s">
        <v>323</v>
      </c>
      <c r="B10" s="9" t="s">
        <v>324</v>
      </c>
      <c r="C10" s="9">
        <v>3</v>
      </c>
      <c r="D10" s="9">
        <v>5</v>
      </c>
      <c r="E10" s="9">
        <v>1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</row>
    <row r="11" spans="1:31" x14ac:dyDescent="0.35">
      <c r="A11" s="9" t="s">
        <v>325</v>
      </c>
      <c r="B11" s="9" t="s">
        <v>326</v>
      </c>
      <c r="C11" s="9">
        <v>3</v>
      </c>
      <c r="D11" s="9">
        <v>6</v>
      </c>
      <c r="E11" s="9">
        <v>1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 spans="1:31" x14ac:dyDescent="0.35">
      <c r="A12" s="9" t="s">
        <v>327</v>
      </c>
      <c r="B12" s="9" t="s">
        <v>328</v>
      </c>
      <c r="C12" s="9">
        <v>3</v>
      </c>
      <c r="D12" s="9">
        <v>5</v>
      </c>
      <c r="E12" s="9">
        <v>1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 spans="1:31" x14ac:dyDescent="0.35">
      <c r="A13" s="9" t="s">
        <v>329</v>
      </c>
      <c r="B13" s="9" t="s">
        <v>330</v>
      </c>
      <c r="C13" s="9">
        <v>5</v>
      </c>
      <c r="D13" s="9">
        <v>6</v>
      </c>
      <c r="E13" s="9">
        <v>1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 spans="1:31" x14ac:dyDescent="0.35">
      <c r="A14" s="12" t="s">
        <v>331</v>
      </c>
      <c r="B14" s="12" t="s">
        <v>332</v>
      </c>
      <c r="C14" s="9">
        <v>6</v>
      </c>
      <c r="D14" s="9">
        <v>9</v>
      </c>
      <c r="E14" s="9">
        <v>1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spans="1:31" x14ac:dyDescent="0.35">
      <c r="A15" s="9" t="s">
        <v>333</v>
      </c>
      <c r="B15" s="9" t="s">
        <v>334</v>
      </c>
      <c r="C15" s="9">
        <v>6</v>
      </c>
      <c r="D15" s="9">
        <v>8</v>
      </c>
      <c r="E15" s="9">
        <v>1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spans="1:31" x14ac:dyDescent="0.35">
      <c r="A16" s="9" t="s">
        <v>335</v>
      </c>
      <c r="B16" s="9" t="s">
        <v>336</v>
      </c>
      <c r="C16" s="9">
        <v>7</v>
      </c>
      <c r="D16" s="9">
        <v>9</v>
      </c>
      <c r="E16" s="9">
        <v>1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spans="1:31" x14ac:dyDescent="0.35">
      <c r="A17" s="9" t="s">
        <v>337</v>
      </c>
      <c r="B17" s="9" t="s">
        <v>338</v>
      </c>
      <c r="C17" s="9">
        <v>9</v>
      </c>
      <c r="D17" s="9">
        <v>9</v>
      </c>
      <c r="E17" s="9">
        <v>1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spans="1:31" x14ac:dyDescent="0.35">
      <c r="A18" s="12" t="s">
        <v>339</v>
      </c>
      <c r="B18" s="12" t="s">
        <v>340</v>
      </c>
      <c r="C18" s="9">
        <v>9</v>
      </c>
      <c r="D18" s="9">
        <v>20</v>
      </c>
      <c r="E18" s="9">
        <v>1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spans="1:31" x14ac:dyDescent="0.35">
      <c r="A19" s="9" t="s">
        <v>341</v>
      </c>
      <c r="B19" s="9" t="s">
        <v>342</v>
      </c>
      <c r="C19" s="9">
        <v>9</v>
      </c>
      <c r="D19" s="9">
        <v>20</v>
      </c>
      <c r="E19" s="9">
        <v>1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spans="1:31" x14ac:dyDescent="0.35">
      <c r="A20" s="9" t="s">
        <v>343</v>
      </c>
      <c r="B20" s="9" t="s">
        <v>344</v>
      </c>
      <c r="C20" s="9">
        <v>9</v>
      </c>
      <c r="D20" s="9">
        <v>19</v>
      </c>
      <c r="E20" s="9">
        <v>0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spans="1:31" x14ac:dyDescent="0.35">
      <c r="A21" s="9" t="s">
        <v>345</v>
      </c>
      <c r="B21" s="9" t="s">
        <v>346</v>
      </c>
      <c r="C21" s="9">
        <v>9</v>
      </c>
      <c r="D21" s="9">
        <v>12</v>
      </c>
      <c r="E21" s="9">
        <v>0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spans="1:31" x14ac:dyDescent="0.35">
      <c r="A22" s="9" t="s">
        <v>347</v>
      </c>
      <c r="B22" s="9" t="s">
        <v>348</v>
      </c>
      <c r="C22" s="9">
        <v>12</v>
      </c>
      <c r="D22" s="9">
        <v>19</v>
      </c>
      <c r="E22" s="9">
        <v>0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spans="1:31" x14ac:dyDescent="0.35">
      <c r="A23" s="12" t="s">
        <v>349</v>
      </c>
      <c r="B23" s="12" t="s">
        <v>350</v>
      </c>
      <c r="C23" s="9">
        <v>15</v>
      </c>
      <c r="D23" s="9">
        <v>22</v>
      </c>
      <c r="E23" s="9">
        <v>1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spans="1:31" x14ac:dyDescent="0.35">
      <c r="A24" s="9" t="s">
        <v>351</v>
      </c>
      <c r="B24" s="9" t="s">
        <v>352</v>
      </c>
      <c r="C24" s="9">
        <v>16</v>
      </c>
      <c r="D24" s="9">
        <v>19</v>
      </c>
      <c r="E24" s="9">
        <v>0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spans="1:31" x14ac:dyDescent="0.35">
      <c r="A25" s="9" t="s">
        <v>353</v>
      </c>
      <c r="B25" s="9" t="s">
        <v>354</v>
      </c>
      <c r="C25" s="9">
        <v>15</v>
      </c>
      <c r="D25" s="9">
        <v>21</v>
      </c>
      <c r="E25" s="9">
        <v>0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spans="1:31" x14ac:dyDescent="0.35">
      <c r="A26" s="9" t="s">
        <v>355</v>
      </c>
      <c r="B26" s="9" t="s">
        <v>356</v>
      </c>
      <c r="C26" s="9">
        <v>20</v>
      </c>
      <c r="D26" s="9">
        <v>21</v>
      </c>
      <c r="E26" s="9">
        <v>0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spans="1:31" x14ac:dyDescent="0.35">
      <c r="A27" s="9" t="s">
        <v>357</v>
      </c>
      <c r="B27" s="9" t="s">
        <v>358</v>
      </c>
      <c r="C27" s="9">
        <v>21</v>
      </c>
      <c r="D27" s="9">
        <v>22</v>
      </c>
      <c r="E27" s="9">
        <v>1</v>
      </c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spans="1:31" x14ac:dyDescent="0.35">
      <c r="A28" s="12" t="s">
        <v>359</v>
      </c>
      <c r="B28" s="12" t="s">
        <v>360</v>
      </c>
      <c r="C28" s="9">
        <v>23</v>
      </c>
      <c r="D28" s="9">
        <v>23</v>
      </c>
      <c r="E28" s="9">
        <v>1</v>
      </c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spans="1:31" x14ac:dyDescent="0.35">
      <c r="A29" s="9" t="s">
        <v>361</v>
      </c>
      <c r="B29" s="9" t="s">
        <v>362</v>
      </c>
      <c r="C29" s="9">
        <v>20</v>
      </c>
      <c r="D29" s="9">
        <v>23</v>
      </c>
      <c r="E29" s="9">
        <v>1</v>
      </c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spans="1:31" x14ac:dyDescent="0.35">
      <c r="A30" s="9" t="s">
        <v>363</v>
      </c>
      <c r="B30" s="9" t="s">
        <v>364</v>
      </c>
      <c r="C30" s="9">
        <v>23</v>
      </c>
      <c r="D30" s="9">
        <v>23</v>
      </c>
      <c r="E30" s="9">
        <v>1</v>
      </c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spans="1:31" x14ac:dyDescent="0.35">
      <c r="A31" s="9" t="s">
        <v>365</v>
      </c>
      <c r="B31" s="9" t="s">
        <v>366</v>
      </c>
      <c r="C31" s="9">
        <v>23</v>
      </c>
      <c r="D31" s="9">
        <v>23</v>
      </c>
      <c r="E31" s="9">
        <v>1</v>
      </c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spans="1:31" x14ac:dyDescent="0.35">
      <c r="A32" s="12" t="s">
        <v>367</v>
      </c>
      <c r="B32" s="12" t="s">
        <v>368</v>
      </c>
      <c r="C32" s="9">
        <v>24</v>
      </c>
      <c r="D32" s="9">
        <v>26</v>
      </c>
      <c r="E32" s="9">
        <v>1</v>
      </c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spans="1:31" x14ac:dyDescent="0.35">
      <c r="A33" s="9" t="s">
        <v>369</v>
      </c>
      <c r="B33" s="9" t="s">
        <v>370</v>
      </c>
      <c r="C33" s="9">
        <v>24</v>
      </c>
      <c r="D33" s="9">
        <v>26</v>
      </c>
      <c r="E33" s="9">
        <v>1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spans="1:31" x14ac:dyDescent="0.35">
      <c r="A34" s="9" t="s">
        <v>371</v>
      </c>
      <c r="B34" s="9" t="s">
        <v>372</v>
      </c>
      <c r="C34" s="9">
        <v>24</v>
      </c>
      <c r="D34" s="9">
        <v>26</v>
      </c>
      <c r="E34" s="9">
        <v>1</v>
      </c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spans="1:31" x14ac:dyDescent="0.35">
      <c r="A35" s="9" t="s">
        <v>373</v>
      </c>
      <c r="B35" s="9" t="s">
        <v>374</v>
      </c>
      <c r="C35" s="9">
        <v>26</v>
      </c>
      <c r="D35" s="9">
        <v>26</v>
      </c>
      <c r="E35" s="9">
        <v>1</v>
      </c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spans="1:31" x14ac:dyDescent="0.35">
      <c r="A36" s="12" t="s">
        <v>375</v>
      </c>
      <c r="B36" s="12" t="s">
        <v>376</v>
      </c>
      <c r="C36" s="9">
        <v>1</v>
      </c>
      <c r="D36" s="9">
        <v>26</v>
      </c>
      <c r="E36" s="9">
        <v>0</v>
      </c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spans="1:31" x14ac:dyDescent="0.35">
      <c r="A37" s="9" t="s">
        <v>377</v>
      </c>
      <c r="B37" s="9" t="s">
        <v>378</v>
      </c>
      <c r="C37" s="9">
        <v>1</v>
      </c>
      <c r="D37" s="9">
        <v>26</v>
      </c>
      <c r="E37" s="9">
        <v>0</v>
      </c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spans="1:31" x14ac:dyDescent="0.35">
      <c r="A38" s="9" t="s">
        <v>379</v>
      </c>
      <c r="B38" s="9" t="s">
        <v>380</v>
      </c>
      <c r="C38" s="9">
        <v>1</v>
      </c>
      <c r="D38" s="9">
        <v>26</v>
      </c>
      <c r="E38" s="9">
        <v>0</v>
      </c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spans="1:31" x14ac:dyDescent="0.35">
      <c r="A39" s="9" t="s">
        <v>381</v>
      </c>
      <c r="B39" s="9" t="s">
        <v>382</v>
      </c>
      <c r="C39" s="9">
        <v>1</v>
      </c>
      <c r="D39" s="9">
        <v>26</v>
      </c>
      <c r="E39" s="9">
        <v>0</v>
      </c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</row>
    <row r="40" spans="1:31" x14ac:dyDescent="0.35">
      <c r="A40" s="9" t="s">
        <v>383</v>
      </c>
      <c r="B40" s="9" t="s">
        <v>384</v>
      </c>
      <c r="C40" s="9">
        <v>1</v>
      </c>
      <c r="D40" s="9">
        <v>26</v>
      </c>
      <c r="E40" s="9">
        <v>0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</row>
    <row r="41" spans="1:31" x14ac:dyDescent="0.35">
      <c r="A41" s="9" t="s">
        <v>385</v>
      </c>
      <c r="B41" s="9" t="s">
        <v>386</v>
      </c>
      <c r="C41" s="9">
        <v>3</v>
      </c>
      <c r="D41" s="9">
        <v>3</v>
      </c>
      <c r="E41" s="9" t="s">
        <v>387</v>
      </c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</row>
    <row r="42" spans="1:31" x14ac:dyDescent="0.35">
      <c r="A42" s="9" t="s">
        <v>388</v>
      </c>
      <c r="B42" s="9" t="s">
        <v>389</v>
      </c>
      <c r="C42" s="9">
        <v>6</v>
      </c>
      <c r="D42" s="9">
        <v>6</v>
      </c>
      <c r="E42" s="9" t="s">
        <v>387</v>
      </c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</row>
    <row r="43" spans="1:31" x14ac:dyDescent="0.35">
      <c r="A43" s="9" t="s">
        <v>390</v>
      </c>
      <c r="B43" s="9" t="s">
        <v>391</v>
      </c>
      <c r="C43" s="9">
        <v>9</v>
      </c>
      <c r="D43" s="9">
        <v>9</v>
      </c>
      <c r="E43" s="9" t="s">
        <v>387</v>
      </c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</row>
    <row r="44" spans="1:31" x14ac:dyDescent="0.35">
      <c r="A44" s="9" t="s">
        <v>392</v>
      </c>
      <c r="B44" s="9" t="s">
        <v>393</v>
      </c>
      <c r="C44" s="9">
        <v>16</v>
      </c>
      <c r="D44" s="9">
        <v>16</v>
      </c>
      <c r="E44" s="9" t="s">
        <v>387</v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</row>
    <row r="45" spans="1:31" x14ac:dyDescent="0.35">
      <c r="A45" s="9" t="s">
        <v>394</v>
      </c>
      <c r="B45" s="9" t="s">
        <v>395</v>
      </c>
      <c r="C45" s="9">
        <v>20</v>
      </c>
      <c r="D45" s="9">
        <v>20</v>
      </c>
      <c r="E45" s="9" t="s">
        <v>387</v>
      </c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</row>
    <row r="46" spans="1:31" x14ac:dyDescent="0.35">
      <c r="A46" s="9" t="s">
        <v>396</v>
      </c>
      <c r="B46" s="9" t="s">
        <v>397</v>
      </c>
      <c r="C46" s="9">
        <v>22</v>
      </c>
      <c r="D46" s="9">
        <v>22</v>
      </c>
      <c r="E46" s="9" t="s">
        <v>387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</row>
    <row r="47" spans="1:31" x14ac:dyDescent="0.35">
      <c r="A47" s="9" t="s">
        <v>398</v>
      </c>
      <c r="B47" s="9" t="s">
        <v>399</v>
      </c>
      <c r="C47" s="9">
        <v>23</v>
      </c>
      <c r="D47" s="9">
        <v>23</v>
      </c>
      <c r="E47" s="9" t="s">
        <v>387</v>
      </c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</row>
    <row r="48" spans="1:31" x14ac:dyDescent="0.35">
      <c r="A48" s="9" t="s">
        <v>400</v>
      </c>
      <c r="B48" s="9" t="s">
        <v>401</v>
      </c>
      <c r="C48" s="9">
        <v>26</v>
      </c>
      <c r="D48" s="9">
        <v>26</v>
      </c>
      <c r="E48" s="9" t="s">
        <v>387</v>
      </c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</row>
    <row r="50" spans="2:2" x14ac:dyDescent="0.35">
      <c r="B50" t="s">
        <v>402</v>
      </c>
    </row>
  </sheetData>
  <conditionalFormatting sqref="F5:AE48">
    <cfRule type="expression" dxfId="2" priority="1" stopIfTrue="1">
      <formula>AND($E5="M",COLUMN()-5=$C5)</formula>
    </cfRule>
    <cfRule type="expression" dxfId="1" priority="2" stopIfTrue="1">
      <formula>AND($E5=1,COLUMN()-5&gt;=$C5,COLUMN()-5&lt;=$D5)</formula>
    </cfRule>
    <cfRule type="expression" dxfId="0" priority="3" stopIfTrue="1">
      <formula>AND(COLUMN()-5&gt;=$C5,COLUMN()-5&lt;=$D5,$E5&lt;&gt;"M")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Cash Flow</vt:lpstr>
      <vt:lpstr>WBS</vt:lpstr>
      <vt:lpstr>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Thabiso Patrick Matsaba</cp:lastModifiedBy>
  <dcterms:created xsi:type="dcterms:W3CDTF">2026-09-30T21:44:49Z</dcterms:created>
  <dcterms:modified xsi:type="dcterms:W3CDTF">2026-09-30T22:33:19Z</dcterms:modified>
</cp:coreProperties>
</file>