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abi\Desktop\ICT App Dev\ICT App Dev Year 4\PROFESSIONAL DEVELOPMENT 4 (PFD473S)\Semester 2\Term 3\T3 Assignment\"/>
    </mc:Choice>
  </mc:AlternateContent>
  <xr:revisionPtr revIDLastSave="0" documentId="13_ncr:1_{5C504451-E355-4CB5-83FD-ED0F5BDD33F4}" xr6:coauthVersionLast="47" xr6:coauthVersionMax="47" xr10:uidLastSave="{00000000-0000-0000-0000-000000000000}"/>
  <bookViews>
    <workbookView xWindow="10" yWindow="10" windowWidth="19180" windowHeight="10060" xr2:uid="{00000000-000D-0000-FFFF-FFFF00000000}"/>
  </bookViews>
  <sheets>
    <sheet name="Contents" sheetId="1" r:id="rId1"/>
    <sheet name="Business Case" sheetId="2" r:id="rId2"/>
    <sheet name="WBS" sheetId="3" r:id="rId3"/>
    <sheet name="Gantt" sheetId="4" r:id="rId4"/>
    <sheet name="PERT" sheetId="5" r:id="rId5"/>
    <sheet name="Resources" sheetId="6" r:id="rId6"/>
    <sheet name="Budget" sheetId="7" r:id="rId7"/>
    <sheet name="Cash Flow" sheetId="8" r:id="rId8"/>
    <sheet name="Risk Register" sheetId="9" r:id="rId9"/>
    <sheet name="RACI" sheetId="10" r:id="rId10"/>
    <sheet name="EVM" sheetId="11" r:id="rId11"/>
  </sheets>
  <definedNames>
    <definedName name="_xlnm._FilterDatabase" localSheetId="8" hidden="1">'Risk Register'!$A$4:$L$21</definedName>
    <definedName name="_xlnm._FilterDatabase" localSheetId="2" hidden="1">WBS!$A$4:$K$99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1" l="1"/>
  <c r="D11" i="11" s="1"/>
  <c r="B9" i="11"/>
  <c r="K26" i="10"/>
  <c r="J26" i="10"/>
  <c r="I26" i="10"/>
  <c r="H26" i="10"/>
  <c r="G26" i="10"/>
  <c r="F26" i="10"/>
  <c r="E26" i="10"/>
  <c r="D26" i="10"/>
  <c r="C26" i="10"/>
  <c r="K25" i="10"/>
  <c r="J25" i="10"/>
  <c r="I25" i="10"/>
  <c r="H25" i="10"/>
  <c r="G25" i="10"/>
  <c r="F25" i="10"/>
  <c r="E25" i="10"/>
  <c r="D25" i="10"/>
  <c r="C25" i="10"/>
  <c r="L24" i="10"/>
  <c r="M24" i="10" s="1"/>
  <c r="L23" i="10"/>
  <c r="M23" i="10" s="1"/>
  <c r="L22" i="10"/>
  <c r="M22" i="10" s="1"/>
  <c r="L21" i="10"/>
  <c r="M21" i="10" s="1"/>
  <c r="L20" i="10"/>
  <c r="M20" i="10" s="1"/>
  <c r="L19" i="10"/>
  <c r="M19" i="10" s="1"/>
  <c r="L18" i="10"/>
  <c r="M18" i="10" s="1"/>
  <c r="L17" i="10"/>
  <c r="M17" i="10" s="1"/>
  <c r="L16" i="10"/>
  <c r="M16" i="10" s="1"/>
  <c r="L15" i="10"/>
  <c r="M15" i="10" s="1"/>
  <c r="L14" i="10"/>
  <c r="M14" i="10" s="1"/>
  <c r="L13" i="10"/>
  <c r="M13" i="10" s="1"/>
  <c r="L12" i="10"/>
  <c r="M12" i="10" s="1"/>
  <c r="L11" i="10"/>
  <c r="M11" i="10" s="1"/>
  <c r="L10" i="10"/>
  <c r="M10" i="10" s="1"/>
  <c r="L9" i="10"/>
  <c r="M9" i="10" s="1"/>
  <c r="L8" i="10"/>
  <c r="M8" i="10" s="1"/>
  <c r="L7" i="10"/>
  <c r="M7" i="10" s="1"/>
  <c r="L6" i="10"/>
  <c r="M6" i="10" s="1"/>
  <c r="L5" i="10"/>
  <c r="M5" i="10" s="1"/>
  <c r="L21" i="9"/>
  <c r="E21" i="9"/>
  <c r="F21" i="9" s="1"/>
  <c r="L20" i="9"/>
  <c r="E20" i="9"/>
  <c r="F20" i="9" s="1"/>
  <c r="L19" i="9"/>
  <c r="E19" i="9"/>
  <c r="F19" i="9" s="1"/>
  <c r="L18" i="9"/>
  <c r="E18" i="9"/>
  <c r="F18" i="9" s="1"/>
  <c r="L17" i="9"/>
  <c r="E17" i="9"/>
  <c r="F17" i="9" s="1"/>
  <c r="L16" i="9"/>
  <c r="E16" i="9"/>
  <c r="F16" i="9" s="1"/>
  <c r="L15" i="9"/>
  <c r="E15" i="9"/>
  <c r="L14" i="9"/>
  <c r="E14" i="9"/>
  <c r="F14" i="9" s="1"/>
  <c r="L13" i="9"/>
  <c r="E13" i="9"/>
  <c r="F13" i="9" s="1"/>
  <c r="L12" i="9"/>
  <c r="E12" i="9"/>
  <c r="F12" i="9" s="1"/>
  <c r="L11" i="9"/>
  <c r="E11" i="9"/>
  <c r="F11" i="9" s="1"/>
  <c r="L10" i="9"/>
  <c r="E10" i="9"/>
  <c r="F10" i="9" s="1"/>
  <c r="L9" i="9"/>
  <c r="E9" i="9"/>
  <c r="F9" i="9" s="1"/>
  <c r="L8" i="9"/>
  <c r="E8" i="9"/>
  <c r="F8" i="9" s="1"/>
  <c r="L7" i="9"/>
  <c r="E7" i="9"/>
  <c r="F7" i="9" s="1"/>
  <c r="L6" i="9"/>
  <c r="E6" i="9"/>
  <c r="F6" i="9" s="1"/>
  <c r="L5" i="9"/>
  <c r="E5" i="9"/>
  <c r="F5" i="9" s="1"/>
  <c r="H16" i="8"/>
  <c r="G16" i="8"/>
  <c r="F16" i="8"/>
  <c r="E16" i="8"/>
  <c r="D16" i="8"/>
  <c r="C16" i="8"/>
  <c r="B16" i="8"/>
  <c r="H15" i="8"/>
  <c r="H14" i="8"/>
  <c r="H13" i="8"/>
  <c r="H12" i="8"/>
  <c r="H11" i="8"/>
  <c r="H10" i="8"/>
  <c r="H9" i="8"/>
  <c r="H8" i="8"/>
  <c r="H7" i="8"/>
  <c r="H6" i="8"/>
  <c r="H5" i="8"/>
  <c r="C38" i="7"/>
  <c r="D37" i="7"/>
  <c r="D36" i="7"/>
  <c r="D35" i="7"/>
  <c r="D34" i="7"/>
  <c r="D33" i="7"/>
  <c r="D32" i="7"/>
  <c r="D31" i="7"/>
  <c r="D30" i="7"/>
  <c r="D38" i="7" s="1"/>
  <c r="C16" i="7"/>
  <c r="D18" i="6"/>
  <c r="D16" i="6"/>
  <c r="H15" i="6"/>
  <c r="G15" i="6"/>
  <c r="E15" i="6"/>
  <c r="H14" i="6"/>
  <c r="G14" i="6"/>
  <c r="E14" i="6"/>
  <c r="H13" i="6"/>
  <c r="G13" i="6"/>
  <c r="E13" i="6"/>
  <c r="H12" i="6"/>
  <c r="G12" i="6"/>
  <c r="E12" i="6"/>
  <c r="H11" i="6"/>
  <c r="G11" i="6"/>
  <c r="E11" i="6"/>
  <c r="H10" i="6"/>
  <c r="G10" i="6"/>
  <c r="E10" i="6"/>
  <c r="H9" i="6"/>
  <c r="G9" i="6"/>
  <c r="E9" i="6"/>
  <c r="H8" i="6"/>
  <c r="G8" i="6"/>
  <c r="E8" i="6"/>
  <c r="H7" i="6"/>
  <c r="H16" i="6" s="1"/>
  <c r="G7" i="6"/>
  <c r="E7" i="6"/>
  <c r="G31" i="5"/>
  <c r="F31" i="5"/>
  <c r="D31" i="5"/>
  <c r="G30" i="5"/>
  <c r="F30" i="5"/>
  <c r="D30" i="5"/>
  <c r="G29" i="5"/>
  <c r="F29" i="5"/>
  <c r="D29" i="5"/>
  <c r="G28" i="5"/>
  <c r="F28" i="5"/>
  <c r="D28" i="5"/>
  <c r="G27" i="5"/>
  <c r="F27" i="5"/>
  <c r="D27" i="5"/>
  <c r="G26" i="5"/>
  <c r="F26" i="5"/>
  <c r="D26" i="5"/>
  <c r="F12" i="5"/>
  <c r="G12" i="5" s="1"/>
  <c r="E12" i="5"/>
  <c r="H12" i="5" s="1"/>
  <c r="F11" i="5"/>
  <c r="G11" i="5" s="1"/>
  <c r="E11" i="5"/>
  <c r="H11" i="5" s="1"/>
  <c r="F10" i="5"/>
  <c r="G10" i="5" s="1"/>
  <c r="E10" i="5"/>
  <c r="H10" i="5" s="1"/>
  <c r="F9" i="5"/>
  <c r="G9" i="5" s="1"/>
  <c r="E9" i="5"/>
  <c r="H9" i="5" s="1"/>
  <c r="F8" i="5"/>
  <c r="G8" i="5" s="1"/>
  <c r="E8" i="5"/>
  <c r="H8" i="5" s="1"/>
  <c r="F7" i="5"/>
  <c r="G7" i="5" s="1"/>
  <c r="E7" i="5"/>
  <c r="H7" i="5" s="1"/>
  <c r="F6" i="5"/>
  <c r="G6" i="5" s="1"/>
  <c r="E6" i="5"/>
  <c r="F5" i="5"/>
  <c r="G5" i="5" s="1"/>
  <c r="E5" i="5"/>
  <c r="H5" i="5" s="1"/>
  <c r="AE3" i="4"/>
  <c r="AD3" i="4"/>
  <c r="AC3" i="4"/>
  <c r="AB3" i="4"/>
  <c r="AA3" i="4"/>
  <c r="Z3" i="4"/>
  <c r="Y3" i="4"/>
  <c r="X3" i="4"/>
  <c r="W3" i="4"/>
  <c r="V3" i="4"/>
  <c r="U3" i="4"/>
  <c r="T3" i="4"/>
  <c r="S3" i="4"/>
  <c r="R3" i="4"/>
  <c r="Q3" i="4"/>
  <c r="P3" i="4"/>
  <c r="O3" i="4"/>
  <c r="N3" i="4"/>
  <c r="M3" i="4"/>
  <c r="L3" i="4"/>
  <c r="K3" i="4"/>
  <c r="J3" i="4"/>
  <c r="I3" i="4"/>
  <c r="H3" i="4"/>
  <c r="G3" i="4"/>
  <c r="F3" i="4"/>
  <c r="G115" i="3"/>
  <c r="G114" i="3"/>
  <c r="I112" i="3"/>
  <c r="G111" i="3"/>
  <c r="G110" i="3"/>
  <c r="G109" i="3"/>
  <c r="G108" i="3"/>
  <c r="G107" i="3"/>
  <c r="G106" i="3"/>
  <c r="G105" i="3"/>
  <c r="G104" i="3"/>
  <c r="G100" i="3"/>
  <c r="I100" i="3" s="1"/>
  <c r="K99" i="3"/>
  <c r="J99" i="3"/>
  <c r="K98" i="3"/>
  <c r="J98" i="3"/>
  <c r="K97" i="3"/>
  <c r="J97" i="3"/>
  <c r="K96" i="3"/>
  <c r="J96" i="3"/>
  <c r="K95" i="3"/>
  <c r="J95" i="3"/>
  <c r="K94" i="3"/>
  <c r="J94" i="3"/>
  <c r="K93" i="3"/>
  <c r="J93" i="3"/>
  <c r="K92" i="3"/>
  <c r="J92" i="3"/>
  <c r="K91" i="3"/>
  <c r="J91" i="3"/>
  <c r="K90" i="3"/>
  <c r="J90" i="3"/>
  <c r="K89" i="3"/>
  <c r="J89" i="3"/>
  <c r="K88" i="3"/>
  <c r="J88" i="3"/>
  <c r="K87" i="3"/>
  <c r="J87" i="3"/>
  <c r="K86" i="3"/>
  <c r="J86" i="3"/>
  <c r="K85" i="3"/>
  <c r="J85" i="3"/>
  <c r="K84" i="3"/>
  <c r="J84" i="3"/>
  <c r="K83" i="3"/>
  <c r="J83" i="3"/>
  <c r="K82" i="3"/>
  <c r="J82" i="3"/>
  <c r="K81" i="3"/>
  <c r="J81" i="3"/>
  <c r="K80" i="3"/>
  <c r="J80" i="3"/>
  <c r="K79" i="3"/>
  <c r="J79" i="3"/>
  <c r="K78" i="3"/>
  <c r="J78" i="3"/>
  <c r="K77" i="3"/>
  <c r="J77" i="3"/>
  <c r="K76" i="3"/>
  <c r="J76" i="3"/>
  <c r="K75" i="3"/>
  <c r="J75" i="3"/>
  <c r="K74" i="3"/>
  <c r="J74" i="3"/>
  <c r="K73" i="3"/>
  <c r="J73" i="3"/>
  <c r="K72" i="3"/>
  <c r="J72" i="3"/>
  <c r="K71" i="3"/>
  <c r="J71" i="3"/>
  <c r="K70" i="3"/>
  <c r="J70" i="3"/>
  <c r="K69" i="3"/>
  <c r="J69" i="3"/>
  <c r="K68" i="3"/>
  <c r="J68" i="3"/>
  <c r="K67" i="3"/>
  <c r="J67" i="3"/>
  <c r="K66" i="3"/>
  <c r="J66" i="3"/>
  <c r="K65" i="3"/>
  <c r="J65" i="3"/>
  <c r="K64" i="3"/>
  <c r="J64" i="3"/>
  <c r="K63" i="3"/>
  <c r="J63" i="3"/>
  <c r="K62" i="3"/>
  <c r="J62" i="3"/>
  <c r="K61" i="3"/>
  <c r="J61" i="3"/>
  <c r="K60" i="3"/>
  <c r="J60" i="3"/>
  <c r="K59" i="3"/>
  <c r="J59" i="3"/>
  <c r="K58" i="3"/>
  <c r="J58" i="3"/>
  <c r="K57" i="3"/>
  <c r="J57" i="3"/>
  <c r="K56" i="3"/>
  <c r="J56" i="3"/>
  <c r="K55" i="3"/>
  <c r="J55" i="3"/>
  <c r="K54" i="3"/>
  <c r="J54" i="3"/>
  <c r="K53" i="3"/>
  <c r="J53" i="3"/>
  <c r="K52" i="3"/>
  <c r="J52" i="3"/>
  <c r="K51" i="3"/>
  <c r="J51" i="3"/>
  <c r="K50" i="3"/>
  <c r="J50" i="3"/>
  <c r="K49" i="3"/>
  <c r="J49" i="3"/>
  <c r="K48" i="3"/>
  <c r="J48" i="3"/>
  <c r="K47" i="3"/>
  <c r="J47" i="3"/>
  <c r="K46" i="3"/>
  <c r="J46" i="3"/>
  <c r="K45" i="3"/>
  <c r="J45" i="3"/>
  <c r="K44" i="3"/>
  <c r="J44" i="3"/>
  <c r="K43" i="3"/>
  <c r="J43" i="3"/>
  <c r="K42" i="3"/>
  <c r="J42" i="3"/>
  <c r="K41" i="3"/>
  <c r="G117" i="3" s="1"/>
  <c r="J41" i="3"/>
  <c r="K40" i="3"/>
  <c r="G116" i="3" s="1"/>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K10" i="3"/>
  <c r="J10" i="3"/>
  <c r="K9" i="3"/>
  <c r="J9" i="3"/>
  <c r="K8" i="3"/>
  <c r="J8" i="3"/>
  <c r="K7" i="3"/>
  <c r="J7" i="3"/>
  <c r="K6" i="3"/>
  <c r="J6" i="3"/>
  <c r="K5" i="3"/>
  <c r="J5" i="3"/>
  <c r="B37" i="2"/>
  <c r="B36" i="2"/>
  <c r="B35" i="2"/>
  <c r="B34" i="2"/>
  <c r="B33" i="2"/>
  <c r="B32" i="2"/>
  <c r="C22" i="2"/>
  <c r="B22" i="2"/>
  <c r="F11" i="2"/>
  <c r="E11" i="2"/>
  <c r="D11" i="2"/>
  <c r="C11" i="2"/>
  <c r="C12" i="2" s="1"/>
  <c r="B11" i="2"/>
  <c r="C30" i="9" l="1"/>
  <c r="G21" i="6"/>
  <c r="G13" i="5"/>
  <c r="F13" i="5" s="1"/>
  <c r="C23" i="2"/>
  <c r="C33" i="2" s="1"/>
  <c r="C28" i="9"/>
  <c r="F15" i="9"/>
  <c r="C24" i="9"/>
  <c r="C25" i="9"/>
  <c r="C26" i="9"/>
  <c r="C27" i="9"/>
  <c r="H22" i="8"/>
  <c r="H17" i="8"/>
  <c r="G17" i="8"/>
  <c r="G18" i="8" s="1"/>
  <c r="F17" i="8"/>
  <c r="F18" i="8" s="1"/>
  <c r="E17" i="8"/>
  <c r="E18" i="8" s="1"/>
  <c r="D17" i="8"/>
  <c r="D18" i="8" s="1"/>
  <c r="C17" i="8"/>
  <c r="C18" i="8"/>
  <c r="B17" i="8"/>
  <c r="B18" i="8" s="1"/>
  <c r="B19" i="8" s="1"/>
  <c r="B21" i="8"/>
  <c r="C21" i="8" s="1"/>
  <c r="D21" i="8" s="1"/>
  <c r="E21" i="8" s="1"/>
  <c r="F21" i="8" s="1"/>
  <c r="G21" i="8" s="1"/>
  <c r="C21" i="7"/>
  <c r="H27" i="8"/>
  <c r="E16" i="6"/>
  <c r="D19" i="6"/>
  <c r="G23" i="6"/>
  <c r="G16" i="6"/>
  <c r="G20" i="6"/>
  <c r="G25" i="6" s="1"/>
  <c r="E15" i="5"/>
  <c r="E13" i="5"/>
  <c r="H6" i="5"/>
  <c r="H13" i="5" s="1"/>
  <c r="E22" i="5" s="1"/>
  <c r="D8" i="1" s="1"/>
  <c r="J111" i="3"/>
  <c r="H111" i="3"/>
  <c r="H110" i="3"/>
  <c r="J110" i="3"/>
  <c r="J109" i="3"/>
  <c r="H109" i="3"/>
  <c r="H108" i="3"/>
  <c r="J108" i="3"/>
  <c r="H107" i="3"/>
  <c r="J107" i="3"/>
  <c r="H106" i="3"/>
  <c r="J106" i="3"/>
  <c r="H105" i="3"/>
  <c r="J105" i="3"/>
  <c r="H104" i="3"/>
  <c r="J104" i="3"/>
  <c r="G112" i="3"/>
  <c r="J112" i="3" s="1"/>
  <c r="D6" i="1" s="1"/>
  <c r="E33" i="2"/>
  <c r="C34" i="2"/>
  <c r="D34" i="2" s="1"/>
  <c r="E34" i="2"/>
  <c r="F34" i="2" s="1"/>
  <c r="C35" i="2"/>
  <c r="D35" i="2" s="1"/>
  <c r="E35" i="2"/>
  <c r="F35" i="2" s="1"/>
  <c r="C36" i="2"/>
  <c r="D36" i="2" s="1"/>
  <c r="E36" i="2"/>
  <c r="F36" i="2" s="1"/>
  <c r="C37" i="2"/>
  <c r="D37" i="2" s="1"/>
  <c r="E37" i="2"/>
  <c r="F37" i="2" s="1"/>
  <c r="M27" i="10"/>
  <c r="D13" i="1" s="1"/>
  <c r="C31" i="9" l="1"/>
  <c r="C32" i="9" s="1"/>
  <c r="H18" i="8"/>
  <c r="C29" i="9"/>
  <c r="C33" i="9"/>
  <c r="D12" i="1" s="1"/>
  <c r="H23" i="8"/>
  <c r="H24" i="8"/>
  <c r="B5" i="11"/>
  <c r="C19" i="8"/>
  <c r="B20" i="8"/>
  <c r="H26" i="8"/>
  <c r="C20" i="7"/>
  <c r="G24" i="6"/>
  <c r="D9" i="1" s="1"/>
  <c r="F16" i="6"/>
  <c r="E18" i="5"/>
  <c r="E19" i="5" s="1"/>
  <c r="E20" i="5"/>
  <c r="E21" i="5" s="1"/>
  <c r="D33" i="2"/>
  <c r="F33" i="2"/>
  <c r="H112" i="3"/>
  <c r="H25" i="8" l="1"/>
  <c r="B27" i="2"/>
  <c r="B13" i="11"/>
  <c r="B15" i="11"/>
  <c r="D19" i="8"/>
  <c r="C20" i="8"/>
  <c r="C22" i="7"/>
  <c r="D20" i="7" s="1"/>
  <c r="C32" i="2" l="1"/>
  <c r="E32" i="2"/>
  <c r="E19" i="8"/>
  <c r="D20" i="8"/>
  <c r="B6" i="11"/>
  <c r="D21" i="7"/>
  <c r="C41" i="7"/>
  <c r="D22" i="7"/>
  <c r="C23" i="7"/>
  <c r="C25" i="7"/>
  <c r="D25" i="7" s="1"/>
  <c r="C42" i="7"/>
  <c r="B16" i="11"/>
  <c r="B14" i="11"/>
  <c r="B42" i="2" l="1"/>
  <c r="D32" i="2"/>
  <c r="B41" i="2"/>
  <c r="C42" i="2"/>
  <c r="F32" i="2"/>
  <c r="C44" i="2"/>
  <c r="C41" i="2"/>
  <c r="F19" i="8"/>
  <c r="E20" i="8"/>
  <c r="B10" i="11"/>
  <c r="B12" i="11"/>
  <c r="D12" i="11" s="1"/>
  <c r="D23" i="7"/>
  <c r="C24" i="7"/>
  <c r="B40" i="2" l="1"/>
  <c r="B43" i="2"/>
  <c r="C43" i="2"/>
  <c r="C40" i="2"/>
  <c r="G19" i="8"/>
  <c r="F20" i="8"/>
  <c r="C43" i="7"/>
  <c r="D10" i="1" s="1"/>
  <c r="C26" i="7"/>
  <c r="G20" i="8" l="1"/>
  <c r="H28" i="8"/>
  <c r="D11" i="1" s="1"/>
  <c r="D16" i="1" s="1"/>
</calcChain>
</file>

<file path=xl/sharedStrings.xml><?xml version="1.0" encoding="utf-8"?>
<sst xmlns="http://schemas.openxmlformats.org/spreadsheetml/2006/main" count="1298" uniqueCount="772">
  <si>
    <t>GCP ERP Migration: Supporting Workbook</t>
  </si>
  <si>
    <t>Karoo Retail Group (Pty) Ltd (fictitious client) | Supports the SPMP for PFD473S Assessment T3 | Prepared by Thabiso Matsaba (220296006) | 09 October 2026</t>
  </si>
  <si>
    <t>Sheet</t>
  </si>
  <si>
    <t>Contents</t>
  </si>
  <si>
    <t>SPMP reference</t>
  </si>
  <si>
    <t>Self-check</t>
  </si>
  <si>
    <t>Business Case</t>
  </si>
  <si>
    <t>Weighted option scoring, run-cost comparison, 5-year NPV, IRR, payback, BCR, ROI</t>
  </si>
  <si>
    <t>Section 2 (Tables 9-12)</t>
  </si>
  <si>
    <t>n/a</t>
  </si>
  <si>
    <t>WBS</t>
  </si>
  <si>
    <t>Level-3 WBS dictionary: 95 work packages with owner, effort and dates; phase totals</t>
  </si>
  <si>
    <t>Section 4 (Table 15), 5.2</t>
  </si>
  <si>
    <t>Gantt</t>
  </si>
  <si>
    <t>26-week Gantt chart with critical path and milestones (conditional formatting)</t>
  </si>
  <si>
    <t>Section 5.3, Appendix A.1</t>
  </si>
  <si>
    <t>PERT</t>
  </si>
  <si>
    <t>Three-point estimates, critical path, go-live probability, float analysis</t>
  </si>
  <si>
    <t>Section 5.4, Appendix A.2-A.3 (Tables 49-50)</t>
  </si>
  <si>
    <t>Resources</t>
  </si>
  <si>
    <t>Staffing, hours, allocation, rates and labour cost</t>
  </si>
  <si>
    <t>Section 5.5 (Table 18), 13.2, Appendix E</t>
  </si>
  <si>
    <t>Budget</t>
  </si>
  <si>
    <t>Non-labour estimate, budget summary and reserves, phase allocation</t>
  </si>
  <si>
    <t>Section 6 (Tables 19-21)</t>
  </si>
  <si>
    <t>Cash Flow</t>
  </si>
  <si>
    <t>Monthly cash flow projection, contingency, cumulative baseline and chart</t>
  </si>
  <si>
    <t>Appendix B (Table 51, Figure 5)</t>
  </si>
  <si>
    <t>Risk Register</t>
  </si>
  <si>
    <t>17 risks scored P x I with rating, response, owner and EMV</t>
  </si>
  <si>
    <t>Section 11, Appendix C (Table 52)</t>
  </si>
  <si>
    <t>RACI</t>
  </si>
  <si>
    <t>Responsibility assignment for 20 activities across 9 roles</t>
  </si>
  <si>
    <t>Appendix D (Table 53)</t>
  </si>
  <si>
    <t>EVM</t>
  </si>
  <si>
    <t>Earned value worked example with CPI, SPI, EAC, VAC, TCPI</t>
  </si>
  <si>
    <t>Sections 6.5, 14.1-14.2</t>
  </si>
  <si>
    <t>All self-checks</t>
  </si>
  <si>
    <t>Legend</t>
  </si>
  <si>
    <t>Blue text</t>
  </si>
  <si>
    <t>Input value (estimate or assumption); change it and dependent cells update</t>
  </si>
  <si>
    <t>Black text</t>
  </si>
  <si>
    <t>Formula</t>
  </si>
  <si>
    <t>Green text</t>
  </si>
  <si>
    <t>Formula that links to another sheet</t>
  </si>
  <si>
    <t>Yellow fill</t>
  </si>
  <si>
    <t>Key assumption (rates, hurdle rate, approved baseline figures)</t>
  </si>
  <si>
    <t>OK / CHECK</t>
  </si>
  <si>
    <t>Self-check against the figures stated in the SPMP</t>
  </si>
  <si>
    <t>All amounts in South African Rand (ZAR), excluding VAT at 15%. Figures are planning estimates for a fictitious client.</t>
  </si>
  <si>
    <t>GCP ERP Migration: Options Scoring and Financial Appraisal</t>
  </si>
  <si>
    <t>Supports SPMP Section 2.2 (Table 9) and 2.3 (Tables 10 to 12). R million unless stated.</t>
  </si>
  <si>
    <t>Criterion</t>
  </si>
  <si>
    <t>Weight</t>
  </si>
  <si>
    <t>A: Do nothing</t>
  </si>
  <si>
    <t>B: On-prem refresh</t>
  </si>
  <si>
    <t>C: GCP replatform (selected)</t>
  </si>
  <si>
    <t>D: Replace with SaaS ERP</t>
  </si>
  <si>
    <t>Strategic alignment</t>
  </si>
  <si>
    <t>Financial return</t>
  </si>
  <si>
    <t>Risk (5 = low)</t>
  </si>
  <si>
    <t>Feasibility in 6 months</t>
  </si>
  <si>
    <t>Compliance and security</t>
  </si>
  <si>
    <t>Scalability and agility</t>
  </si>
  <si>
    <t>Weighted score (out of 5)</t>
  </si>
  <si>
    <t>Selected option (highest score)</t>
  </si>
  <si>
    <t>Annual run-cost line (R)</t>
  </si>
  <si>
    <t>Current on-prem</t>
  </si>
  <si>
    <t>Post-migration GCP</t>
  </si>
  <si>
    <t>Hardware maintenance and depreciation</t>
  </si>
  <si>
    <t>Data centre, power, backup power</t>
  </si>
  <si>
    <t>Infrastructure staff (allocated) / MSP managed services</t>
  </si>
  <si>
    <t>Software licences / cloud licences</t>
  </si>
  <si>
    <t>DR and backup</t>
  </si>
  <si>
    <t>GCP consumption (committed use discounts after stabilisation)</t>
  </si>
  <si>
    <t>Total</t>
  </si>
  <si>
    <t>Annual run-cost saving</t>
  </si>
  <si>
    <t>Hurdle rate (assumed WACC, to be confirmed by Finance)</t>
  </si>
  <si>
    <t>Investment: total funding envelope (R m)</t>
  </si>
  <si>
    <t>Annual BI / decision-making benefit (R m)</t>
  </si>
  <si>
    <t>Avoided hardware refresh in Year 1, base case only (R m)</t>
  </si>
  <si>
    <t>Year</t>
  </si>
  <si>
    <t>Discount factor</t>
  </si>
  <si>
    <t>Base case: net flow</t>
  </si>
  <si>
    <t>Base case: PV</t>
  </si>
  <si>
    <t>Conservative: net flow</t>
  </si>
  <si>
    <t>Conservative: PV</t>
  </si>
  <si>
    <t>Metric</t>
  </si>
  <si>
    <t>Base case</t>
  </si>
  <si>
    <t>Conservative case</t>
  </si>
  <si>
    <t>NPV (5 years) R m</t>
  </si>
  <si>
    <t>IRR</t>
  </si>
  <si>
    <t>Payback (months after go-live)</t>
  </si>
  <si>
    <t>Benefit-cost ratio (PV benefits / investment)</t>
  </si>
  <si>
    <t>5-year ROI (undiscounted)</t>
  </si>
  <si>
    <t>SPMP Table 12 reports NPV R11.99 m / R7.03 m, IRR about 77% / 41%, payback about 10 / 24 months, BCR 2.48 / 1.87 and ROI 152%.</t>
  </si>
  <si>
    <t>GCP ERP Migration: Work Breakdown Structure and Dictionary (Level 3)</t>
  </si>
  <si>
    <t>Owner = accountable role; effort covers all roles working on the package. Total matches the 6,880 planned hours in SPMP Section 5.5. Blue = input (effort, start/end week); dates are formulas from the week numbers.</t>
  </si>
  <si>
    <t>WBS ID</t>
  </si>
  <si>
    <t>Level</t>
  </si>
  <si>
    <t>Work package</t>
  </si>
  <si>
    <t>Level-1 phase</t>
  </si>
  <si>
    <t>Level-2 group</t>
  </si>
  <si>
    <t>Owner</t>
  </si>
  <si>
    <t>Effort (h)</t>
  </si>
  <si>
    <t>Start week</t>
  </si>
  <si>
    <t>End week</t>
  </si>
  <si>
    <t>Start date</t>
  </si>
  <si>
    <t>End date</t>
  </si>
  <si>
    <t>1.1.1</t>
  </si>
  <si>
    <t>Charter and mandate approved</t>
  </si>
  <si>
    <t>1.0 Initiation and Planning</t>
  </si>
  <si>
    <t>1.1 Project initiation</t>
  </si>
  <si>
    <t>PM</t>
  </si>
  <si>
    <t>1.1.2</t>
  </si>
  <si>
    <t>Stakeholder register and engagement plan</t>
  </si>
  <si>
    <t>BA</t>
  </si>
  <si>
    <t>1.1.3</t>
  </si>
  <si>
    <t>Governance set-up (SteerCo, CCB, RACI)</t>
  </si>
  <si>
    <t>1.2.1</t>
  </si>
  <si>
    <t>SPMP and management plans</t>
  </si>
  <si>
    <t>1.2 Project planning</t>
  </si>
  <si>
    <t>1.2.2</t>
  </si>
  <si>
    <t>Schedule, cost and resource baselines</t>
  </si>
  <si>
    <t>1.2.3</t>
  </si>
  <si>
    <t>Tooling and environments</t>
  </si>
  <si>
    <t>CE</t>
  </si>
  <si>
    <t>1.3.1</t>
  </si>
  <si>
    <t>Onboarding and access provisioning</t>
  </si>
  <si>
    <t>1.3 Team mobilisation</t>
  </si>
  <si>
    <t>1.3.2</t>
  </si>
  <si>
    <t>MSP and vendor RFQ issued</t>
  </si>
  <si>
    <t>2.1.1</t>
  </si>
  <si>
    <t>Migration Center discovery and inventory</t>
  </si>
  <si>
    <t>2.0 Discovery and Assessment</t>
  </si>
  <si>
    <t>2.1 Estate inventory</t>
  </si>
  <si>
    <t>SA</t>
  </si>
  <si>
    <t>2.1.2</t>
  </si>
  <si>
    <t>Dependency and 14-interface mapping</t>
  </si>
  <si>
    <t>AD</t>
  </si>
  <si>
    <t>2.1.3</t>
  </si>
  <si>
    <t>Licence and support-status review</t>
  </si>
  <si>
    <t>2.2.1</t>
  </si>
  <si>
    <t>Data profiling and quality baseline</t>
  </si>
  <si>
    <t>2.2 Data assessment</t>
  </si>
  <si>
    <t>DE</t>
  </si>
  <si>
    <t>2.2.2</t>
  </si>
  <si>
    <t>POPIA data classification and DPIA scoping</t>
  </si>
  <si>
    <t>SE</t>
  </si>
  <si>
    <t>2.2.3</t>
  </si>
  <si>
    <t>Volume, growth and cutover-window analysis</t>
  </si>
  <si>
    <t>2.3.1</t>
  </si>
  <si>
    <t>Business and BI requirements</t>
  </si>
  <si>
    <t>2.3 Requirements</t>
  </si>
  <si>
    <t>2.3.2</t>
  </si>
  <si>
    <t>Non-functional requirements</t>
  </si>
  <si>
    <t>2.3.3</t>
  </si>
  <si>
    <t>Compliance requirements</t>
  </si>
  <si>
    <t>2.4.1</t>
  </si>
  <si>
    <t>6R disposition per workload</t>
  </si>
  <si>
    <t>2.4 Migration strategy</t>
  </si>
  <si>
    <t>2.4.2</t>
  </si>
  <si>
    <t>TCO and GCP cost model</t>
  </si>
  <si>
    <t>2.4.3</t>
  </si>
  <si>
    <t>Migration and cutover approach</t>
  </si>
  <si>
    <t>2.4.4</t>
  </si>
  <si>
    <t>Assessment report and G2 pack</t>
  </si>
  <si>
    <t>3.1.1</t>
  </si>
  <si>
    <t>Solution architecture (HLD/LLD)</t>
  </si>
  <si>
    <t>3.0 Architecture and Landing Zone</t>
  </si>
  <si>
    <t>3.1 Target architecture</t>
  </si>
  <si>
    <t>3.1.2</t>
  </si>
  <si>
    <t>Network and connectivity design</t>
  </si>
  <si>
    <t>3.1.3</t>
  </si>
  <si>
    <t>Backup and DR design</t>
  </si>
  <si>
    <t>3.1.4</t>
  </si>
  <si>
    <t>Security and identity architecture</t>
  </si>
  <si>
    <t>3.2.1</t>
  </si>
  <si>
    <t>Resource hierarchy, Organization Policy, labelling</t>
  </si>
  <si>
    <t>3.2 Landing zone build</t>
  </si>
  <si>
    <t>3.2.2</t>
  </si>
  <si>
    <t>Hub-and-spoke network, firewall, DNS</t>
  </si>
  <si>
    <t>3.2.3</t>
  </si>
  <si>
    <t>Cloud VPN and Dedicated Interconnect connectivity</t>
  </si>
  <si>
    <t>3.2.4</t>
  </si>
  <si>
    <t>Monitoring, logging and Secret Manager</t>
  </si>
  <si>
    <t>3.2.5</t>
  </si>
  <si>
    <t>IaC pipelines and environments</t>
  </si>
  <si>
    <t>3.3.1</t>
  </si>
  <si>
    <t>Architecture Framework review</t>
  </si>
  <si>
    <t>3.3 Landing zone validation</t>
  </si>
  <si>
    <t>3.3.2</t>
  </si>
  <si>
    <t>Security baseline scan</t>
  </si>
  <si>
    <t>3.3.3</t>
  </si>
  <si>
    <t>G3 approval</t>
  </si>
  <si>
    <t>4.1.1</t>
  </si>
  <si>
    <t>Source-to-target mapping</t>
  </si>
  <si>
    <t>4.0 Build and Migration</t>
  </si>
  <si>
    <t>4.1 Data migration</t>
  </si>
  <si>
    <t>4.1.2</t>
  </si>
  <si>
    <t>Replication and ETL pipelines</t>
  </si>
  <si>
    <t>4.1.3</t>
  </si>
  <si>
    <t>Mock migration 1</t>
  </si>
  <si>
    <t>4.1.4</t>
  </si>
  <si>
    <t>Mock migration 2 (dress rehearsal)</t>
  </si>
  <si>
    <t>4.1.5</t>
  </si>
  <si>
    <t>Reconciliation reports</t>
  </si>
  <si>
    <t>4.2.1</t>
  </si>
  <si>
    <t>ERP application-tier replatform to Compute Engine</t>
  </si>
  <si>
    <t>4.2 Application modernisation</t>
  </si>
  <si>
    <t>4.2.2</t>
  </si>
  <si>
    <t>Database replatform to Cloud SQL for SQL Server</t>
  </si>
  <si>
    <t>4.2.3</t>
  </si>
  <si>
    <t>Integration layer for 14 interfaces</t>
  </si>
  <si>
    <t>4.2.4</t>
  </si>
  <si>
    <t>CI/CD pipelines</t>
  </si>
  <si>
    <t>4.2.5</t>
  </si>
  <si>
    <t>Reporting decoupled from OLTP</t>
  </si>
  <si>
    <t>4.3.1</t>
  </si>
  <si>
    <t>Cloud Identity tenant and hybrid synchronisation</t>
  </si>
  <si>
    <t>4.3 Identity and access management</t>
  </si>
  <si>
    <t>4.3.2</t>
  </si>
  <si>
    <t>MFA and Context-Aware Access</t>
  </si>
  <si>
    <t>4.3.3</t>
  </si>
  <si>
    <t>RBAC, PAM and joiner-mover-leaver process</t>
  </si>
  <si>
    <t>4.3.4</t>
  </si>
  <si>
    <t>ERP single sign-on</t>
  </si>
  <si>
    <t>4.4.1</t>
  </si>
  <si>
    <t>BigQuery reporting dataset and semantic views</t>
  </si>
  <si>
    <t>4.4 Looker analytics layer</t>
  </si>
  <si>
    <t>BI</t>
  </si>
  <si>
    <t>4.4.2</t>
  </si>
  <si>
    <t>Reports and dashboards</t>
  </si>
  <si>
    <t>4.4.3</t>
  </si>
  <si>
    <t>Row-level security and governance</t>
  </si>
  <si>
    <t>4.4.4</t>
  </si>
  <si>
    <t>Dataform pipeline and refresh scheduling</t>
  </si>
  <si>
    <t>5.1.1</t>
  </si>
  <si>
    <t>Test strategy and cases</t>
  </si>
  <si>
    <t>5.0 Testing, Hardening and Readiness</t>
  </si>
  <si>
    <t>5.1 Test planning and SIT</t>
  </si>
  <si>
    <t>QA</t>
  </si>
  <si>
    <t>5.1.2</t>
  </si>
  <si>
    <t>SIT execution</t>
  </si>
  <si>
    <t>5.1.3</t>
  </si>
  <si>
    <t>Defect triage and regression</t>
  </si>
  <si>
    <t>5.2.1</t>
  </si>
  <si>
    <t>CIS benchmark hardening</t>
  </si>
  <si>
    <t>5.2 Security hardening</t>
  </si>
  <si>
    <t>5.2.2</t>
  </si>
  <si>
    <t>Security Command Center findings remediation</t>
  </si>
  <si>
    <t>5.2.3</t>
  </si>
  <si>
    <t>Independent penetration test and remediation</t>
  </si>
  <si>
    <t>5.2.4</t>
  </si>
  <si>
    <t>POPIA compliance review and DPIA</t>
  </si>
  <si>
    <t>5.3.1</t>
  </si>
  <si>
    <t>Performance and load testing</t>
  </si>
  <si>
    <t>5.3 Performance and DR testing</t>
  </si>
  <si>
    <t>5.3.2</t>
  </si>
  <si>
    <t>DR failover test</t>
  </si>
  <si>
    <t>5.3.3</t>
  </si>
  <si>
    <t>Backup and restore test</t>
  </si>
  <si>
    <t>5.4.1</t>
  </si>
  <si>
    <t>UAT execution</t>
  </si>
  <si>
    <t>5.4 UAT and readiness</t>
  </si>
  <si>
    <t>5.4.2</t>
  </si>
  <si>
    <t>End-user training and communications</t>
  </si>
  <si>
    <t>5.4.3</t>
  </si>
  <si>
    <t>Operational readiness and runbooks</t>
  </si>
  <si>
    <t>5.4.4</t>
  </si>
  <si>
    <t>Go/No-Go (G6)</t>
  </si>
  <si>
    <t>6.1.1</t>
  </si>
  <si>
    <t>Cutover runbook (timed)</t>
  </si>
  <si>
    <t>6.0 Cutover and Go-Live</t>
  </si>
  <si>
    <t>6.1 Cutover planning</t>
  </si>
  <si>
    <t>6.1.2</t>
  </si>
  <si>
    <t>Rollback plan and decision points</t>
  </si>
  <si>
    <t>6.1.3</t>
  </si>
  <si>
    <t>Trading freeze and communications</t>
  </si>
  <si>
    <t>6.2.1</t>
  </si>
  <si>
    <t>Final data synchronisation</t>
  </si>
  <si>
    <t>6.2 Cutover execution</t>
  </si>
  <si>
    <t>6.2.2</t>
  </si>
  <si>
    <t>Integration and DNS switch</t>
  </si>
  <si>
    <t>6.2.3</t>
  </si>
  <si>
    <t>Smoke tests and business sign-off</t>
  </si>
  <si>
    <t>6.3.1</t>
  </si>
  <si>
    <t>Legacy set to read-only</t>
  </si>
  <si>
    <t>6.3 Legacy retirement preparation</t>
  </si>
  <si>
    <t>6.3.2</t>
  </si>
  <si>
    <t>Archive and decommission plan</t>
  </si>
  <si>
    <t>7.1.1</t>
  </si>
  <si>
    <t>Daily triage (command centre)</t>
  </si>
  <si>
    <t>7.0 Hypercare and Closure</t>
  </si>
  <si>
    <t>7.1 Hypercare</t>
  </si>
  <si>
    <t>7.1.2</t>
  </si>
  <si>
    <t>Performance tuning and cost optimisation</t>
  </si>
  <si>
    <t>7.1.3</t>
  </si>
  <si>
    <t>Parallel-run reconciliation</t>
  </si>
  <si>
    <t>7.2.1</t>
  </si>
  <si>
    <t>Knowledge transfer</t>
  </si>
  <si>
    <t>7.2 Transition to operations</t>
  </si>
  <si>
    <t>7.2.2</t>
  </si>
  <si>
    <t>Support model and SLAs</t>
  </si>
  <si>
    <t>7.2.3</t>
  </si>
  <si>
    <t>Operations acceptance</t>
  </si>
  <si>
    <t>7.3.1</t>
  </si>
  <si>
    <t>Sponsor acceptance (G7)</t>
  </si>
  <si>
    <t>7.3 Project closure</t>
  </si>
  <si>
    <t>7.3.2</t>
  </si>
  <si>
    <t>Lessons learned</t>
  </si>
  <si>
    <t>7.3.3</t>
  </si>
  <si>
    <t>Benefits realisation plan</t>
  </si>
  <si>
    <t>7.3.4</t>
  </si>
  <si>
    <t>Final report and archive</t>
  </si>
  <si>
    <t>8.1.1</t>
  </si>
  <si>
    <t>Status reporting and SteerCo</t>
  </si>
  <si>
    <t>8.0 PM, Quality and Governance</t>
  </si>
  <si>
    <t>8.1 Project management</t>
  </si>
  <si>
    <t>8.1.2</t>
  </si>
  <si>
    <t>Risk and issue management</t>
  </si>
  <si>
    <t>8.1.3</t>
  </si>
  <si>
    <t>Change control</t>
  </si>
  <si>
    <t>8.2.1</t>
  </si>
  <si>
    <t>Quality plan, reviews and audits</t>
  </si>
  <si>
    <t>8.2 Quality management</t>
  </si>
  <si>
    <t>8.2.2</t>
  </si>
  <si>
    <t>Metrics collection and reporting</t>
  </si>
  <si>
    <t>8.2.3</t>
  </si>
  <si>
    <t>Process-improvement actions</t>
  </si>
  <si>
    <t>8.3.1</t>
  </si>
  <si>
    <t>Repositories and branching</t>
  </si>
  <si>
    <t>8.3 Configuration management</t>
  </si>
  <si>
    <t>8.3.2</t>
  </si>
  <si>
    <t>Baselines and release management</t>
  </si>
  <si>
    <t>8.3.3</t>
  </si>
  <si>
    <t>Configuration audits (FCA/PCA)</t>
  </si>
  <si>
    <t>8.4.1</t>
  </si>
  <si>
    <t>RFQ, evaluation and award</t>
  </si>
  <si>
    <t>8.4 Procurement</t>
  </si>
  <si>
    <t>8.4.2</t>
  </si>
  <si>
    <t>Contract and licence administration</t>
  </si>
  <si>
    <t>8.4.3</t>
  </si>
  <si>
    <t>Vendor performance reviews</t>
  </si>
  <si>
    <t>Total planned effort</t>
  </si>
  <si>
    <t>Check</t>
  </si>
  <si>
    <t>Effort by phase</t>
  </si>
  <si>
    <t>% of total</t>
  </si>
  <si>
    <t>SPMP Table 15</t>
  </si>
  <si>
    <t>Level-3 work packages (SPMP: 95)</t>
  </si>
  <si>
    <t>Level-2 deliverable groups (SPMP: 28)</t>
  </si>
  <si>
    <t>Check: Mock 1 ends at G4 (22 Jan 2027)</t>
  </si>
  <si>
    <t>Check: Mock 2 ends at G5 (19 Feb 2027)</t>
  </si>
  <si>
    <t>GCP ERP Migration: Gantt Chart (26 weeks, 5 Oct 2026 to 2 Apr 2027)</t>
  </si>
  <si>
    <t>Bars are drawn by conditional formatting from the Start/End week columns; change a week and the bar moves. Red = critical path. Can be imported into MS Project.</t>
  </si>
  <si>
    <t>ID</t>
  </si>
  <si>
    <t>Task</t>
  </si>
  <si>
    <t>Start wk</t>
  </si>
  <si>
    <t>End wk</t>
  </si>
  <si>
    <t>Critical</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</si>
  <si>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</si>
  <si>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</si>
  <si>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</si>
  <si>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</si>
  <si>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</si>
  <si>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</si>
  <si>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</si>
  <si>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</si>
  <si>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</si>
  <si>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</si>
  <si>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</si>
  <si>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</si>
  <si>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</si>
  <si>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</si>
  <si>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</si>
  <si>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</si>
  <si>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</si>
  <si>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</si>
  <si>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</si>
  <si>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</si>
  <si>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</si>
  <si>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</si>
  <si>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</si>
  <si>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</si>
  <si>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</si>
  <si>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</si>
  <si>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1.0</t>
  </si>
  <si>
    <t>Initiation and Planning</t>
  </si>
  <si>
    <t>1.1</t>
  </si>
  <si>
    <t xml:space="preserve">   Project initiation</t>
  </si>
  <si>
    <t>1.2</t>
  </si>
  <si>
    <t xml:space="preserve">   Project planning</t>
  </si>
  <si>
    <t>1.3</t>
  </si>
  <si>
    <t xml:space="preserve">   Team mobilisation</t>
  </si>
  <si>
    <t>2.0</t>
  </si>
  <si>
    <t>Discovery and Assessment</t>
  </si>
  <si>
    <t>2.1</t>
  </si>
  <si>
    <t xml:space="preserve">   Estate inventory</t>
  </si>
  <si>
    <t>2.2</t>
  </si>
  <si>
    <t xml:space="preserve">   Data assessment</t>
  </si>
  <si>
    <t>2.3</t>
  </si>
  <si>
    <t xml:space="preserve">   Requirements</t>
  </si>
  <si>
    <t>2.4</t>
  </si>
  <si>
    <t xml:space="preserve">   Migration strategy</t>
  </si>
  <si>
    <t>3.0</t>
  </si>
  <si>
    <t>Architecture and Landing Zone</t>
  </si>
  <si>
    <t>3.1</t>
  </si>
  <si>
    <t xml:space="preserve">   Target architecture</t>
  </si>
  <si>
    <t>3.2</t>
  </si>
  <si>
    <t xml:space="preserve">   Landing zone build</t>
  </si>
  <si>
    <t>3.3</t>
  </si>
  <si>
    <t xml:space="preserve">   Landing zone validation</t>
  </si>
  <si>
    <t>4.0</t>
  </si>
  <si>
    <t>Build and Migration</t>
  </si>
  <si>
    <t>4.1</t>
  </si>
  <si>
    <t xml:space="preserve">   Data migration</t>
  </si>
  <si>
    <t>4.2</t>
  </si>
  <si>
    <t xml:space="preserve">   Application modernisation</t>
  </si>
  <si>
    <t>4.3</t>
  </si>
  <si>
    <t xml:space="preserve">   Identity and access management</t>
  </si>
  <si>
    <t>4.4</t>
  </si>
  <si>
    <t xml:space="preserve">   Looker analytics layer</t>
  </si>
  <si>
    <t>5.0</t>
  </si>
  <si>
    <t>Testing, Hardening and Readiness</t>
  </si>
  <si>
    <t>5.1</t>
  </si>
  <si>
    <t xml:space="preserve">   Test planning and SIT</t>
  </si>
  <si>
    <t>5.2</t>
  </si>
  <si>
    <t xml:space="preserve">   Security hardening</t>
  </si>
  <si>
    <t>5.3</t>
  </si>
  <si>
    <t xml:space="preserve">   Performance and DR testing</t>
  </si>
  <si>
    <t>5.4</t>
  </si>
  <si>
    <t xml:space="preserve">   UAT and readiness</t>
  </si>
  <si>
    <t>6.0</t>
  </si>
  <si>
    <t>Cutover and Go-Live</t>
  </si>
  <si>
    <t>6.1</t>
  </si>
  <si>
    <t xml:space="preserve">   Cutover planning</t>
  </si>
  <si>
    <t>6.2</t>
  </si>
  <si>
    <t xml:space="preserve">   Cutover execution</t>
  </si>
  <si>
    <t>6.3</t>
  </si>
  <si>
    <t xml:space="preserve">   Legacy retirement preparation</t>
  </si>
  <si>
    <t>7.0</t>
  </si>
  <si>
    <t>Hypercare and Closure</t>
  </si>
  <si>
    <t>7.1</t>
  </si>
  <si>
    <t xml:space="preserve">   Hypercare</t>
  </si>
  <si>
    <t>7.2</t>
  </si>
  <si>
    <t xml:space="preserve">   Transition to operations</t>
  </si>
  <si>
    <t>7.3</t>
  </si>
  <si>
    <t xml:space="preserve">   Project closure</t>
  </si>
  <si>
    <t>8.0</t>
  </si>
  <si>
    <t>PM, Quality and Governance</t>
  </si>
  <si>
    <t>8.1</t>
  </si>
  <si>
    <t xml:space="preserve">   Project management</t>
  </si>
  <si>
    <t>8.2</t>
  </si>
  <si>
    <t xml:space="preserve">   Quality management</t>
  </si>
  <si>
    <t>8.3</t>
  </si>
  <si>
    <t xml:space="preserve">   Configuration management</t>
  </si>
  <si>
    <t>8.4</t>
  </si>
  <si>
    <t xml:space="preserve">   Procurement</t>
  </si>
  <si>
    <t>M1</t>
  </si>
  <si>
    <t>◆ G1 SPMP approved</t>
  </si>
  <si>
    <t>M</t>
  </si>
  <si>
    <t>M2</t>
  </si>
  <si>
    <t>◆ G2 Strategy approved</t>
  </si>
  <si>
    <t>M3</t>
  </si>
  <si>
    <t>◆ G3 Landing zone live</t>
  </si>
  <si>
    <t>M4</t>
  </si>
  <si>
    <t>◆ G4 Mock 1</t>
  </si>
  <si>
    <t>M5</t>
  </si>
  <si>
    <t>◆ G5 Build complete, Mock 2</t>
  </si>
  <si>
    <t>M6</t>
  </si>
  <si>
    <t>◆ G6 Go/No-Go</t>
  </si>
  <si>
    <t>M7</t>
  </si>
  <si>
    <t>◆ Go-live (12–14 Mar)</t>
  </si>
  <si>
    <t>M8</t>
  </si>
  <si>
    <t>◆ G7 Closure</t>
  </si>
  <si>
    <t>Legend: blue = activity; red = critical path; gold = milestone. Critical column: 1 = critical, 0 = has float.</t>
  </si>
  <si>
    <t>GCP ERP Migration: PERT Three-Point Estimates, Critical Path and Float</t>
  </si>
  <si>
    <t>Supports SPMP Section 5.4 and Appendix A.2 / A.3 (Tables 49 and 50). Durations in weeks.</t>
  </si>
  <si>
    <t>Critical activity</t>
  </si>
  <si>
    <t>o</t>
  </si>
  <si>
    <t>m</t>
  </si>
  <si>
    <t>p</t>
  </si>
  <si>
    <t>te = (o+4m+p)/6</t>
  </si>
  <si>
    <t>σ = (p-o)/6</t>
  </si>
  <si>
    <t>Variance σ²</t>
  </si>
  <si>
    <t>te (rounded)</t>
  </si>
  <si>
    <t>1.0 Initiation and planning (to G1)</t>
  </si>
  <si>
    <t>2.0 Discovery and assessment</t>
  </si>
  <si>
    <t>3.0 Architecture and landing zone</t>
  </si>
  <si>
    <t>4.1 Data migration pipelines + Mock 1</t>
  </si>
  <si>
    <t>4.1.4 Mock 2 (dress rehearsal)</t>
  </si>
  <si>
    <t>5.4 SIT close, UAT and readiness</t>
  </si>
  <si>
    <t>6.0 Cutover (time-boxed weekend)</t>
  </si>
  <si>
    <t>7.0 Hypercare (contracted 3-week time-box)</t>
  </si>
  <si>
    <t>Critical path total</t>
  </si>
  <si>
    <t>Expected weeks to go-live (to end of cutover week)</t>
  </si>
  <si>
    <t>Planned go-live: end of week</t>
  </si>
  <si>
    <t>Fallback window: end of week</t>
  </si>
  <si>
    <t>Z (planned)</t>
  </si>
  <si>
    <t>P(go-live by planned weekend)</t>
  </si>
  <si>
    <t>Z (fallback)</t>
  </si>
  <si>
    <t>P(go-live by fallback window)</t>
  </si>
  <si>
    <t>Check: rounded critical path = 26-week baseline</t>
  </si>
  <si>
    <t>Non-critical activity</t>
  </si>
  <si>
    <t>Dur.</t>
  </si>
  <si>
    <t>ES</t>
  </si>
  <si>
    <t>EF</t>
  </si>
  <si>
    <t>LS</t>
  </si>
  <si>
    <t>LF</t>
  </si>
  <si>
    <t>TF = LS-ES</t>
  </si>
  <si>
    <t>FF</t>
  </si>
  <si>
    <t>Controlling successor</t>
  </si>
  <si>
    <t>5.4 UAT (ES 20); 5.1 SIT start-to-start + 7 weeks</t>
  </si>
  <si>
    <t>5.2 Security hardening (LS 15)</t>
  </si>
  <si>
    <t>5.4 UAT (ES 20)</t>
  </si>
  <si>
    <t>5.1 System integration testing</t>
  </si>
  <si>
    <t>5.3 Performance and DR testing (ES 19)</t>
  </si>
  <si>
    <t>5.2 Security hardening and pen test</t>
  </si>
  <si>
    <t>6.0 Cutover (ES 22)</t>
  </si>
  <si>
    <t>ES/EF/LS/LF are week numbers from project start (week 0 = 5 Oct 2026). Critical activities have zero total float.</t>
  </si>
  <si>
    <t>GCP ERP Migration: Human Resource Plan and Labour Cost (ZAR, excl. VAT)</t>
  </si>
  <si>
    <t>Supports SPMP Section 5.5 (Table 18), Section 13.2 (P9) and Appendix E. Blue = input; black = formula.</t>
  </si>
  <si>
    <t>Capacity per full-time person (h)</t>
  </si>
  <si>
    <t>26 weeks x 40 h, less 6 public holidays and festive-leave / training allowance (SPMP 5.5)</t>
  </si>
  <si>
    <t>Role</t>
  </si>
  <si>
    <t>Abbrev.</t>
  </si>
  <si>
    <t>Sourcing</t>
  </si>
  <si>
    <t>Planned hours</t>
  </si>
  <si>
    <t>Allocation of capacity</t>
  </si>
  <si>
    <t>Rate (R/h)</t>
  </si>
  <si>
    <t>Cost (R)</t>
  </si>
  <si>
    <t>WBS hours as accountable owner</t>
  </si>
  <si>
    <t>Project Manager</t>
  </si>
  <si>
    <t>Contractor</t>
  </si>
  <si>
    <t>Solution Architect</t>
  </si>
  <si>
    <t>Cloud Migration Engineer</t>
  </si>
  <si>
    <t>Data Migration Engineer</t>
  </si>
  <si>
    <t>App Modernisation Developer</t>
  </si>
  <si>
    <t>Secondee</t>
  </si>
  <si>
    <t>Looker Developer</t>
  </si>
  <si>
    <t>Security and IAM Engineer</t>
  </si>
  <si>
    <t>QA / Test Lead</t>
  </si>
  <si>
    <t>Business Analyst and Change Lead</t>
  </si>
  <si>
    <t>Total (9-person team)</t>
  </si>
  <si>
    <t>Team capacity (h)</t>
  </si>
  <si>
    <t>Team utilisation</t>
  </si>
  <si>
    <t>Contractor labour (procured via agency panel, P9)</t>
  </si>
  <si>
    <t>Secondee labour (internal recovery)</t>
  </si>
  <si>
    <t>Check: planned hours = WBS total effort</t>
  </si>
  <si>
    <t>Check: labour cost = Cash Flow labour total</t>
  </si>
  <si>
    <t>Check: contractor + secondee = total</t>
  </si>
  <si>
    <t>Note: Planned hours are what each person books across all work packages. Column H shows only the hours of packages where the role is the accountable owner in the WBS sheet, so the two columns differ by role but have the same total (6,880 h).</t>
  </si>
  <si>
    <t>GCP ERP Migration: Cost Estimate and Budget (ZAR, excl. VAT)</t>
  </si>
  <si>
    <t>Supports SPMP Section 6.2 (Table 19), 6.3 (Table 20) and 6.4 (Table 21).</t>
  </si>
  <si>
    <t>#</t>
  </si>
  <si>
    <t>Non-labour item</t>
  </si>
  <si>
    <t>Basis of estimate</t>
  </si>
  <si>
    <t>GCP consumption during project</t>
  </si>
  <si>
    <t>Google Cloud Pricing Calculator; ramps with environments</t>
  </si>
  <si>
    <t>Google Cloud Partner (MSP)</t>
  </si>
  <si>
    <t>Bidder A RFQ price (Table 45)</t>
  </si>
  <si>
    <t>Connectivity</t>
  </si>
  <si>
    <t>Carrier quotations (Dedicated Interconnect + Cloud VPN)</t>
  </si>
  <si>
    <t>Security and identity licences</t>
  </si>
  <si>
    <t>Reseller quotation</t>
  </si>
  <si>
    <t>Looker licences</t>
  </si>
  <si>
    <t>60 Looker Studio Pro users (D-09)</t>
  </si>
  <si>
    <t>Independent penetration test and POPIA review</t>
  </si>
  <si>
    <t>Fixed-price RFQ, 3 firms</t>
  </si>
  <si>
    <t>Training and certification</t>
  </si>
  <si>
    <t>Authorised training partner (Table 25)</t>
  </si>
  <si>
    <t>Migration, validation and DevOps tooling</t>
  </si>
  <si>
    <t>Quotation</t>
  </si>
  <si>
    <t>Load-shedding resilience</t>
  </si>
  <si>
    <t>UPS, inverters, LTE failover</t>
  </si>
  <si>
    <t>Travel (Cape Town and Johannesburg)</t>
  </si>
  <si>
    <t>Trip plan</t>
  </si>
  <si>
    <t>Project office and miscellaneous</t>
  </si>
  <si>
    <t>Allowance</t>
  </si>
  <si>
    <t>Non-labour subtotal</t>
  </si>
  <si>
    <t>Budget component</t>
  </si>
  <si>
    <t>Amount (R)</t>
  </si>
  <si>
    <t>% of direct</t>
  </si>
  <si>
    <t>Labour (Resources sheet)</t>
  </si>
  <si>
    <t>Non-labour (above)</t>
  </si>
  <si>
    <t>Direct costs</t>
  </si>
  <si>
    <t>Contingency reserve</t>
  </si>
  <si>
    <t>Cost baseline (BAC)</t>
  </si>
  <si>
    <t>Management reserve (SteerCo controlled)</t>
  </si>
  <si>
    <t>Total funding envelope</t>
  </si>
  <si>
    <t>Phase</t>
  </si>
  <si>
    <t>PM, Quality and Governance (PM labour, travel, PMO, tooling)</t>
  </si>
  <si>
    <t>Total direct</t>
  </si>
  <si>
    <t>Shared costs (GCP, MSP, licences) are apportioned to phases by effort share.</t>
  </si>
  <si>
    <t>Check: phase allocation = direct cost</t>
  </si>
  <si>
    <t>Check: direct cost = Cash Flow direct total</t>
  </si>
  <si>
    <t>Check: BAC = Cash Flow BAC</t>
  </si>
  <si>
    <t>GCP ERP Migration: Monthly Cash Flow Projection (ZAR, excluding VAT)</t>
  </si>
  <si>
    <t>Karoo Retail Group | 5 Oct 2026 to 2 Apr 2027 | Matches SPMP Appendix B (Table 51). Blue = input; black = formula; green = link to another sheet.</t>
  </si>
  <si>
    <t>Cost line</t>
  </si>
  <si>
    <t>M1 (Oct)</t>
  </si>
  <si>
    <t>M2 (Nov)</t>
  </si>
  <si>
    <t>M3 (Dec)</t>
  </si>
  <si>
    <t>M4 (Jan)</t>
  </si>
  <si>
    <t>M5 (Feb)</t>
  </si>
  <si>
    <t>M6 (Mar)</t>
  </si>
  <si>
    <t>Assumption</t>
  </si>
  <si>
    <t>Value</t>
  </si>
  <si>
    <t>Labour (9 roles)</t>
  </si>
  <si>
    <t>Contingency rate (% of direct)</t>
  </si>
  <si>
    <t>GCP consumption</t>
  </si>
  <si>
    <t>Management reserve rate (% of direct)</t>
  </si>
  <si>
    <t>Approved BAC per SPMP (R)</t>
  </si>
  <si>
    <t>Approved funding envelope per SPMP (R)</t>
  </si>
  <si>
    <t>Security, identity and Looker licences</t>
  </si>
  <si>
    <t>Penetration test and POPIA review</t>
  </si>
  <si>
    <t>Tooling</t>
  </si>
  <si>
    <t>Travel</t>
  </si>
  <si>
    <t>Total direct cost</t>
  </si>
  <si>
    <t>Contingency (10% of month's direct cost)</t>
  </si>
  <si>
    <t>Planned spend incl. contingency</t>
  </si>
  <si>
    <t>Cumulative (cost baseline)</t>
  </si>
  <si>
    <t>Cumulative % of BAC</t>
  </si>
  <si>
    <t>Cumulative direct only</t>
  </si>
  <si>
    <t>Management reserve (5% of direct, SteerCo; outside BAC)</t>
  </si>
  <si>
    <t>Check: BAC equals approved baseline</t>
  </si>
  <si>
    <t>Check: funding envelope equals approved figure</t>
  </si>
  <si>
    <t>Check: labour total equals Resources sheet (hours x rate)</t>
  </si>
  <si>
    <t>Check: non-labour total equals Budget sheet (Table 19)</t>
  </si>
  <si>
    <t>Check: cumulative baseline ends at BAC</t>
  </si>
  <si>
    <t>GCP ERP Migration: Risk Register</t>
  </si>
  <si>
    <t>Supports SPMP Section 11 and Appendix C (Table 52). Score = P x I. Low 1-4, Medium 5-9, High 10-14, Critical 15-25.</t>
  </si>
  <si>
    <t>Risk (cause → event → effect)</t>
  </si>
  <si>
    <t>P</t>
  </si>
  <si>
    <t>I</t>
  </si>
  <si>
    <t>Score</t>
  </si>
  <si>
    <t>Rating</t>
  </si>
  <si>
    <t>Strategy</t>
  </si>
  <si>
    <t>Response actions</t>
  </si>
  <si>
    <t>EMV probability</t>
  </si>
  <si>
    <t>EMV impact (R)</t>
  </si>
  <si>
    <t>EMV (R)</t>
  </si>
  <si>
    <t>R01</t>
  </si>
  <si>
    <t>Data loss or corruption during extract, transform and load → incorrect stock, financial or customer data</t>
  </si>
  <si>
    <t>Mitigate</t>
  </si>
  <si>
    <t>Two full mock migrations; checksums and row counts; financial control totals signed by Finance; immutable backups; legacy kept intact for rollback</t>
  </si>
  <si>
    <t>R02</t>
  </si>
  <si>
    <t>Cutover exceeds the approved window (slow sync, failed step) → trading disruption</t>
  </si>
  <si>
    <t>Mitigate + contingency</t>
  </si>
  <si>
    <t>Timed runbook rehearsed twice; delta-sync; checkpoints CP1-CP4; MSP surge; rollback; fallback window 19-22 Mar</t>
  </si>
  <si>
    <t>R03</t>
  </si>
  <si>
    <t>GCP cost overrun (oversized VMs, orphaned resources, data egress) → budget breach</t>
  </si>
  <si>
    <t>Budgets and alerts (70/85/100%); mandatory tags; auto-shutdown; right-sizing each sprint; reserved capacity only after stabilisation; monthly FinOps review</t>
  </si>
  <si>
    <t>R04</t>
  </si>
  <si>
    <t>Security breach or cloud misconfiguration (open storage, excessive privileges) → personal information exposed</t>
  </si>
  <si>
    <t>Mitigate + transfer</t>
  </si>
  <si>
    <t>Policy-as-code guardrails; MFA and Context-Aware Access; PAM; private endpoints; Security Command Center; CIS hardening; independent pen test; incident plan; cyber-insurance check</t>
  </si>
  <si>
    <t>R05</t>
  </si>
  <si>
    <t>POPIA non-compliance (missing operator agreements, unlawful cross-border transfer, late breach notification) → regulatory action and reputational loss</t>
  </si>
  <si>
    <t>Avoid + mitigate</t>
  </si>
  <si>
    <t>Production data in africa-south1 only; DR copies in europe-west4 justified under POPIA s72(1)(a), encrypted with keys held in South Africa; operator agreements (s21) before data loads; DPIA; breach-response process; Information Officer sign-off at G3 and G6</t>
  </si>
  <si>
    <t>R06</t>
  </si>
  <si>
    <t>Skills gap in GCP, IaC, Looker and cloud operations → errors, delay and poor supportability</t>
  </si>
  <si>
    <t>Certification and training plan; MSP knowledge transfer; pair working; runbooks; contractor replacement guarantee</t>
  </si>
  <si>
    <t>BA and Change Lead</t>
  </si>
  <si>
    <t>R07</t>
  </si>
  <si>
    <t>Vendor lock-in (GCP-specific PaaS, proprietary tooling, ERP vendor terms) → limited future options</t>
  </si>
  <si>
    <t>Mitigate + accept</t>
  </si>
  <si>
    <t>Terraform IaC; standard interfaces (SQL, REST); data-portability and exit clauses; documented exit strategy</t>
  </si>
  <si>
    <t>R08</t>
  </si>
  <si>
    <t>Undocumented ERP dependencies (batch jobs, hard-coded IPs, EDI, POS links) → failures after migration</t>
  </si>
  <si>
    <t>Migration Center dependency analysis; capture network flows across a month-end; inventory of 14 interfaces; SIT for every interface; business walk-through</t>
  </si>
  <si>
    <t>R09</t>
  </si>
  <si>
    <t>Scope creep (new ERP features, extra BI reports) → schedule and cost overrun</t>
  </si>
  <si>
    <t>Signed scope baseline; backlog swap rule; CCB; Product Owner prioritisation; visible change log</t>
  </si>
  <si>
    <t>R10</t>
  </si>
  <si>
    <t>Load-shedding or power/connectivity failure during data sync, cutover or in the war-room → delay or data-transfer errors</t>
  </si>
  <si>
    <t>UPS and inverters; LTE failover; GCP-hosted jump boxes; runbook power and connectivity checks; dual circuits</t>
  </si>
  <si>
    <t>R11</t>
  </si>
  <si>
    <t>Loss of a key team member in a scarce-skills market → delay and knowledge loss</t>
  </si>
  <si>
    <t>Backup pairs; documentation in repository; 5-day replacement guarantee; recognition and retention actions; MSP bench</t>
  </si>
  <si>
    <t>R12</t>
  </si>
  <si>
    <t>Circuit delivery delay or inadequate bandwidth/latency → slow migration and poor performance</t>
  </si>
  <si>
    <t>Order by 30 Oct; Cloud VPN fallback; compressed backup seeding and log shipping; latency tests to stores in Discovery; QoS</t>
  </si>
  <si>
    <t>R13</t>
  </si>
  <si>
    <t>Business SMEs unavailable during Black Friday, festive trading and month-end → delayed UAT and requirements</t>
  </si>
  <si>
    <t>Calendar aligned to trading; SME time committed by COO; early sessions in Nov and Jan-Feb; delegates; recorded demos</t>
  </si>
  <si>
    <t>R14</t>
  </si>
  <si>
    <t>Looker data-quality, performance or governance issues → loss of trust in reports</t>
  </si>
  <si>
    <t>KPI definitions signed by owners; reconcile to ERP; row-level access policy test cases; incremental refresh; workspace governance rules</t>
  </si>
  <si>
    <t>R15</t>
  </si>
  <si>
    <t>MSP or vendor under-performance, or Google Cloud regional incident in a critical window → delay</t>
  </si>
  <si>
    <t>Transfer + mitigate</t>
  </si>
  <si>
    <t>SLAs with service credits; named deputy; milestone payments; zone-redundant design and DR; freeze windows</t>
  </si>
  <si>
    <t>R16</t>
  </si>
  <si>
    <t>ZAR depreciation raises USD-linked GCP and licence costs → budget pressure</t>
  </si>
  <si>
    <t>Transfer + accept</t>
  </si>
  <si>
    <t>ZAR billing through Google Cloud reseller; contingency; Finance hedging; reserved capacity after stabilisation</t>
  </si>
  <si>
    <t>R17</t>
  </si>
  <si>
    <t>Poor user adoption and resistance to change among ERP users and store managers → productivity loss</t>
  </si>
  <si>
    <t>Change and communication plan; super-user network; role-based training; early demos; hypercare floorwalkers</t>
  </si>
  <si>
    <t>Summary</t>
  </si>
  <si>
    <t>Count</t>
  </si>
  <si>
    <t>High</t>
  </si>
  <si>
    <t>Medium</t>
  </si>
  <si>
    <t>Low</t>
  </si>
  <si>
    <t>Total baseline exposure (sum of scores)</t>
  </si>
  <si>
    <t>Target exposure by G6 (40% reduction)</t>
  </si>
  <si>
    <t>EMV of top five risks (R)</t>
  </si>
  <si>
    <t>Contingency reserve (R)</t>
  </si>
  <si>
    <t>EMV as % of contingency</t>
  </si>
  <si>
    <t>Check: exposure = 196 (SPMP Appendix C)</t>
  </si>
  <si>
    <t>GCP ERP Migration: RACI Matrix</t>
  </si>
  <si>
    <t>Supports SPMP Appendix D (Table 53). R = Responsible; A = Accountable (exactly one per row); C = Consulted; I = Informed.</t>
  </si>
  <si>
    <t>Activity / deliverable</t>
  </si>
  <si>
    <t>A count</t>
  </si>
  <si>
    <t>Charter, SPMP and baselines</t>
  </si>
  <si>
    <t>A/R</t>
  </si>
  <si>
    <t>C</t>
  </si>
  <si>
    <t>Requirements and scope baseline</t>
  </si>
  <si>
    <t>A</t>
  </si>
  <si>
    <t>R</t>
  </si>
  <si>
    <t>Discovery and 6R migration strategy</t>
  </si>
  <si>
    <t>Target architecture and security design</t>
  </si>
  <si>
    <t>Landing zone and connectivity build</t>
  </si>
  <si>
    <t>Identity and access management</t>
  </si>
  <si>
    <t>Data migration (mapping, ETL, mocks, reconciliation)</t>
  </si>
  <si>
    <t>Application replatform and integrations</t>
  </si>
  <si>
    <t>Looker model and reports</t>
  </si>
  <si>
    <t>Security hardening and pen-test coordination</t>
  </si>
  <si>
    <t>POPIA compliance and DPIA</t>
  </si>
  <si>
    <t>Test planning, SIT, UAT and defect management</t>
  </si>
  <si>
    <t>Cutover planning and execution</t>
  </si>
  <si>
    <t>Change control and configuration management</t>
  </si>
  <si>
    <t>Quality assurance, reviews and audits</t>
  </si>
  <si>
    <t>Training, communications and adoption</t>
  </si>
  <si>
    <t>Procurement and vendor management</t>
  </si>
  <si>
    <t>Hypercare and handover to operations</t>
  </si>
  <si>
    <t>Project closure and lessons learned</t>
  </si>
  <si>
    <t>Activities where role is Accountable</t>
  </si>
  <si>
    <t>Activities where role is Responsible</t>
  </si>
  <si>
    <t>Check: every activity has exactly one A</t>
  </si>
  <si>
    <t>GCP ERP Migration: Earned Value Worked Example (end of Month 3)</t>
  </si>
  <si>
    <t>Supports SPMP Sections 6.5, 14.1 and 14.2. EV and AC are illustrative status-date inputs.</t>
  </si>
  <si>
    <t>Measure</t>
  </si>
  <si>
    <t>Formula / source</t>
  </si>
  <si>
    <t>Status</t>
  </si>
  <si>
    <t>Budget at Completion (BAC)</t>
  </si>
  <si>
    <t>Cash Flow sheet</t>
  </si>
  <si>
    <t>Planned Value (PV), cumulative M3</t>
  </si>
  <si>
    <t>Cash Flow cumulative baseline, Dec</t>
  </si>
  <si>
    <t>Earned Value (EV)</t>
  </si>
  <si>
    <t>Input: value of work completed</t>
  </si>
  <si>
    <t>Actual Cost (AC)</t>
  </si>
  <si>
    <t>Input: cost booked to date</t>
  </si>
  <si>
    <t>Cost Variance (CV)</t>
  </si>
  <si>
    <t>EV - AC</t>
  </si>
  <si>
    <t>Schedule Variance (SV)</t>
  </si>
  <si>
    <t>EV - PV</t>
  </si>
  <si>
    <t>CPI</t>
  </si>
  <si>
    <t>EV / AC</t>
  </si>
  <si>
    <t>SPI</t>
  </si>
  <si>
    <t>EV / PV</t>
  </si>
  <si>
    <t>Estimate at Completion (EAC)</t>
  </si>
  <si>
    <t>BAC / CPI</t>
  </si>
  <si>
    <t>Variance at Completion (VAC)</t>
  </si>
  <si>
    <t>BAC - EAC</t>
  </si>
  <si>
    <t>TCPI (to BAC)</t>
  </si>
  <si>
    <t>(BAC - EV) / (BAC - AC)</t>
  </si>
  <si>
    <t>EAC within funding envelope?</t>
  </si>
  <si>
    <t>EAC vs total funding envelope</t>
  </si>
  <si>
    <t>Thresholds (SPMP 6.5 / 14.1): CPI and SPI &gt;= 0.95 green; 0.90-0.95 amber; &lt; 0.90 red (SteerCo exception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</si>
</sst>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dd\ mmm\ yyyy"/>
    <numFmt numFmtId="166" formatCode="#,##0;\(#,##0\);&quot;-&quot;"/>
    <numFmt numFmtId="167" formatCode="0.000"/>
    <numFmt numFmtId="168" formatCode="0.0000"/>
    <numFmt numFmtId="169" formatCode="0.000;\(0.000\)"/>
    <numFmt numFmtId="170" formatCode="0.0"/>
  </numFmts>
  <fonts count="13" x14ac:knownFonts="1">
    <font>
      <sz val="11"/>
      <color theme="1"/>
      <name val="Calibri"/>
      <family val="2"/>
      <scheme val="minor"/>
    </font>
    <font>
      <b/>
      <sz val="13"/>
      <name val="Calibri"/>
    </font>
    <font>
      <b/>
      <sz val="11"/>
      <color rgb="FFFFFFFF"/>
      <name val="Calibri"/>
    </font>
    <font>
      <b/>
      <sz val="11"/>
      <name val="Calibri"/>
    </font>
    <font>
      <sz val="11"/>
      <name val="Calibri"/>
    </font>
    <font>
      <sz val="8"/>
      <name val="Calibri"/>
    </font>
    <font>
      <b/>
      <sz val="13"/>
      <color rgb="FF1F4E79"/>
      <name val="Calibri"/>
    </font>
    <font>
      <i/>
      <sz val="10"/>
      <color rgb="FF595959"/>
      <name val="Calibri"/>
    </font>
    <font>
      <b/>
      <sz val="11"/>
      <color rgb="FF0000FF"/>
      <name val="Calibri"/>
    </font>
    <font>
      <b/>
      <sz val="11"/>
      <color rgb="FFFFFFFF"/>
      <name val="Calibri"/>
    </font>
    <font>
      <sz val="11"/>
      <color rgb="FF0000FF"/>
      <name val="Calibri"/>
    </font>
    <font>
      <sz val="11"/>
      <color rgb="FF008000"/>
      <name val="Calibri"/>
    </font>
    <font>
      <u/>
      <sz val="11"/>
      <color rgb="FF0563C1"/>
      <name val="Calibri"/>
    </font>
  </fonts>
  <fills count="6">
    <fill>
      <patternFill patternType="none"/>
    </fill>
    <fill>
      <patternFill patternType="gray125"/>
    </fill>
    <fill>
      <patternFill patternType="solid">
        <fgColor rgb="FF1F4E79"/>
      </patternFill>
    </fill>
    <fill>
      <patternFill patternType="solid">
        <fgColor rgb="FFFFF2CC"/>
        <bgColor rgb="FFFFF2CC"/>
      </patternFill>
    </fill>
    <fill>
      <patternFill patternType="solid">
        <fgColor rgb="FF1F4E79"/>
      </patternFill>
    </fill>
    <fill>
      <patternFill patternType="solid">
        <fgColor rgb="FFDDEBF7"/>
        <bgColor rgb="FFDDEBF7"/>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76">
    <xf numFmtId="0" fontId="0" fillId="0" borderId="0" xfId="0"/>
    <xf numFmtId="0" fontId="1" fillId="0" borderId="0" xfId="0" applyFont="1"/>
    <xf numFmtId="0" fontId="2" fillId="2" borderId="1" xfId="0" applyFont="1" applyFill="1" applyBorder="1" applyAlignment="1">
      <alignment vertical="center" wrapText="1"/>
    </xf>
    <xf numFmtId="3" fontId="0" fillId="0" borderId="0" xfId="0" applyNumberFormat="1"/>
    <xf numFmtId="0" fontId="3" fillId="0" borderId="0" xfId="0" applyFont="1"/>
    <xf numFmtId="3" fontId="3" fillId="0" borderId="0" xfId="0" applyNumberFormat="1" applyFont="1"/>
    <xf numFmtId="0" fontId="0" fillId="0" borderId="1" xfId="0" applyBorder="1"/>
    <xf numFmtId="165" fontId="0" fillId="0" borderId="1" xfId="0" applyNumberFormat="1" applyBorder="1"/>
    <xf numFmtId="16" fontId="5" fillId="0" borderId="0" xfId="0" applyNumberFormat="1" applyFont="1" applyAlignment="1">
      <alignment textRotation="90"/>
    </xf>
    <xf numFmtId="0" fontId="3" fillId="0" borderId="1" xfId="0" applyFont="1" applyBorder="1"/>
    <xf numFmtId="0" fontId="6" fillId="0" borderId="0" xfId="0" applyFont="1"/>
    <xf numFmtId="0" fontId="7" fillId="0" borderId="0" xfId="0" applyFont="1"/>
    <xf numFmtId="0" fontId="9" fillId="4" borderId="2" xfId="0" applyFont="1" applyFill="1" applyBorder="1" applyAlignment="1">
      <alignment horizontal="center" vertical="center" wrapText="1"/>
    </xf>
    <xf numFmtId="0" fontId="12" fillId="0" borderId="2" xfId="0" applyFont="1" applyBorder="1"/>
    <xf numFmtId="0" fontId="4" fillId="0" borderId="2" xfId="0" applyFont="1" applyBorder="1" applyAlignment="1">
      <alignment vertical="top" wrapText="1"/>
    </xf>
    <xf numFmtId="0" fontId="4" fillId="0" borderId="2" xfId="0" applyFont="1" applyBorder="1" applyAlignment="1">
      <alignment horizontal="center" vertical="top" wrapText="1"/>
    </xf>
    <xf numFmtId="0" fontId="3" fillId="5" borderId="2" xfId="0" applyFont="1" applyFill="1" applyBorder="1"/>
    <xf numFmtId="0" fontId="4" fillId="5" borderId="2" xfId="0" applyFont="1" applyFill="1" applyBorder="1"/>
    <xf numFmtId="0" fontId="3" fillId="5" borderId="2" xfId="0" applyFont="1" applyFill="1" applyBorder="1" applyAlignment="1">
      <alignment horizontal="center" vertical="top" wrapText="1"/>
    </xf>
    <xf numFmtId="0" fontId="9" fillId="4" borderId="2" xfId="0" applyFont="1" applyFill="1" applyBorder="1"/>
    <xf numFmtId="0" fontId="4" fillId="4" borderId="2" xfId="0" applyFont="1" applyFill="1" applyBorder="1"/>
    <xf numFmtId="0" fontId="10" fillId="0" borderId="2" xfId="0" applyFont="1" applyBorder="1"/>
    <xf numFmtId="0" fontId="4" fillId="0" borderId="2" xfId="0" applyFont="1" applyBorder="1"/>
    <xf numFmtId="0" fontId="11" fillId="0" borderId="2" xfId="0" applyFont="1" applyBorder="1"/>
    <xf numFmtId="0" fontId="4" fillId="3" borderId="2" xfId="0" applyFont="1" applyFill="1" applyBorder="1"/>
    <xf numFmtId="0" fontId="3" fillId="0" borderId="2" xfId="0" applyFont="1" applyBorder="1"/>
    <xf numFmtId="9" fontId="10" fillId="0" borderId="2" xfId="0" applyNumberFormat="1" applyFont="1" applyBorder="1" applyAlignment="1">
      <alignment horizontal="center" vertical="top" wrapText="1"/>
    </xf>
    <xf numFmtId="0" fontId="10" fillId="0" borderId="2" xfId="0" applyFont="1" applyBorder="1" applyAlignment="1">
      <alignment horizontal="center" vertical="top" wrapText="1"/>
    </xf>
    <xf numFmtId="9" fontId="3" fillId="5" borderId="2" xfId="0" applyNumberFormat="1" applyFont="1" applyFill="1" applyBorder="1" applyAlignment="1">
      <alignment horizontal="center" vertical="top" wrapText="1"/>
    </xf>
    <xf numFmtId="2" fontId="3" fillId="5" borderId="2" xfId="0" applyNumberFormat="1" applyFont="1" applyFill="1" applyBorder="1" applyAlignment="1">
      <alignment horizontal="center" vertical="top" wrapText="1"/>
    </xf>
    <xf numFmtId="166" fontId="10" fillId="0" borderId="2" xfId="0" applyNumberFormat="1" applyFont="1" applyBorder="1"/>
    <xf numFmtId="3" fontId="3" fillId="5" borderId="2" xfId="0" applyNumberFormat="1" applyFont="1" applyFill="1" applyBorder="1"/>
    <xf numFmtId="3" fontId="3" fillId="0" borderId="2" xfId="0" applyNumberFormat="1" applyFont="1" applyBorder="1"/>
    <xf numFmtId="164" fontId="8" fillId="3" borderId="2" xfId="0" applyNumberFormat="1" applyFont="1" applyFill="1" applyBorder="1"/>
    <xf numFmtId="167" fontId="11" fillId="3" borderId="2" xfId="0" applyNumberFormat="1" applyFont="1" applyFill="1" applyBorder="1"/>
    <xf numFmtId="167" fontId="8" fillId="3" borderId="2" xfId="0" applyNumberFormat="1" applyFont="1" applyFill="1" applyBorder="1"/>
    <xf numFmtId="168" fontId="4" fillId="0" borderId="2" xfId="0" applyNumberFormat="1" applyFont="1" applyBorder="1"/>
    <xf numFmtId="169" fontId="4" fillId="0" borderId="2" xfId="0" applyNumberFormat="1" applyFont="1" applyBorder="1"/>
    <xf numFmtId="2" fontId="4" fillId="0" borderId="2" xfId="0" applyNumberFormat="1" applyFont="1" applyBorder="1" applyAlignment="1">
      <alignment horizontal="center" vertical="top" wrapText="1"/>
    </xf>
    <xf numFmtId="164" fontId="4" fillId="0" borderId="2" xfId="0" applyNumberFormat="1" applyFont="1" applyBorder="1" applyAlignment="1">
      <alignment horizontal="center" vertical="top" wrapText="1"/>
    </xf>
    <xf numFmtId="170" fontId="4" fillId="0" borderId="2" xfId="0" applyNumberFormat="1" applyFont="1" applyBorder="1" applyAlignment="1">
      <alignment horizontal="center" vertical="top" wrapText="1"/>
    </xf>
    <xf numFmtId="9" fontId="4" fillId="0" borderId="2" xfId="0" applyNumberFormat="1" applyFont="1" applyBorder="1" applyAlignment="1">
      <alignment horizontal="center" vertical="top" wrapText="1"/>
    </xf>
    <xf numFmtId="0" fontId="10" fillId="0" borderId="1" xfId="0" applyFont="1" applyBorder="1"/>
    <xf numFmtId="0" fontId="0" fillId="0" borderId="2" xfId="0" applyBorder="1"/>
    <xf numFmtId="3" fontId="0" fillId="0" borderId="2" xfId="0" applyNumberFormat="1" applyBorder="1"/>
    <xf numFmtId="164" fontId="4" fillId="0" borderId="2" xfId="0" applyNumberFormat="1" applyFont="1" applyBorder="1"/>
    <xf numFmtId="3" fontId="10" fillId="0" borderId="2" xfId="0" applyNumberFormat="1" applyFont="1" applyBorder="1"/>
    <xf numFmtId="164" fontId="3" fillId="5" borderId="2" xfId="0" applyNumberFormat="1" applyFont="1" applyFill="1" applyBorder="1"/>
    <xf numFmtId="0" fontId="3" fillId="0" borderId="2" xfId="0" applyFont="1" applyBorder="1" applyAlignment="1">
      <alignment horizontal="center" vertical="top" wrapText="1"/>
    </xf>
    <xf numFmtId="0" fontId="2" fillId="2" borderId="1" xfId="0" applyFont="1" applyFill="1" applyBorder="1" applyAlignment="1">
      <alignment horizontal="center" vertical="center"/>
    </xf>
    <xf numFmtId="170" fontId="10" fillId="0" borderId="2" xfId="0" applyNumberFormat="1" applyFont="1" applyBorder="1" applyAlignment="1">
      <alignment horizontal="center" vertical="top" wrapText="1"/>
    </xf>
    <xf numFmtId="167" fontId="4" fillId="0" borderId="2" xfId="0" applyNumberFormat="1" applyFont="1" applyBorder="1" applyAlignment="1">
      <alignment horizontal="center" vertical="top" wrapText="1"/>
    </xf>
    <xf numFmtId="167" fontId="3" fillId="5" borderId="2" xfId="0" applyNumberFormat="1" applyFont="1" applyFill="1" applyBorder="1" applyAlignment="1">
      <alignment horizontal="center" vertical="top" wrapText="1"/>
    </xf>
    <xf numFmtId="0" fontId="8" fillId="3" borderId="2" xfId="0" applyFont="1" applyFill="1" applyBorder="1" applyAlignment="1">
      <alignment horizontal="center" vertical="top" wrapText="1"/>
    </xf>
    <xf numFmtId="0" fontId="3" fillId="3" borderId="2" xfId="0" applyFont="1" applyFill="1" applyBorder="1"/>
    <xf numFmtId="3" fontId="8" fillId="3" borderId="2" xfId="0" applyNumberFormat="1" applyFont="1" applyFill="1" applyBorder="1"/>
    <xf numFmtId="9" fontId="4" fillId="0" borderId="2" xfId="0" applyNumberFormat="1" applyFont="1" applyBorder="1"/>
    <xf numFmtId="3" fontId="4" fillId="0" borderId="2" xfId="0" applyNumberFormat="1" applyFont="1" applyBorder="1"/>
    <xf numFmtId="3" fontId="11" fillId="0" borderId="2" xfId="0" applyNumberFormat="1" applyFont="1" applyBorder="1"/>
    <xf numFmtId="164" fontId="4" fillId="5" borderId="2" xfId="0" applyNumberFormat="1" applyFont="1" applyFill="1" applyBorder="1"/>
    <xf numFmtId="0" fontId="2" fillId="2" borderId="2" xfId="0" applyFont="1" applyFill="1" applyBorder="1" applyAlignment="1">
      <alignment vertical="center" wrapText="1"/>
    </xf>
    <xf numFmtId="164" fontId="0" fillId="0" borderId="2" xfId="0" applyNumberFormat="1" applyBorder="1"/>
    <xf numFmtId="0" fontId="0" fillId="0" borderId="2" xfId="0" applyBorder="1" applyAlignment="1">
      <alignment horizontal="center"/>
    </xf>
    <xf numFmtId="9" fontId="3" fillId="0" borderId="2" xfId="0" applyNumberFormat="1" applyFont="1" applyBorder="1" applyAlignment="1">
      <alignment horizontal="center" vertical="top" wrapText="1"/>
    </xf>
    <xf numFmtId="3" fontId="11" fillId="0" borderId="2" xfId="0" applyNumberFormat="1" applyFont="1" applyBorder="1" applyAlignment="1">
      <alignment horizontal="right"/>
    </xf>
    <xf numFmtId="3" fontId="10" fillId="0" borderId="2" xfId="0" applyNumberFormat="1" applyFont="1" applyBorder="1" applyAlignment="1">
      <alignment horizontal="right"/>
    </xf>
    <xf numFmtId="166" fontId="4" fillId="0" borderId="2" xfId="0" applyNumberFormat="1" applyFont="1" applyBorder="1" applyAlignment="1">
      <alignment horizontal="right"/>
    </xf>
    <xf numFmtId="167" fontId="3" fillId="0" borderId="2" xfId="0" applyNumberFormat="1" applyFont="1" applyBorder="1" applyAlignment="1">
      <alignment horizontal="right"/>
    </xf>
    <xf numFmtId="3" fontId="4" fillId="0" borderId="2" xfId="0" applyNumberFormat="1" applyFont="1" applyBorder="1" applyAlignment="1">
      <alignment horizontal="right"/>
    </xf>
    <xf numFmtId="2" fontId="3" fillId="0" borderId="2" xfId="0" applyNumberFormat="1" applyFont="1" applyBorder="1" applyAlignment="1">
      <alignment horizontal="right"/>
    </xf>
    <xf numFmtId="0" fontId="3" fillId="0" borderId="2" xfId="0" applyFont="1" applyBorder="1" applyAlignment="1">
      <alignment horizontal="right"/>
    </xf>
    <xf numFmtId="0" fontId="3" fillId="0" borderId="2" xfId="0" applyFont="1" applyBorder="1"/>
    <xf numFmtId="0" fontId="0" fillId="0" borderId="3" xfId="0" applyBorder="1"/>
    <xf numFmtId="0" fontId="0" fillId="0" borderId="4" xfId="0" applyBorder="1"/>
    <xf numFmtId="0" fontId="7" fillId="0" borderId="0" xfId="0" applyFont="1" applyAlignment="1">
      <alignment vertical="top" wrapText="1"/>
    </xf>
    <xf numFmtId="0" fontId="0" fillId="0" borderId="0" xfId="0"/>
  </cellXfs>
  <cellStyles count="1">
    <cellStyle name="Normal" xfId="0" builtinId="0"/>
  </cellStyles>
  <dxfs count="38">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2F2F2"/>
          <bgColor rgb="FFF2F2F2"/>
        </patternFill>
      </fill>
    </dxf>
    <dxf>
      <fill>
        <patternFill patternType="solid">
          <fgColor rgb="FFFFF2CC"/>
          <bgColor rgb="FFFFF2CC"/>
        </patternFill>
      </fill>
    </dxf>
    <dxf>
      <fill>
        <patternFill patternType="solid">
          <fgColor rgb="FF9DC3E6"/>
          <bgColor rgb="FF9DC3E6"/>
        </patternFill>
      </fill>
    </dxf>
    <dxf>
      <font>
        <b/>
        <color rgb="FFFFFFFF"/>
      </font>
      <fill>
        <patternFill patternType="solid">
          <fgColor rgb="FF1F4E79"/>
          <bgColor rgb="FF1F4E79"/>
        </patternFill>
      </fill>
    </dxf>
    <dxf>
      <fill>
        <patternFill patternType="solid">
          <fgColor rgb="FFC6EFCE"/>
          <bgColor rgb="FFC6EFCE"/>
        </patternFill>
      </fill>
    </dxf>
    <dxf>
      <fill>
        <patternFill patternType="solid">
          <fgColor rgb="FFFFEB9C"/>
          <bgColor rgb="FFFFEB9C"/>
        </patternFill>
      </fill>
    </dxf>
    <dxf>
      <fill>
        <patternFill patternType="solid">
          <fgColor rgb="FFFFC000"/>
          <bgColor rgb="FFFFC000"/>
        </patternFill>
      </fill>
    </dxf>
    <dxf>
      <font>
        <b/>
      </font>
      <fill>
        <patternFill patternType="solid">
          <fgColor rgb="FFFF7C80"/>
          <bgColor rgb="FFFF7C80"/>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2E75B6"/>
          <bgColor rgb="FF2E75B6"/>
        </patternFill>
      </fill>
    </dxf>
    <dxf>
      <fill>
        <patternFill patternType="solid">
          <fgColor rgb="FFC00000"/>
          <bgColor rgb="FFC00000"/>
        </patternFill>
      </fill>
    </dxf>
    <dxf>
      <fill>
        <patternFill patternType="solid">
          <fgColor rgb="FFFFC000"/>
          <bgColor rgb="FFFFC000"/>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ZA"/>
              <a:t>Monthly spend (bars, left axis) and cumulative baseline (line, right axis), R</a:t>
            </a:r>
          </a:p>
        </c:rich>
      </c:tx>
      <c:overlay val="0"/>
    </c:title>
    <c:autoTitleDeleted val="0"/>
    <c:plotArea>
      <c:layout/>
      <c:barChart>
        <c:barDir val="col"/>
        <c:grouping val="clustered"/>
        <c:varyColors val="1"/>
        <c:ser>
          <c:idx val="0"/>
          <c:order val="0"/>
          <c:tx>
            <c:strRef>
              <c:f>'Cash Flow'!$A$18</c:f>
              <c:strCache>
                <c:ptCount val="1"/>
                <c:pt idx="0">
                  <c:v>Planned spend incl. contingency</c:v>
                </c:pt>
              </c:strCache>
            </c:strRef>
          </c:tx>
          <c:spPr>
            <a:ln>
              <a:prstDash val="solid"/>
            </a:ln>
          </c:spPr>
          <c:invertIfNegative val="1"/>
          <c:cat>
            <c:strRef>
              <c:f>'Cash Flow'!$B$4:$G$4</c:f>
              <c:strCache>
                <c:ptCount val="6"/>
                <c:pt idx="0">
                  <c:v>M1 (Oct)</c:v>
                </c:pt>
                <c:pt idx="1">
                  <c:v>M2 (Nov)</c:v>
                </c:pt>
                <c:pt idx="2">
                  <c:v>M3 (Dec)</c:v>
                </c:pt>
                <c:pt idx="3">
                  <c:v>M4 (Jan)</c:v>
                </c:pt>
                <c:pt idx="4">
                  <c:v>M5 (Feb)</c:v>
                </c:pt>
                <c:pt idx="5">
                  <c:v>M6 (Mar)</c:v>
                </c:pt>
              </c:strCache>
            </c:strRef>
          </c:cat>
          <c:val>
            <c:numRef>
              <c:f>'Cash Flow'!$B$18:$G$18</c:f>
              <c:numCache>
                <c:formatCode>#,##0</c:formatCode>
                <c:ptCount val="6"/>
                <c:pt idx="0">
                  <c:v>741400</c:v>
                </c:pt>
                <c:pt idx="1">
                  <c:v>1136850</c:v>
                </c:pt>
                <c:pt idx="2">
                  <c:v>1232550</c:v>
                </c:pt>
                <c:pt idx="3">
                  <c:v>1302400</c:v>
                </c:pt>
                <c:pt idx="4">
                  <c:v>1601600</c:v>
                </c:pt>
                <c:pt idx="5">
                  <c:v>1755600</c:v>
                </c:pt>
              </c:numCache>
            </c:numRef>
          </c:val>
          <c:extLst>
            <c:ext xmlns:c16="http://schemas.microsoft.com/office/drawing/2014/chart" uri="{C3380CC4-5D6E-409C-BE32-E72D297353CC}">
              <c16:uniqueId val="{00000000-04AB-4C30-967D-31CA07041E68}"/>
            </c:ext>
          </c:extLst>
        </c:ser>
        <c:dLbls>
          <c:showLegendKey val="0"/>
          <c:showVal val="0"/>
          <c:showCatName val="0"/>
          <c:showSerName val="0"/>
          <c:showPercent val="0"/>
          <c:showBubbleSize val="0"/>
        </c:dLbls>
        <c:gapWidth val="150"/>
        <c:axId val="10"/>
        <c:axId val="100"/>
      </c:barChart>
      <c:lineChart>
        <c:grouping val="standard"/>
        <c:varyColors val="1"/>
        <c:ser>
          <c:idx val="1"/>
          <c:order val="1"/>
          <c:tx>
            <c:strRef>
              <c:f>'Cash Flow'!$A$19</c:f>
              <c:strCache>
                <c:ptCount val="1"/>
                <c:pt idx="0">
                  <c:v>Cumulative (cost baseline)</c:v>
                </c:pt>
              </c:strCache>
            </c:strRef>
          </c:tx>
          <c:spPr>
            <a:ln>
              <a:prstDash val="solid"/>
            </a:ln>
          </c:spPr>
          <c:marker>
            <c:symbol val="none"/>
          </c:marker>
          <c:val>
            <c:numRef>
              <c:f>'Cash Flow'!$B$19:$G$19</c:f>
              <c:numCache>
                <c:formatCode>#,##0</c:formatCode>
                <c:ptCount val="6"/>
                <c:pt idx="0">
                  <c:v>741400</c:v>
                </c:pt>
                <c:pt idx="1">
                  <c:v>1878250</c:v>
                </c:pt>
                <c:pt idx="2">
                  <c:v>3110800</c:v>
                </c:pt>
                <c:pt idx="3">
                  <c:v>4413200</c:v>
                </c:pt>
                <c:pt idx="4">
                  <c:v>6014800</c:v>
                </c:pt>
                <c:pt idx="5">
                  <c:v>7770400</c:v>
                </c:pt>
              </c:numCache>
            </c:numRef>
          </c:val>
          <c:smooth val="1"/>
          <c:extLst>
            <c:ext xmlns:c16="http://schemas.microsoft.com/office/drawing/2014/chart" uri="{C3380CC4-5D6E-409C-BE32-E72D297353CC}">
              <c16:uniqueId val="{00000001-04AB-4C30-967D-31CA07041E68}"/>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valAx>
        <c:axId val="200"/>
        <c:scaling>
          <c:orientation val="minMax"/>
        </c:scaling>
        <c:delete val="0"/>
        <c:axPos val="r"/>
        <c:majorGridlines/>
        <c:numFmt formatCode="#,##0" sourceLinked="0"/>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5"/>
  <sheetViews>
    <sheetView tabSelected="1" workbookViewId="0">
      <selection activeCell="D5" sqref="D5"/>
    </sheetView>
  </sheetViews>
  <sheetFormatPr defaultRowHeight="14.5" x14ac:dyDescent="0.35"/>
  <cols>
    <col min="1" max="1" width="18" customWidth="1"/>
    <col min="2" max="2" width="70" customWidth="1"/>
    <col min="3" max="3" width="38" customWidth="1"/>
    <col min="4" max="4" width="12" customWidth="1"/>
  </cols>
  <sheetData>
    <row r="1" spans="1:4" ht="17" x14ac:dyDescent="0.4">
      <c r="A1" s="10" t="s">
        <v>0</v>
      </c>
    </row>
    <row r="2" spans="1:4" x14ac:dyDescent="0.35">
      <c r="A2" s="11" t="s">
        <v>1</v>
      </c>
    </row>
    <row r="4" spans="1:4" x14ac:dyDescent="0.35">
      <c r="A4" s="12" t="s">
        <v>2</v>
      </c>
      <c r="B4" s="12" t="s">
        <v>3</v>
      </c>
      <c r="C4" s="12" t="s">
        <v>4</v>
      </c>
      <c r="D4" s="12" t="s">
        <v>5</v>
      </c>
    </row>
    <row r="5" spans="1:4" x14ac:dyDescent="0.35">
      <c r="A5" s="13" t="s">
        <v>6</v>
      </c>
      <c r="B5" s="14" t="s">
        <v>7</v>
      </c>
      <c r="C5" s="14" t="s">
        <v>8</v>
      </c>
      <c r="D5" s="15" t="s">
        <v>9</v>
      </c>
    </row>
    <row r="6" spans="1:4" ht="29" x14ac:dyDescent="0.35">
      <c r="A6" s="13" t="s">
        <v>10</v>
      </c>
      <c r="B6" s="14" t="s">
        <v>11</v>
      </c>
      <c r="C6" s="14" t="s">
        <v>12</v>
      </c>
      <c r="D6" s="15" t="str">
        <f>IF(AND(WBS!I100="OK",WBS!J112="OK",WBS!G116="OK",WBS!G117="OK"),"OK","CHECK")</f>
        <v>OK</v>
      </c>
    </row>
    <row r="7" spans="1:4" x14ac:dyDescent="0.35">
      <c r="A7" s="13" t="s">
        <v>13</v>
      </c>
      <c r="B7" s="14" t="s">
        <v>14</v>
      </c>
      <c r="C7" s="14" t="s">
        <v>15</v>
      </c>
      <c r="D7" s="15" t="s">
        <v>9</v>
      </c>
    </row>
    <row r="8" spans="1:4" x14ac:dyDescent="0.35">
      <c r="A8" s="13" t="s">
        <v>16</v>
      </c>
      <c r="B8" s="14" t="s">
        <v>17</v>
      </c>
      <c r="C8" s="14" t="s">
        <v>18</v>
      </c>
      <c r="D8" s="15" t="str">
        <f>PERT!E22</f>
        <v>OK</v>
      </c>
    </row>
    <row r="9" spans="1:4" x14ac:dyDescent="0.35">
      <c r="A9" s="13" t="s">
        <v>19</v>
      </c>
      <c r="B9" s="14" t="s">
        <v>20</v>
      </c>
      <c r="C9" s="14" t="s">
        <v>21</v>
      </c>
      <c r="D9" s="15" t="str">
        <f>IF(AND(Resources!G23="OK",Resources!G24="OK",Resources!G25="OK"),"OK","CHECK")</f>
        <v>OK</v>
      </c>
    </row>
    <row r="10" spans="1:4" x14ac:dyDescent="0.35">
      <c r="A10" s="13" t="s">
        <v>22</v>
      </c>
      <c r="B10" s="14" t="s">
        <v>23</v>
      </c>
      <c r="C10" s="14" t="s">
        <v>24</v>
      </c>
      <c r="D10" s="15" t="str">
        <f>IF(AND(Budget!C41="OK",Budget!C42="OK",Budget!C43="OK"),"OK","CHECK")</f>
        <v>OK</v>
      </c>
    </row>
    <row r="11" spans="1:4" x14ac:dyDescent="0.35">
      <c r="A11" s="13" t="s">
        <v>25</v>
      </c>
      <c r="B11" s="14" t="s">
        <v>26</v>
      </c>
      <c r="C11" s="14" t="s">
        <v>27</v>
      </c>
      <c r="D11" s="15" t="str">
        <f>IF(COUNTIF('Cash Flow'!H24:H28,"OK")=5,"OK","CHECK")</f>
        <v>OK</v>
      </c>
    </row>
    <row r="12" spans="1:4" x14ac:dyDescent="0.35">
      <c r="A12" s="13" t="s">
        <v>28</v>
      </c>
      <c r="B12" s="14" t="s">
        <v>29</v>
      </c>
      <c r="C12" s="14" t="s">
        <v>30</v>
      </c>
      <c r="D12" s="15" t="str">
        <f>'Risk Register'!C33</f>
        <v>OK</v>
      </c>
    </row>
    <row r="13" spans="1:4" x14ac:dyDescent="0.35">
      <c r="A13" s="13" t="s">
        <v>31</v>
      </c>
      <c r="B13" s="14" t="s">
        <v>32</v>
      </c>
      <c r="C13" s="14" t="s">
        <v>33</v>
      </c>
      <c r="D13" s="15" t="str">
        <f>RACI!M27</f>
        <v>OK</v>
      </c>
    </row>
    <row r="14" spans="1:4" x14ac:dyDescent="0.35">
      <c r="A14" s="13" t="s">
        <v>34</v>
      </c>
      <c r="B14" s="14" t="s">
        <v>35</v>
      </c>
      <c r="C14" s="14" t="s">
        <v>36</v>
      </c>
      <c r="D14" s="15" t="s">
        <v>9</v>
      </c>
    </row>
    <row r="16" spans="1:4" x14ac:dyDescent="0.35">
      <c r="A16" s="16" t="s">
        <v>37</v>
      </c>
      <c r="B16" s="17"/>
      <c r="C16" s="17"/>
      <c r="D16" s="18" t="str">
        <f>IF(COUNTIF(D5:D14,"CHECK")=0,"OK","CHECK")</f>
        <v>OK</v>
      </c>
    </row>
    <row r="18" spans="1:2" x14ac:dyDescent="0.35">
      <c r="A18" s="19" t="s">
        <v>38</v>
      </c>
      <c r="B18" s="20"/>
    </row>
    <row r="19" spans="1:2" x14ac:dyDescent="0.35">
      <c r="A19" s="21" t="s">
        <v>39</v>
      </c>
      <c r="B19" s="22" t="s">
        <v>40</v>
      </c>
    </row>
    <row r="20" spans="1:2" x14ac:dyDescent="0.35">
      <c r="A20" s="22" t="s">
        <v>41</v>
      </c>
      <c r="B20" s="22" t="s">
        <v>42</v>
      </c>
    </row>
    <row r="21" spans="1:2" x14ac:dyDescent="0.35">
      <c r="A21" s="23" t="s">
        <v>43</v>
      </c>
      <c r="B21" s="22" t="s">
        <v>44</v>
      </c>
    </row>
    <row r="22" spans="1:2" x14ac:dyDescent="0.35">
      <c r="A22" s="24" t="s">
        <v>45</v>
      </c>
      <c r="B22" s="22" t="s">
        <v>46</v>
      </c>
    </row>
    <row r="23" spans="1:2" x14ac:dyDescent="0.35">
      <c r="A23" s="25" t="s">
        <v>47</v>
      </c>
      <c r="B23" s="22" t="s">
        <v>48</v>
      </c>
    </row>
    <row r="25" spans="1:2" x14ac:dyDescent="0.35">
      <c r="A25" s="11" t="s">
        <v>49</v>
      </c>
    </row>
  </sheetData>
  <conditionalFormatting sqref="D5:D14">
    <cfRule type="cellIs" dxfId="37" priority="1" operator="equal">
      <formula>"OK"</formula>
    </cfRule>
    <cfRule type="cellIs" dxfId="36" priority="2" operator="equal">
      <formula>"CHECK"</formula>
    </cfRule>
  </conditionalFormatting>
  <conditionalFormatting sqref="D16">
    <cfRule type="cellIs" dxfId="35" priority="3" operator="equal">
      <formula>"OK"</formula>
    </cfRule>
    <cfRule type="cellIs" dxfId="34" priority="4" operator="equal">
      <formula>"CHECK"</formula>
    </cfRule>
  </conditionalFormatting>
  <hyperlinks>
    <hyperlink ref="A5" location="'Business Case'!A1" display="Business Case" xr:uid="{00000000-0004-0000-0000-000000000000}"/>
    <hyperlink ref="A6" location="'WBS'!A1" display="WBS" xr:uid="{00000000-0004-0000-0000-000001000000}"/>
    <hyperlink ref="A7" location="'Gantt'!A1" display="Gantt" xr:uid="{00000000-0004-0000-0000-000002000000}"/>
    <hyperlink ref="A8" location="'PERT'!A1" display="PERT" xr:uid="{00000000-0004-0000-0000-000003000000}"/>
    <hyperlink ref="A9" location="'Resources'!A1" display="Resources" xr:uid="{00000000-0004-0000-0000-000004000000}"/>
    <hyperlink ref="A10" location="'Budget'!A1" display="Budget" xr:uid="{00000000-0004-0000-0000-000005000000}"/>
    <hyperlink ref="A11" location="'Cash Flow'!A1" display="Cash Flow" xr:uid="{00000000-0004-0000-0000-000006000000}"/>
    <hyperlink ref="A12" location="'Risk Register'!A1" display="Risk Register" xr:uid="{00000000-0004-0000-0000-000007000000}"/>
    <hyperlink ref="A13" location="'RACI'!A1" display="RACI" xr:uid="{00000000-0004-0000-0000-000008000000}"/>
    <hyperlink ref="A14" location="'EVM'!A1" display="EVM" xr:uid="{00000000-0004-0000-0000-000009000000}"/>
  </hyperlinks>
  <printOptions horizontalCentered="1"/>
  <pageMargins left="0.4" right="0.4" top="1" bottom="1" header="0.5" footer="0.5"/>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6"/>
  <sheetViews>
    <sheetView workbookViewId="0"/>
  </sheetViews>
  <sheetFormatPr defaultRowHeight="14.5" x14ac:dyDescent="0.35"/>
  <cols>
    <col min="1" max="1" width="56" customWidth="1"/>
    <col min="2" max="2" width="16" customWidth="1"/>
    <col min="3" max="4" width="19" customWidth="1"/>
    <col min="5" max="5" width="24" customWidth="1"/>
    <col min="6" max="6" width="22" customWidth="1"/>
  </cols>
  <sheetData>
    <row r="1" spans="1:6" ht="17" x14ac:dyDescent="0.4">
      <c r="A1" s="10" t="s">
        <v>50</v>
      </c>
    </row>
    <row r="2" spans="1:6" x14ac:dyDescent="0.35">
      <c r="A2" s="11" t="s">
        <v>51</v>
      </c>
    </row>
    <row r="4" spans="1:6" ht="29" x14ac:dyDescent="0.35">
      <c r="A4" s="12" t="s">
        <v>52</v>
      </c>
      <c r="B4" s="12" t="s">
        <v>53</v>
      </c>
      <c r="C4" s="12" t="s">
        <v>54</v>
      </c>
      <c r="D4" s="12" t="s">
        <v>55</v>
      </c>
      <c r="E4" s="12" t="s">
        <v>56</v>
      </c>
      <c r="F4" s="12" t="s">
        <v>57</v>
      </c>
    </row>
    <row r="5" spans="1:6" x14ac:dyDescent="0.35">
      <c r="A5" s="22" t="s">
        <v>58</v>
      </c>
      <c r="B5" s="26">
        <v>0.25</v>
      </c>
      <c r="C5" s="27">
        <v>1</v>
      </c>
      <c r="D5" s="27">
        <v>2</v>
      </c>
      <c r="E5" s="27">
        <v>5</v>
      </c>
      <c r="F5" s="27">
        <v>5</v>
      </c>
    </row>
    <row r="6" spans="1:6" x14ac:dyDescent="0.35">
      <c r="A6" s="22" t="s">
        <v>59</v>
      </c>
      <c r="B6" s="26">
        <v>0.25</v>
      </c>
      <c r="C6" s="27">
        <v>1</v>
      </c>
      <c r="D6" s="27">
        <v>2</v>
      </c>
      <c r="E6" s="27">
        <v>4</v>
      </c>
      <c r="F6" s="27">
        <v>3</v>
      </c>
    </row>
    <row r="7" spans="1:6" x14ac:dyDescent="0.35">
      <c r="A7" s="22" t="s">
        <v>60</v>
      </c>
      <c r="B7" s="26">
        <v>0.15</v>
      </c>
      <c r="C7" s="27">
        <v>1</v>
      </c>
      <c r="D7" s="27">
        <v>3</v>
      </c>
      <c r="E7" s="27">
        <v>3</v>
      </c>
      <c r="F7" s="27">
        <v>2</v>
      </c>
    </row>
    <row r="8" spans="1:6" x14ac:dyDescent="0.35">
      <c r="A8" s="22" t="s">
        <v>61</v>
      </c>
      <c r="B8" s="26">
        <v>0.15</v>
      </c>
      <c r="C8" s="27">
        <v>5</v>
      </c>
      <c r="D8" s="27">
        <v>4</v>
      </c>
      <c r="E8" s="27">
        <v>4</v>
      </c>
      <c r="F8" s="27">
        <v>1</v>
      </c>
    </row>
    <row r="9" spans="1:6" x14ac:dyDescent="0.35">
      <c r="A9" s="22" t="s">
        <v>62</v>
      </c>
      <c r="B9" s="26">
        <v>0.1</v>
      </c>
      <c r="C9" s="27">
        <v>1</v>
      </c>
      <c r="D9" s="27">
        <v>3</v>
      </c>
      <c r="E9" s="27">
        <v>4</v>
      </c>
      <c r="F9" s="27">
        <v>4</v>
      </c>
    </row>
    <row r="10" spans="1:6" x14ac:dyDescent="0.35">
      <c r="A10" s="22" t="s">
        <v>63</v>
      </c>
      <c r="B10" s="26">
        <v>0.1</v>
      </c>
      <c r="C10" s="27">
        <v>1</v>
      </c>
      <c r="D10" s="27">
        <v>2</v>
      </c>
      <c r="E10" s="27">
        <v>5</v>
      </c>
      <c r="F10" s="27">
        <v>5</v>
      </c>
    </row>
    <row r="11" spans="1:6" x14ac:dyDescent="0.35">
      <c r="A11" s="16" t="s">
        <v>64</v>
      </c>
      <c r="B11" s="28">
        <f>SUM(B5:B10)</f>
        <v>1</v>
      </c>
      <c r="C11" s="29">
        <f>SUMPRODUCT($B$5:$B$10,C5:C10)</f>
        <v>1.6</v>
      </c>
      <c r="D11" s="29">
        <f>SUMPRODUCT($B$5:$B$10,D5:D10)</f>
        <v>2.5499999999999998</v>
      </c>
      <c r="E11" s="29">
        <f>SUMPRODUCT($B$5:$B$10,E5:E10)</f>
        <v>4.2</v>
      </c>
      <c r="F11" s="29">
        <f>SUMPRODUCT($B$5:$B$10,F5:F10)</f>
        <v>3.3499999999999996</v>
      </c>
    </row>
    <row r="12" spans="1:6" x14ac:dyDescent="0.35">
      <c r="A12" s="25" t="s">
        <v>65</v>
      </c>
      <c r="C12" s="71" t="str">
        <f>INDEX($C$4:$F$4,MATCH(MAX($C$11:$F$11),$C$11:$F$11,0))</f>
        <v>C: GCP replatform (selected)</v>
      </c>
      <c r="D12" s="72"/>
      <c r="E12" s="72"/>
      <c r="F12" s="73"/>
    </row>
    <row r="15" spans="1:6" x14ac:dyDescent="0.35">
      <c r="A15" s="12" t="s">
        <v>66</v>
      </c>
      <c r="B15" s="12" t="s">
        <v>67</v>
      </c>
      <c r="C15" s="12" t="s">
        <v>68</v>
      </c>
    </row>
    <row r="16" spans="1:6" x14ac:dyDescent="0.35">
      <c r="A16" s="22" t="s">
        <v>69</v>
      </c>
      <c r="B16" s="30">
        <v>1600000</v>
      </c>
      <c r="C16" s="30">
        <v>0</v>
      </c>
    </row>
    <row r="17" spans="1:6" x14ac:dyDescent="0.35">
      <c r="A17" s="22" t="s">
        <v>70</v>
      </c>
      <c r="B17" s="30">
        <v>1200000</v>
      </c>
      <c r="C17" s="30">
        <v>0</v>
      </c>
    </row>
    <row r="18" spans="1:6" x14ac:dyDescent="0.35">
      <c r="A18" s="22" t="s">
        <v>71</v>
      </c>
      <c r="B18" s="30">
        <v>1500000</v>
      </c>
      <c r="C18" s="30">
        <v>700000</v>
      </c>
    </row>
    <row r="19" spans="1:6" x14ac:dyDescent="0.35">
      <c r="A19" s="22" t="s">
        <v>72</v>
      </c>
      <c r="B19" s="30">
        <v>1400000</v>
      </c>
      <c r="C19" s="30">
        <v>600000</v>
      </c>
    </row>
    <row r="20" spans="1:6" x14ac:dyDescent="0.35">
      <c r="A20" s="22" t="s">
        <v>73</v>
      </c>
      <c r="B20" s="30">
        <v>500000</v>
      </c>
      <c r="C20" s="30">
        <v>0</v>
      </c>
    </row>
    <row r="21" spans="1:6" x14ac:dyDescent="0.35">
      <c r="A21" s="22" t="s">
        <v>74</v>
      </c>
      <c r="B21" s="30">
        <v>0</v>
      </c>
      <c r="C21" s="30">
        <v>2600000</v>
      </c>
    </row>
    <row r="22" spans="1:6" x14ac:dyDescent="0.35">
      <c r="A22" s="16" t="s">
        <v>75</v>
      </c>
      <c r="B22" s="31">
        <f>SUM(B16:B21)</f>
        <v>6200000</v>
      </c>
      <c r="C22" s="31">
        <f>SUM(C16:C21)</f>
        <v>3900000</v>
      </c>
    </row>
    <row r="23" spans="1:6" x14ac:dyDescent="0.35">
      <c r="A23" s="25" t="s">
        <v>76</v>
      </c>
      <c r="C23" s="32">
        <f>B22-C22</f>
        <v>2300000</v>
      </c>
    </row>
    <row r="26" spans="1:6" x14ac:dyDescent="0.35">
      <c r="A26" s="24" t="s">
        <v>77</v>
      </c>
      <c r="B26" s="33">
        <v>0.11</v>
      </c>
    </row>
    <row r="27" spans="1:6" x14ac:dyDescent="0.35">
      <c r="A27" s="24" t="s">
        <v>78</v>
      </c>
      <c r="B27" s="34">
        <f>'Cash Flow'!H23/1000000</f>
        <v>8.1235999999999997</v>
      </c>
    </row>
    <row r="28" spans="1:6" x14ac:dyDescent="0.35">
      <c r="A28" s="24" t="s">
        <v>79</v>
      </c>
      <c r="B28" s="35">
        <v>1.8</v>
      </c>
    </row>
    <row r="29" spans="1:6" x14ac:dyDescent="0.35">
      <c r="A29" s="24" t="s">
        <v>80</v>
      </c>
      <c r="B29" s="35">
        <v>5.5</v>
      </c>
    </row>
    <row r="31" spans="1:6" x14ac:dyDescent="0.35">
      <c r="A31" s="12" t="s">
        <v>81</v>
      </c>
      <c r="B31" s="12" t="s">
        <v>82</v>
      </c>
      <c r="C31" s="12" t="s">
        <v>83</v>
      </c>
      <c r="D31" s="12" t="s">
        <v>84</v>
      </c>
      <c r="E31" s="12" t="s">
        <v>85</v>
      </c>
      <c r="F31" s="12" t="s">
        <v>86</v>
      </c>
    </row>
    <row r="32" spans="1:6" x14ac:dyDescent="0.35">
      <c r="A32" s="15">
        <v>0</v>
      </c>
      <c r="B32" s="36">
        <f t="shared" ref="B32:B37" si="0">1/(1+$B$26)^A32</f>
        <v>1</v>
      </c>
      <c r="C32" s="37">
        <f>-B27</f>
        <v>-8.1235999999999997</v>
      </c>
      <c r="D32" s="37">
        <f t="shared" ref="D32:D37" si="1">C32*B32</f>
        <v>-8.1235999999999997</v>
      </c>
      <c r="E32" s="37">
        <f>-B27</f>
        <v>-8.1235999999999997</v>
      </c>
      <c r="F32" s="37">
        <f t="shared" ref="F32:F37" si="2">E32*B32</f>
        <v>-8.1235999999999997</v>
      </c>
    </row>
    <row r="33" spans="1:6" x14ac:dyDescent="0.35">
      <c r="A33" s="15">
        <v>1</v>
      </c>
      <c r="B33" s="36">
        <f t="shared" si="0"/>
        <v>0.9009009009009008</v>
      </c>
      <c r="C33" s="37">
        <f>$C$23/1000000+$B$28+$B$29</f>
        <v>9.6</v>
      </c>
      <c r="D33" s="37">
        <f t="shared" si="1"/>
        <v>8.6486486486486474</v>
      </c>
      <c r="E33" s="37">
        <f>$C$23/1000000+$B$28</f>
        <v>4.0999999999999996</v>
      </c>
      <c r="F33" s="37">
        <f t="shared" si="2"/>
        <v>3.6936936936936928</v>
      </c>
    </row>
    <row r="34" spans="1:6" x14ac:dyDescent="0.35">
      <c r="A34" s="15">
        <v>2</v>
      </c>
      <c r="B34" s="36">
        <f t="shared" si="0"/>
        <v>0.8116224332440547</v>
      </c>
      <c r="C34" s="37">
        <f>$C$23/1000000+$B$28</f>
        <v>4.0999999999999996</v>
      </c>
      <c r="D34" s="37">
        <f t="shared" si="1"/>
        <v>3.3276519763006238</v>
      </c>
      <c r="E34" s="37">
        <f>$C$23/1000000+$B$28</f>
        <v>4.0999999999999996</v>
      </c>
      <c r="F34" s="37">
        <f t="shared" si="2"/>
        <v>3.3276519763006238</v>
      </c>
    </row>
    <row r="35" spans="1:6" x14ac:dyDescent="0.35">
      <c r="A35" s="15">
        <v>3</v>
      </c>
      <c r="B35" s="36">
        <f t="shared" si="0"/>
        <v>0.73119138130095018</v>
      </c>
      <c r="C35" s="37">
        <f>$C$23/1000000+$B$28</f>
        <v>4.0999999999999996</v>
      </c>
      <c r="D35" s="37">
        <f t="shared" si="1"/>
        <v>2.9978846633338954</v>
      </c>
      <c r="E35" s="37">
        <f>$C$23/1000000+$B$28</f>
        <v>4.0999999999999996</v>
      </c>
      <c r="F35" s="37">
        <f t="shared" si="2"/>
        <v>2.9978846633338954</v>
      </c>
    </row>
    <row r="36" spans="1:6" x14ac:dyDescent="0.35">
      <c r="A36" s="15">
        <v>4</v>
      </c>
      <c r="B36" s="36">
        <f t="shared" si="0"/>
        <v>0.65873097414500015</v>
      </c>
      <c r="C36" s="37">
        <f>$C$23/1000000+$B$28</f>
        <v>4.0999999999999996</v>
      </c>
      <c r="D36" s="37">
        <f t="shared" si="1"/>
        <v>2.7007969939945005</v>
      </c>
      <c r="E36" s="37">
        <f>$C$23/1000000+$B$28</f>
        <v>4.0999999999999996</v>
      </c>
      <c r="F36" s="37">
        <f t="shared" si="2"/>
        <v>2.7007969939945005</v>
      </c>
    </row>
    <row r="37" spans="1:6" x14ac:dyDescent="0.35">
      <c r="A37" s="15">
        <v>5</v>
      </c>
      <c r="B37" s="36">
        <f t="shared" si="0"/>
        <v>0.5934513280585586</v>
      </c>
      <c r="C37" s="37">
        <f>$C$23/1000000+$B$28</f>
        <v>4.0999999999999996</v>
      </c>
      <c r="D37" s="37">
        <f t="shared" si="1"/>
        <v>2.43315044504009</v>
      </c>
      <c r="E37" s="37">
        <f>$C$23/1000000+$B$28</f>
        <v>4.0999999999999996</v>
      </c>
      <c r="F37" s="37">
        <f t="shared" si="2"/>
        <v>2.43315044504009</v>
      </c>
    </row>
    <row r="39" spans="1:6" x14ac:dyDescent="0.35">
      <c r="A39" s="12" t="s">
        <v>87</v>
      </c>
      <c r="B39" s="12" t="s">
        <v>88</v>
      </c>
      <c r="C39" s="12" t="s">
        <v>89</v>
      </c>
    </row>
    <row r="40" spans="1:6" x14ac:dyDescent="0.35">
      <c r="A40" s="25" t="s">
        <v>90</v>
      </c>
      <c r="B40" s="38">
        <f>SUM(D32:D37)</f>
        <v>11.984532727317758</v>
      </c>
      <c r="C40" s="38">
        <f>SUM(F32:F37)</f>
        <v>7.0295777723628028</v>
      </c>
    </row>
    <row r="41" spans="1:6" x14ac:dyDescent="0.35">
      <c r="A41" s="25" t="s">
        <v>91</v>
      </c>
      <c r="B41" s="39">
        <f>IRR(C32:C37)</f>
        <v>0.770259626263055</v>
      </c>
      <c r="C41" s="39">
        <f>IRR(E32:E37)</f>
        <v>0.41606422018173417</v>
      </c>
    </row>
    <row r="42" spans="1:6" x14ac:dyDescent="0.35">
      <c r="A42" s="25" t="s">
        <v>92</v>
      </c>
      <c r="B42" s="40">
        <f>IF(C33&gt;=-C32,-C32/C33*12,12+(-C32-C33)/C34*12)</f>
        <v>10.154500000000001</v>
      </c>
      <c r="C42" s="40">
        <f>IF(E33&gt;=-E32,-E32/E33*12,12+(-E32-E33)/E34*12)</f>
        <v>23.776390243902441</v>
      </c>
    </row>
    <row r="43" spans="1:6" x14ac:dyDescent="0.35">
      <c r="A43" s="25" t="s">
        <v>93</v>
      </c>
      <c r="B43" s="38">
        <f>SUM(D33:D37)/-D32</f>
        <v>2.4752736135848341</v>
      </c>
      <c r="C43" s="38">
        <f>SUM(F33:F37)/-F32</f>
        <v>1.8653279054068148</v>
      </c>
    </row>
    <row r="44" spans="1:6" x14ac:dyDescent="0.35">
      <c r="A44" s="25" t="s">
        <v>94</v>
      </c>
      <c r="B44" s="41" t="s">
        <v>9</v>
      </c>
      <c r="C44" s="41">
        <f>(SUM(E33:E37)+E32)/-E32</f>
        <v>1.5235117435619676</v>
      </c>
    </row>
    <row r="46" spans="1:6" x14ac:dyDescent="0.35">
      <c r="A46" s="11" t="s">
        <v>95</v>
      </c>
    </row>
  </sheetData>
  <mergeCells count="1">
    <mergeCell ref="C12:F12"/>
  </mergeCells>
  <printOptions horizontalCentered="1"/>
  <pageMargins left="0.4" right="0.4"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17"/>
  <sheetViews>
    <sheetView workbookViewId="0">
      <pane xSplit="3" ySplit="4" topLeftCell="D5" activePane="bottomRight" state="frozen"/>
      <selection pane="topRight"/>
      <selection pane="bottomLeft"/>
      <selection pane="bottomRight"/>
    </sheetView>
  </sheetViews>
  <sheetFormatPr defaultRowHeight="14.5" x14ac:dyDescent="0.35"/>
  <cols>
    <col min="1" max="1" width="8" customWidth="1"/>
    <col min="2" max="2" width="6" customWidth="1"/>
    <col min="3" max="3" width="46" customWidth="1"/>
    <col min="4" max="4" width="30" customWidth="1"/>
    <col min="5" max="5" width="34" customWidth="1"/>
    <col min="6" max="6" width="8" customWidth="1"/>
    <col min="7" max="7" width="10" customWidth="1"/>
    <col min="8" max="8" width="11" customWidth="1"/>
    <col min="9" max="9" width="14" customWidth="1"/>
    <col min="10" max="11" width="13" customWidth="1"/>
  </cols>
  <sheetData>
    <row r="1" spans="1:11" ht="17" customHeight="1" x14ac:dyDescent="0.4">
      <c r="A1" s="1" t="s">
        <v>96</v>
      </c>
    </row>
    <row r="2" spans="1:11" x14ac:dyDescent="0.35">
      <c r="A2" s="11" t="s">
        <v>97</v>
      </c>
    </row>
    <row r="4" spans="1:11" x14ac:dyDescent="0.35">
      <c r="A4" s="2" t="s">
        <v>98</v>
      </c>
      <c r="B4" s="2" t="s">
        <v>99</v>
      </c>
      <c r="C4" s="2" t="s">
        <v>100</v>
      </c>
      <c r="D4" s="2" t="s">
        <v>101</v>
      </c>
      <c r="E4" s="2" t="s">
        <v>102</v>
      </c>
      <c r="F4" s="2" t="s">
        <v>103</v>
      </c>
      <c r="G4" s="2" t="s">
        <v>104</v>
      </c>
      <c r="H4" s="2" t="s">
        <v>105</v>
      </c>
      <c r="I4" s="2" t="s">
        <v>106</v>
      </c>
      <c r="J4" s="2" t="s">
        <v>107</v>
      </c>
      <c r="K4" s="2" t="s">
        <v>108</v>
      </c>
    </row>
    <row r="5" spans="1:11" x14ac:dyDescent="0.35">
      <c r="A5" s="6" t="s">
        <v>109</v>
      </c>
      <c r="B5" s="6">
        <v>3</v>
      </c>
      <c r="C5" s="6" t="s">
        <v>110</v>
      </c>
      <c r="D5" s="6" t="s">
        <v>111</v>
      </c>
      <c r="E5" s="6" t="s">
        <v>112</v>
      </c>
      <c r="F5" s="6" t="s">
        <v>113</v>
      </c>
      <c r="G5" s="42">
        <v>40</v>
      </c>
      <c r="H5" s="42">
        <v>1</v>
      </c>
      <c r="I5" s="42">
        <v>2</v>
      </c>
      <c r="J5" s="7">
        <f t="shared" ref="J5:J36" si="0">DATE(2026,10,5)+(H5-1)*7</f>
        <v>46300</v>
      </c>
      <c r="K5" s="7">
        <f t="shared" ref="K5:K36" si="1">DATE(2026,10,5)+(I5-1)*7+4</f>
        <v>46311</v>
      </c>
    </row>
    <row r="6" spans="1:11" x14ac:dyDescent="0.35">
      <c r="A6" s="6" t="s">
        <v>114</v>
      </c>
      <c r="B6" s="6">
        <v>3</v>
      </c>
      <c r="C6" s="6" t="s">
        <v>115</v>
      </c>
      <c r="D6" s="6" t="s">
        <v>111</v>
      </c>
      <c r="E6" s="6" t="s">
        <v>112</v>
      </c>
      <c r="F6" s="6" t="s">
        <v>116</v>
      </c>
      <c r="G6" s="42">
        <v>40</v>
      </c>
      <c r="H6" s="42">
        <v>1</v>
      </c>
      <c r="I6" s="42">
        <v>2</v>
      </c>
      <c r="J6" s="7">
        <f t="shared" si="0"/>
        <v>46300</v>
      </c>
      <c r="K6" s="7">
        <f t="shared" si="1"/>
        <v>46311</v>
      </c>
    </row>
    <row r="7" spans="1:11" x14ac:dyDescent="0.35">
      <c r="A7" s="6" t="s">
        <v>117</v>
      </c>
      <c r="B7" s="6">
        <v>3</v>
      </c>
      <c r="C7" s="6" t="s">
        <v>118</v>
      </c>
      <c r="D7" s="6" t="s">
        <v>111</v>
      </c>
      <c r="E7" s="6" t="s">
        <v>112</v>
      </c>
      <c r="F7" s="6" t="s">
        <v>113</v>
      </c>
      <c r="G7" s="42">
        <v>30</v>
      </c>
      <c r="H7" s="42">
        <v>1</v>
      </c>
      <c r="I7" s="42">
        <v>2</v>
      </c>
      <c r="J7" s="7">
        <f t="shared" si="0"/>
        <v>46300</v>
      </c>
      <c r="K7" s="7">
        <f t="shared" si="1"/>
        <v>46311</v>
      </c>
    </row>
    <row r="8" spans="1:11" x14ac:dyDescent="0.35">
      <c r="A8" s="6" t="s">
        <v>119</v>
      </c>
      <c r="B8" s="6">
        <v>3</v>
      </c>
      <c r="C8" s="6" t="s">
        <v>120</v>
      </c>
      <c r="D8" s="6" t="s">
        <v>111</v>
      </c>
      <c r="E8" s="6" t="s">
        <v>121</v>
      </c>
      <c r="F8" s="6" t="s">
        <v>113</v>
      </c>
      <c r="G8" s="42">
        <v>120</v>
      </c>
      <c r="H8" s="42">
        <v>1</v>
      </c>
      <c r="I8" s="42">
        <v>3</v>
      </c>
      <c r="J8" s="7">
        <f t="shared" si="0"/>
        <v>46300</v>
      </c>
      <c r="K8" s="7">
        <f t="shared" si="1"/>
        <v>46318</v>
      </c>
    </row>
    <row r="9" spans="1:11" x14ac:dyDescent="0.35">
      <c r="A9" s="6" t="s">
        <v>122</v>
      </c>
      <c r="B9" s="6">
        <v>3</v>
      </c>
      <c r="C9" s="6" t="s">
        <v>123</v>
      </c>
      <c r="D9" s="6" t="s">
        <v>111</v>
      </c>
      <c r="E9" s="6" t="s">
        <v>121</v>
      </c>
      <c r="F9" s="6" t="s">
        <v>113</v>
      </c>
      <c r="G9" s="42">
        <v>80</v>
      </c>
      <c r="H9" s="42">
        <v>1</v>
      </c>
      <c r="I9" s="42">
        <v>3</v>
      </c>
      <c r="J9" s="7">
        <f t="shared" si="0"/>
        <v>46300</v>
      </c>
      <c r="K9" s="7">
        <f t="shared" si="1"/>
        <v>46318</v>
      </c>
    </row>
    <row r="10" spans="1:11" x14ac:dyDescent="0.35">
      <c r="A10" s="6" t="s">
        <v>124</v>
      </c>
      <c r="B10" s="6">
        <v>3</v>
      </c>
      <c r="C10" s="6" t="s">
        <v>125</v>
      </c>
      <c r="D10" s="6" t="s">
        <v>111</v>
      </c>
      <c r="E10" s="6" t="s">
        <v>121</v>
      </c>
      <c r="F10" s="6" t="s">
        <v>126</v>
      </c>
      <c r="G10" s="42">
        <v>50</v>
      </c>
      <c r="H10" s="42">
        <v>1</v>
      </c>
      <c r="I10" s="42">
        <v>3</v>
      </c>
      <c r="J10" s="7">
        <f t="shared" si="0"/>
        <v>46300</v>
      </c>
      <c r="K10" s="7">
        <f t="shared" si="1"/>
        <v>46318</v>
      </c>
    </row>
    <row r="11" spans="1:11" x14ac:dyDescent="0.35">
      <c r="A11" s="6" t="s">
        <v>127</v>
      </c>
      <c r="B11" s="6">
        <v>3</v>
      </c>
      <c r="C11" s="6" t="s">
        <v>128</v>
      </c>
      <c r="D11" s="6" t="s">
        <v>111</v>
      </c>
      <c r="E11" s="6" t="s">
        <v>129</v>
      </c>
      <c r="F11" s="6" t="s">
        <v>126</v>
      </c>
      <c r="G11" s="42">
        <v>30</v>
      </c>
      <c r="H11" s="42">
        <v>1</v>
      </c>
      <c r="I11" s="42">
        <v>2</v>
      </c>
      <c r="J11" s="7">
        <f t="shared" si="0"/>
        <v>46300</v>
      </c>
      <c r="K11" s="7">
        <f t="shared" si="1"/>
        <v>46311</v>
      </c>
    </row>
    <row r="12" spans="1:11" x14ac:dyDescent="0.35">
      <c r="A12" s="6" t="s">
        <v>130</v>
      </c>
      <c r="B12" s="6">
        <v>3</v>
      </c>
      <c r="C12" s="6" t="s">
        <v>131</v>
      </c>
      <c r="D12" s="6" t="s">
        <v>111</v>
      </c>
      <c r="E12" s="6" t="s">
        <v>129</v>
      </c>
      <c r="F12" s="6" t="s">
        <v>113</v>
      </c>
      <c r="G12" s="42">
        <v>30</v>
      </c>
      <c r="H12" s="42">
        <v>1</v>
      </c>
      <c r="I12" s="42">
        <v>2</v>
      </c>
      <c r="J12" s="7">
        <f t="shared" si="0"/>
        <v>46300</v>
      </c>
      <c r="K12" s="7">
        <f t="shared" si="1"/>
        <v>46311</v>
      </c>
    </row>
    <row r="13" spans="1:11" x14ac:dyDescent="0.35">
      <c r="A13" s="6" t="s">
        <v>132</v>
      </c>
      <c r="B13" s="6">
        <v>3</v>
      </c>
      <c r="C13" s="6" t="s">
        <v>133</v>
      </c>
      <c r="D13" s="6" t="s">
        <v>134</v>
      </c>
      <c r="E13" s="6" t="s">
        <v>135</v>
      </c>
      <c r="F13" s="6" t="s">
        <v>136</v>
      </c>
      <c r="G13" s="42">
        <v>90</v>
      </c>
      <c r="H13" s="42">
        <v>3</v>
      </c>
      <c r="I13" s="42">
        <v>5</v>
      </c>
      <c r="J13" s="7">
        <f t="shared" si="0"/>
        <v>46314</v>
      </c>
      <c r="K13" s="7">
        <f t="shared" si="1"/>
        <v>46332</v>
      </c>
    </row>
    <row r="14" spans="1:11" x14ac:dyDescent="0.35">
      <c r="A14" s="6" t="s">
        <v>137</v>
      </c>
      <c r="B14" s="6">
        <v>3</v>
      </c>
      <c r="C14" s="6" t="s">
        <v>138</v>
      </c>
      <c r="D14" s="6" t="s">
        <v>134</v>
      </c>
      <c r="E14" s="6" t="s">
        <v>135</v>
      </c>
      <c r="F14" s="6" t="s">
        <v>139</v>
      </c>
      <c r="G14" s="42">
        <v>90</v>
      </c>
      <c r="H14" s="42">
        <v>3</v>
      </c>
      <c r="I14" s="42">
        <v>5</v>
      </c>
      <c r="J14" s="7">
        <f t="shared" si="0"/>
        <v>46314</v>
      </c>
      <c r="K14" s="7">
        <f t="shared" si="1"/>
        <v>46332</v>
      </c>
    </row>
    <row r="15" spans="1:11" x14ac:dyDescent="0.35">
      <c r="A15" s="6" t="s">
        <v>140</v>
      </c>
      <c r="B15" s="6">
        <v>3</v>
      </c>
      <c r="C15" s="6" t="s">
        <v>141</v>
      </c>
      <c r="D15" s="6" t="s">
        <v>134</v>
      </c>
      <c r="E15" s="6" t="s">
        <v>135</v>
      </c>
      <c r="F15" s="6" t="s">
        <v>136</v>
      </c>
      <c r="G15" s="42">
        <v>30</v>
      </c>
      <c r="H15" s="42">
        <v>3</v>
      </c>
      <c r="I15" s="42">
        <v>5</v>
      </c>
      <c r="J15" s="7">
        <f t="shared" si="0"/>
        <v>46314</v>
      </c>
      <c r="K15" s="7">
        <f t="shared" si="1"/>
        <v>46332</v>
      </c>
    </row>
    <row r="16" spans="1:11" x14ac:dyDescent="0.35">
      <c r="A16" s="6" t="s">
        <v>142</v>
      </c>
      <c r="B16" s="6">
        <v>3</v>
      </c>
      <c r="C16" s="6" t="s">
        <v>143</v>
      </c>
      <c r="D16" s="6" t="s">
        <v>134</v>
      </c>
      <c r="E16" s="6" t="s">
        <v>144</v>
      </c>
      <c r="F16" s="6" t="s">
        <v>145</v>
      </c>
      <c r="G16" s="42">
        <v>80</v>
      </c>
      <c r="H16" s="42">
        <v>3</v>
      </c>
      <c r="I16" s="42">
        <v>6</v>
      </c>
      <c r="J16" s="7">
        <f t="shared" si="0"/>
        <v>46314</v>
      </c>
      <c r="K16" s="7">
        <f t="shared" si="1"/>
        <v>46339</v>
      </c>
    </row>
    <row r="17" spans="1:11" x14ac:dyDescent="0.35">
      <c r="A17" s="6" t="s">
        <v>146</v>
      </c>
      <c r="B17" s="6">
        <v>3</v>
      </c>
      <c r="C17" s="6" t="s">
        <v>147</v>
      </c>
      <c r="D17" s="6" t="s">
        <v>134</v>
      </c>
      <c r="E17" s="6" t="s">
        <v>144</v>
      </c>
      <c r="F17" s="6" t="s">
        <v>148</v>
      </c>
      <c r="G17" s="42">
        <v>50</v>
      </c>
      <c r="H17" s="42">
        <v>3</v>
      </c>
      <c r="I17" s="42">
        <v>6</v>
      </c>
      <c r="J17" s="7">
        <f t="shared" si="0"/>
        <v>46314</v>
      </c>
      <c r="K17" s="7">
        <f t="shared" si="1"/>
        <v>46339</v>
      </c>
    </row>
    <row r="18" spans="1:11" x14ac:dyDescent="0.35">
      <c r="A18" s="6" t="s">
        <v>149</v>
      </c>
      <c r="B18" s="6">
        <v>3</v>
      </c>
      <c r="C18" s="6" t="s">
        <v>150</v>
      </c>
      <c r="D18" s="6" t="s">
        <v>134</v>
      </c>
      <c r="E18" s="6" t="s">
        <v>144</v>
      </c>
      <c r="F18" s="6" t="s">
        <v>145</v>
      </c>
      <c r="G18" s="42">
        <v>40</v>
      </c>
      <c r="H18" s="42">
        <v>3</v>
      </c>
      <c r="I18" s="42">
        <v>6</v>
      </c>
      <c r="J18" s="7">
        <f t="shared" si="0"/>
        <v>46314</v>
      </c>
      <c r="K18" s="7">
        <f t="shared" si="1"/>
        <v>46339</v>
      </c>
    </row>
    <row r="19" spans="1:11" x14ac:dyDescent="0.35">
      <c r="A19" s="6" t="s">
        <v>151</v>
      </c>
      <c r="B19" s="6">
        <v>3</v>
      </c>
      <c r="C19" s="6" t="s">
        <v>152</v>
      </c>
      <c r="D19" s="6" t="s">
        <v>134</v>
      </c>
      <c r="E19" s="6" t="s">
        <v>153</v>
      </c>
      <c r="F19" s="6" t="s">
        <v>116</v>
      </c>
      <c r="G19" s="42">
        <v>90</v>
      </c>
      <c r="H19" s="42">
        <v>3</v>
      </c>
      <c r="I19" s="42">
        <v>5</v>
      </c>
      <c r="J19" s="7">
        <f t="shared" si="0"/>
        <v>46314</v>
      </c>
      <c r="K19" s="7">
        <f t="shared" si="1"/>
        <v>46332</v>
      </c>
    </row>
    <row r="20" spans="1:11" x14ac:dyDescent="0.35">
      <c r="A20" s="6" t="s">
        <v>154</v>
      </c>
      <c r="B20" s="6">
        <v>3</v>
      </c>
      <c r="C20" s="6" t="s">
        <v>155</v>
      </c>
      <c r="D20" s="6" t="s">
        <v>134</v>
      </c>
      <c r="E20" s="6" t="s">
        <v>153</v>
      </c>
      <c r="F20" s="6" t="s">
        <v>136</v>
      </c>
      <c r="G20" s="42">
        <v>40</v>
      </c>
      <c r="H20" s="42">
        <v>3</v>
      </c>
      <c r="I20" s="42">
        <v>5</v>
      </c>
      <c r="J20" s="7">
        <f t="shared" si="0"/>
        <v>46314</v>
      </c>
      <c r="K20" s="7">
        <f t="shared" si="1"/>
        <v>46332</v>
      </c>
    </row>
    <row r="21" spans="1:11" x14ac:dyDescent="0.35">
      <c r="A21" s="6" t="s">
        <v>156</v>
      </c>
      <c r="B21" s="6">
        <v>3</v>
      </c>
      <c r="C21" s="6" t="s">
        <v>157</v>
      </c>
      <c r="D21" s="6" t="s">
        <v>134</v>
      </c>
      <c r="E21" s="6" t="s">
        <v>153</v>
      </c>
      <c r="F21" s="6" t="s">
        <v>148</v>
      </c>
      <c r="G21" s="42">
        <v>30</v>
      </c>
      <c r="H21" s="42">
        <v>3</v>
      </c>
      <c r="I21" s="42">
        <v>5</v>
      </c>
      <c r="J21" s="7">
        <f t="shared" si="0"/>
        <v>46314</v>
      </c>
      <c r="K21" s="7">
        <f t="shared" si="1"/>
        <v>46332</v>
      </c>
    </row>
    <row r="22" spans="1:11" x14ac:dyDescent="0.35">
      <c r="A22" s="6" t="s">
        <v>158</v>
      </c>
      <c r="B22" s="6">
        <v>3</v>
      </c>
      <c r="C22" s="6" t="s">
        <v>159</v>
      </c>
      <c r="D22" s="6" t="s">
        <v>134</v>
      </c>
      <c r="E22" s="6" t="s">
        <v>160</v>
      </c>
      <c r="F22" s="6" t="s">
        <v>136</v>
      </c>
      <c r="G22" s="42">
        <v>40</v>
      </c>
      <c r="H22" s="42">
        <v>5</v>
      </c>
      <c r="I22" s="42">
        <v>6</v>
      </c>
      <c r="J22" s="7">
        <f t="shared" si="0"/>
        <v>46328</v>
      </c>
      <c r="K22" s="7">
        <f t="shared" si="1"/>
        <v>46339</v>
      </c>
    </row>
    <row r="23" spans="1:11" x14ac:dyDescent="0.35">
      <c r="A23" s="6" t="s">
        <v>161</v>
      </c>
      <c r="B23" s="6">
        <v>3</v>
      </c>
      <c r="C23" s="6" t="s">
        <v>162</v>
      </c>
      <c r="D23" s="6" t="s">
        <v>134</v>
      </c>
      <c r="E23" s="6" t="s">
        <v>160</v>
      </c>
      <c r="F23" s="6" t="s">
        <v>136</v>
      </c>
      <c r="G23" s="42">
        <v>40</v>
      </c>
      <c r="H23" s="42">
        <v>5</v>
      </c>
      <c r="I23" s="42">
        <v>6</v>
      </c>
      <c r="J23" s="7">
        <f t="shared" si="0"/>
        <v>46328</v>
      </c>
      <c r="K23" s="7">
        <f t="shared" si="1"/>
        <v>46339</v>
      </c>
    </row>
    <row r="24" spans="1:11" x14ac:dyDescent="0.35">
      <c r="A24" s="6" t="s">
        <v>163</v>
      </c>
      <c r="B24" s="6">
        <v>3</v>
      </c>
      <c r="C24" s="6" t="s">
        <v>164</v>
      </c>
      <c r="D24" s="6" t="s">
        <v>134</v>
      </c>
      <c r="E24" s="6" t="s">
        <v>160</v>
      </c>
      <c r="F24" s="6" t="s">
        <v>136</v>
      </c>
      <c r="G24" s="42">
        <v>30</v>
      </c>
      <c r="H24" s="42">
        <v>5</v>
      </c>
      <c r="I24" s="42">
        <v>6</v>
      </c>
      <c r="J24" s="7">
        <f t="shared" si="0"/>
        <v>46328</v>
      </c>
      <c r="K24" s="7">
        <f t="shared" si="1"/>
        <v>46339</v>
      </c>
    </row>
    <row r="25" spans="1:11" x14ac:dyDescent="0.35">
      <c r="A25" s="6" t="s">
        <v>165</v>
      </c>
      <c r="B25" s="6">
        <v>3</v>
      </c>
      <c r="C25" s="6" t="s">
        <v>166</v>
      </c>
      <c r="D25" s="6" t="s">
        <v>134</v>
      </c>
      <c r="E25" s="6" t="s">
        <v>160</v>
      </c>
      <c r="F25" s="6" t="s">
        <v>113</v>
      </c>
      <c r="G25" s="42">
        <v>50</v>
      </c>
      <c r="H25" s="42">
        <v>5</v>
      </c>
      <c r="I25" s="42">
        <v>6</v>
      </c>
      <c r="J25" s="7">
        <f t="shared" si="0"/>
        <v>46328</v>
      </c>
      <c r="K25" s="7">
        <f t="shared" si="1"/>
        <v>46339</v>
      </c>
    </row>
    <row r="26" spans="1:11" x14ac:dyDescent="0.35">
      <c r="A26" s="6" t="s">
        <v>167</v>
      </c>
      <c r="B26" s="6">
        <v>3</v>
      </c>
      <c r="C26" s="6" t="s">
        <v>168</v>
      </c>
      <c r="D26" s="6" t="s">
        <v>169</v>
      </c>
      <c r="E26" s="6" t="s">
        <v>170</v>
      </c>
      <c r="F26" s="6" t="s">
        <v>136</v>
      </c>
      <c r="G26" s="42">
        <v>120</v>
      </c>
      <c r="H26" s="42">
        <v>6</v>
      </c>
      <c r="I26" s="42">
        <v>8</v>
      </c>
      <c r="J26" s="7">
        <f t="shared" si="0"/>
        <v>46335</v>
      </c>
      <c r="K26" s="7">
        <f t="shared" si="1"/>
        <v>46353</v>
      </c>
    </row>
    <row r="27" spans="1:11" x14ac:dyDescent="0.35">
      <c r="A27" s="6" t="s">
        <v>171</v>
      </c>
      <c r="B27" s="6">
        <v>3</v>
      </c>
      <c r="C27" s="6" t="s">
        <v>172</v>
      </c>
      <c r="D27" s="6" t="s">
        <v>169</v>
      </c>
      <c r="E27" s="6" t="s">
        <v>170</v>
      </c>
      <c r="F27" s="6" t="s">
        <v>126</v>
      </c>
      <c r="G27" s="42">
        <v>60</v>
      </c>
      <c r="H27" s="42">
        <v>6</v>
      </c>
      <c r="I27" s="42">
        <v>8</v>
      </c>
      <c r="J27" s="7">
        <f t="shared" si="0"/>
        <v>46335</v>
      </c>
      <c r="K27" s="7">
        <f t="shared" si="1"/>
        <v>46353</v>
      </c>
    </row>
    <row r="28" spans="1:11" x14ac:dyDescent="0.35">
      <c r="A28" s="6" t="s">
        <v>173</v>
      </c>
      <c r="B28" s="6">
        <v>3</v>
      </c>
      <c r="C28" s="6" t="s">
        <v>174</v>
      </c>
      <c r="D28" s="6" t="s">
        <v>169</v>
      </c>
      <c r="E28" s="6" t="s">
        <v>170</v>
      </c>
      <c r="F28" s="6" t="s">
        <v>126</v>
      </c>
      <c r="G28" s="42">
        <v>40</v>
      </c>
      <c r="H28" s="42">
        <v>6</v>
      </c>
      <c r="I28" s="42">
        <v>8</v>
      </c>
      <c r="J28" s="7">
        <f t="shared" si="0"/>
        <v>46335</v>
      </c>
      <c r="K28" s="7">
        <f t="shared" si="1"/>
        <v>46353</v>
      </c>
    </row>
    <row r="29" spans="1:11" x14ac:dyDescent="0.35">
      <c r="A29" s="6" t="s">
        <v>175</v>
      </c>
      <c r="B29" s="6">
        <v>3</v>
      </c>
      <c r="C29" s="6" t="s">
        <v>176</v>
      </c>
      <c r="D29" s="6" t="s">
        <v>169</v>
      </c>
      <c r="E29" s="6" t="s">
        <v>170</v>
      </c>
      <c r="F29" s="6" t="s">
        <v>148</v>
      </c>
      <c r="G29" s="42">
        <v>60</v>
      </c>
      <c r="H29" s="42">
        <v>6</v>
      </c>
      <c r="I29" s="42">
        <v>8</v>
      </c>
      <c r="J29" s="7">
        <f t="shared" si="0"/>
        <v>46335</v>
      </c>
      <c r="K29" s="7">
        <f t="shared" si="1"/>
        <v>46353</v>
      </c>
    </row>
    <row r="30" spans="1:11" x14ac:dyDescent="0.35">
      <c r="A30" s="6" t="s">
        <v>177</v>
      </c>
      <c r="B30" s="6">
        <v>3</v>
      </c>
      <c r="C30" s="6" t="s">
        <v>178</v>
      </c>
      <c r="D30" s="6" t="s">
        <v>169</v>
      </c>
      <c r="E30" s="6" t="s">
        <v>179</v>
      </c>
      <c r="F30" s="6" t="s">
        <v>126</v>
      </c>
      <c r="G30" s="42">
        <v>80</v>
      </c>
      <c r="H30" s="42">
        <v>7</v>
      </c>
      <c r="I30" s="42">
        <v>9</v>
      </c>
      <c r="J30" s="7">
        <f t="shared" si="0"/>
        <v>46342</v>
      </c>
      <c r="K30" s="7">
        <f t="shared" si="1"/>
        <v>46360</v>
      </c>
    </row>
    <row r="31" spans="1:11" x14ac:dyDescent="0.35">
      <c r="A31" s="6" t="s">
        <v>180</v>
      </c>
      <c r="B31" s="6">
        <v>3</v>
      </c>
      <c r="C31" s="6" t="s">
        <v>181</v>
      </c>
      <c r="D31" s="6" t="s">
        <v>169</v>
      </c>
      <c r="E31" s="6" t="s">
        <v>179</v>
      </c>
      <c r="F31" s="6" t="s">
        <v>126</v>
      </c>
      <c r="G31" s="42">
        <v>100</v>
      </c>
      <c r="H31" s="42">
        <v>7</v>
      </c>
      <c r="I31" s="42">
        <v>9</v>
      </c>
      <c r="J31" s="7">
        <f t="shared" si="0"/>
        <v>46342</v>
      </c>
      <c r="K31" s="7">
        <f t="shared" si="1"/>
        <v>46360</v>
      </c>
    </row>
    <row r="32" spans="1:11" x14ac:dyDescent="0.35">
      <c r="A32" s="6" t="s">
        <v>182</v>
      </c>
      <c r="B32" s="6">
        <v>3</v>
      </c>
      <c r="C32" s="6" t="s">
        <v>183</v>
      </c>
      <c r="D32" s="6" t="s">
        <v>169</v>
      </c>
      <c r="E32" s="6" t="s">
        <v>179</v>
      </c>
      <c r="F32" s="6" t="s">
        <v>126</v>
      </c>
      <c r="G32" s="42">
        <v>60</v>
      </c>
      <c r="H32" s="42">
        <v>7</v>
      </c>
      <c r="I32" s="42">
        <v>9</v>
      </c>
      <c r="J32" s="7">
        <f t="shared" si="0"/>
        <v>46342</v>
      </c>
      <c r="K32" s="7">
        <f t="shared" si="1"/>
        <v>46360</v>
      </c>
    </row>
    <row r="33" spans="1:11" x14ac:dyDescent="0.35">
      <c r="A33" s="6" t="s">
        <v>184</v>
      </c>
      <c r="B33" s="6">
        <v>3</v>
      </c>
      <c r="C33" s="6" t="s">
        <v>185</v>
      </c>
      <c r="D33" s="6" t="s">
        <v>169</v>
      </c>
      <c r="E33" s="6" t="s">
        <v>179</v>
      </c>
      <c r="F33" s="6" t="s">
        <v>126</v>
      </c>
      <c r="G33" s="42">
        <v>70</v>
      </c>
      <c r="H33" s="42">
        <v>7</v>
      </c>
      <c r="I33" s="42">
        <v>9</v>
      </c>
      <c r="J33" s="7">
        <f t="shared" si="0"/>
        <v>46342</v>
      </c>
      <c r="K33" s="7">
        <f t="shared" si="1"/>
        <v>46360</v>
      </c>
    </row>
    <row r="34" spans="1:11" x14ac:dyDescent="0.35">
      <c r="A34" s="6" t="s">
        <v>186</v>
      </c>
      <c r="B34" s="6">
        <v>3</v>
      </c>
      <c r="C34" s="6" t="s">
        <v>187</v>
      </c>
      <c r="D34" s="6" t="s">
        <v>169</v>
      </c>
      <c r="E34" s="6" t="s">
        <v>179</v>
      </c>
      <c r="F34" s="6" t="s">
        <v>126</v>
      </c>
      <c r="G34" s="42">
        <v>120</v>
      </c>
      <c r="H34" s="42">
        <v>7</v>
      </c>
      <c r="I34" s="42">
        <v>9</v>
      </c>
      <c r="J34" s="7">
        <f t="shared" si="0"/>
        <v>46342</v>
      </c>
      <c r="K34" s="7">
        <f t="shared" si="1"/>
        <v>46360</v>
      </c>
    </row>
    <row r="35" spans="1:11" x14ac:dyDescent="0.35">
      <c r="A35" s="6" t="s">
        <v>188</v>
      </c>
      <c r="B35" s="6">
        <v>3</v>
      </c>
      <c r="C35" s="6" t="s">
        <v>189</v>
      </c>
      <c r="D35" s="6" t="s">
        <v>169</v>
      </c>
      <c r="E35" s="6" t="s">
        <v>190</v>
      </c>
      <c r="F35" s="6" t="s">
        <v>136</v>
      </c>
      <c r="G35" s="42">
        <v>60</v>
      </c>
      <c r="H35" s="42">
        <v>9</v>
      </c>
      <c r="I35" s="42">
        <v>9</v>
      </c>
      <c r="J35" s="7">
        <f t="shared" si="0"/>
        <v>46356</v>
      </c>
      <c r="K35" s="7">
        <f t="shared" si="1"/>
        <v>46360</v>
      </c>
    </row>
    <row r="36" spans="1:11" x14ac:dyDescent="0.35">
      <c r="A36" s="6" t="s">
        <v>191</v>
      </c>
      <c r="B36" s="6">
        <v>3</v>
      </c>
      <c r="C36" s="6" t="s">
        <v>192</v>
      </c>
      <c r="D36" s="6" t="s">
        <v>169</v>
      </c>
      <c r="E36" s="6" t="s">
        <v>190</v>
      </c>
      <c r="F36" s="6" t="s">
        <v>148</v>
      </c>
      <c r="G36" s="42">
        <v>80</v>
      </c>
      <c r="H36" s="42">
        <v>9</v>
      </c>
      <c r="I36" s="42">
        <v>9</v>
      </c>
      <c r="J36" s="7">
        <f t="shared" si="0"/>
        <v>46356</v>
      </c>
      <c r="K36" s="7">
        <f t="shared" si="1"/>
        <v>46360</v>
      </c>
    </row>
    <row r="37" spans="1:11" x14ac:dyDescent="0.35">
      <c r="A37" s="6" t="s">
        <v>193</v>
      </c>
      <c r="B37" s="6">
        <v>3</v>
      </c>
      <c r="C37" s="6" t="s">
        <v>194</v>
      </c>
      <c r="D37" s="6" t="s">
        <v>169</v>
      </c>
      <c r="E37" s="6" t="s">
        <v>190</v>
      </c>
      <c r="F37" s="6" t="s">
        <v>113</v>
      </c>
      <c r="G37" s="42">
        <v>50</v>
      </c>
      <c r="H37" s="42">
        <v>9</v>
      </c>
      <c r="I37" s="42">
        <v>9</v>
      </c>
      <c r="J37" s="7">
        <f t="shared" ref="J37:J68" si="2">DATE(2026,10,5)+(H37-1)*7</f>
        <v>46356</v>
      </c>
      <c r="K37" s="7">
        <f t="shared" ref="K37:K68" si="3">DATE(2026,10,5)+(I37-1)*7+4</f>
        <v>46360</v>
      </c>
    </row>
    <row r="38" spans="1:11" x14ac:dyDescent="0.35">
      <c r="A38" s="6" t="s">
        <v>195</v>
      </c>
      <c r="B38" s="6">
        <v>3</v>
      </c>
      <c r="C38" s="6" t="s">
        <v>196</v>
      </c>
      <c r="D38" s="6" t="s">
        <v>197</v>
      </c>
      <c r="E38" s="6" t="s">
        <v>198</v>
      </c>
      <c r="F38" s="6" t="s">
        <v>145</v>
      </c>
      <c r="G38" s="42">
        <v>160</v>
      </c>
      <c r="H38" s="42">
        <v>9</v>
      </c>
      <c r="I38" s="42">
        <v>11</v>
      </c>
      <c r="J38" s="7">
        <f t="shared" si="2"/>
        <v>46356</v>
      </c>
      <c r="K38" s="7">
        <f t="shared" si="3"/>
        <v>46374</v>
      </c>
    </row>
    <row r="39" spans="1:11" x14ac:dyDescent="0.35">
      <c r="A39" s="6" t="s">
        <v>199</v>
      </c>
      <c r="B39" s="6">
        <v>3</v>
      </c>
      <c r="C39" s="6" t="s">
        <v>200</v>
      </c>
      <c r="D39" s="6" t="s">
        <v>197</v>
      </c>
      <c r="E39" s="6" t="s">
        <v>198</v>
      </c>
      <c r="F39" s="6" t="s">
        <v>145</v>
      </c>
      <c r="G39" s="42">
        <v>720</v>
      </c>
      <c r="H39" s="42">
        <v>9</v>
      </c>
      <c r="I39" s="42">
        <v>15</v>
      </c>
      <c r="J39" s="7">
        <f t="shared" si="2"/>
        <v>46356</v>
      </c>
      <c r="K39" s="7">
        <f t="shared" si="3"/>
        <v>46402</v>
      </c>
    </row>
    <row r="40" spans="1:11" x14ac:dyDescent="0.35">
      <c r="A40" s="6" t="s">
        <v>201</v>
      </c>
      <c r="B40" s="6">
        <v>3</v>
      </c>
      <c r="C40" s="6" t="s">
        <v>202</v>
      </c>
      <c r="D40" s="6" t="s">
        <v>197</v>
      </c>
      <c r="E40" s="6" t="s">
        <v>198</v>
      </c>
      <c r="F40" s="6" t="s">
        <v>145</v>
      </c>
      <c r="G40" s="42">
        <v>150</v>
      </c>
      <c r="H40" s="42">
        <v>14</v>
      </c>
      <c r="I40" s="42">
        <v>16</v>
      </c>
      <c r="J40" s="7">
        <f t="shared" si="2"/>
        <v>46391</v>
      </c>
      <c r="K40" s="7">
        <f t="shared" si="3"/>
        <v>46409</v>
      </c>
    </row>
    <row r="41" spans="1:11" x14ac:dyDescent="0.35">
      <c r="A41" s="6" t="s">
        <v>203</v>
      </c>
      <c r="B41" s="6">
        <v>3</v>
      </c>
      <c r="C41" s="6" t="s">
        <v>204</v>
      </c>
      <c r="D41" s="6" t="s">
        <v>197</v>
      </c>
      <c r="E41" s="6" t="s">
        <v>198</v>
      </c>
      <c r="F41" s="6" t="s">
        <v>145</v>
      </c>
      <c r="G41" s="42">
        <v>150</v>
      </c>
      <c r="H41" s="42">
        <v>17</v>
      </c>
      <c r="I41" s="42">
        <v>20</v>
      </c>
      <c r="J41" s="7">
        <f t="shared" si="2"/>
        <v>46412</v>
      </c>
      <c r="K41" s="7">
        <f t="shared" si="3"/>
        <v>46437</v>
      </c>
    </row>
    <row r="42" spans="1:11" x14ac:dyDescent="0.35">
      <c r="A42" s="6" t="s">
        <v>205</v>
      </c>
      <c r="B42" s="6">
        <v>3</v>
      </c>
      <c r="C42" s="6" t="s">
        <v>206</v>
      </c>
      <c r="D42" s="6" t="s">
        <v>197</v>
      </c>
      <c r="E42" s="6" t="s">
        <v>198</v>
      </c>
      <c r="F42" s="6" t="s">
        <v>145</v>
      </c>
      <c r="G42" s="42">
        <v>80</v>
      </c>
      <c r="H42" s="42">
        <v>14</v>
      </c>
      <c r="I42" s="42">
        <v>20</v>
      </c>
      <c r="J42" s="7">
        <f t="shared" si="2"/>
        <v>46391</v>
      </c>
      <c r="K42" s="7">
        <f t="shared" si="3"/>
        <v>46437</v>
      </c>
    </row>
    <row r="43" spans="1:11" x14ac:dyDescent="0.35">
      <c r="A43" s="6" t="s">
        <v>207</v>
      </c>
      <c r="B43" s="6">
        <v>3</v>
      </c>
      <c r="C43" s="6" t="s">
        <v>208</v>
      </c>
      <c r="D43" s="6" t="s">
        <v>197</v>
      </c>
      <c r="E43" s="6" t="s">
        <v>209</v>
      </c>
      <c r="F43" s="6" t="s">
        <v>139</v>
      </c>
      <c r="G43" s="42">
        <v>180</v>
      </c>
      <c r="H43" s="42">
        <v>9</v>
      </c>
      <c r="I43" s="42">
        <v>19</v>
      </c>
      <c r="J43" s="7">
        <f t="shared" si="2"/>
        <v>46356</v>
      </c>
      <c r="K43" s="7">
        <f t="shared" si="3"/>
        <v>46430</v>
      </c>
    </row>
    <row r="44" spans="1:11" x14ac:dyDescent="0.35">
      <c r="A44" s="6" t="s">
        <v>210</v>
      </c>
      <c r="B44" s="6">
        <v>3</v>
      </c>
      <c r="C44" s="6" t="s">
        <v>211</v>
      </c>
      <c r="D44" s="6" t="s">
        <v>197</v>
      </c>
      <c r="E44" s="6" t="s">
        <v>209</v>
      </c>
      <c r="F44" s="6" t="s">
        <v>126</v>
      </c>
      <c r="G44" s="42">
        <v>120</v>
      </c>
      <c r="H44" s="42">
        <v>9</v>
      </c>
      <c r="I44" s="42">
        <v>19</v>
      </c>
      <c r="J44" s="7">
        <f t="shared" si="2"/>
        <v>46356</v>
      </c>
      <c r="K44" s="7">
        <f t="shared" si="3"/>
        <v>46430</v>
      </c>
    </row>
    <row r="45" spans="1:11" x14ac:dyDescent="0.35">
      <c r="A45" s="6" t="s">
        <v>212</v>
      </c>
      <c r="B45" s="6">
        <v>3</v>
      </c>
      <c r="C45" s="6" t="s">
        <v>213</v>
      </c>
      <c r="D45" s="6" t="s">
        <v>197</v>
      </c>
      <c r="E45" s="6" t="s">
        <v>209</v>
      </c>
      <c r="F45" s="6" t="s">
        <v>139</v>
      </c>
      <c r="G45" s="42">
        <v>260</v>
      </c>
      <c r="H45" s="42">
        <v>9</v>
      </c>
      <c r="I45" s="42">
        <v>19</v>
      </c>
      <c r="J45" s="7">
        <f t="shared" si="2"/>
        <v>46356</v>
      </c>
      <c r="K45" s="7">
        <f t="shared" si="3"/>
        <v>46430</v>
      </c>
    </row>
    <row r="46" spans="1:11" x14ac:dyDescent="0.35">
      <c r="A46" s="6" t="s">
        <v>214</v>
      </c>
      <c r="B46" s="6">
        <v>3</v>
      </c>
      <c r="C46" s="6" t="s">
        <v>215</v>
      </c>
      <c r="D46" s="6" t="s">
        <v>197</v>
      </c>
      <c r="E46" s="6" t="s">
        <v>209</v>
      </c>
      <c r="F46" s="6" t="s">
        <v>139</v>
      </c>
      <c r="G46" s="42">
        <v>80</v>
      </c>
      <c r="H46" s="42">
        <v>9</v>
      </c>
      <c r="I46" s="42">
        <v>19</v>
      </c>
      <c r="J46" s="7">
        <f t="shared" si="2"/>
        <v>46356</v>
      </c>
      <c r="K46" s="7">
        <f t="shared" si="3"/>
        <v>46430</v>
      </c>
    </row>
    <row r="47" spans="1:11" x14ac:dyDescent="0.35">
      <c r="A47" s="6" t="s">
        <v>216</v>
      </c>
      <c r="B47" s="6">
        <v>3</v>
      </c>
      <c r="C47" s="6" t="s">
        <v>217</v>
      </c>
      <c r="D47" s="6" t="s">
        <v>197</v>
      </c>
      <c r="E47" s="6" t="s">
        <v>209</v>
      </c>
      <c r="F47" s="6" t="s">
        <v>139</v>
      </c>
      <c r="G47" s="42">
        <v>60</v>
      </c>
      <c r="H47" s="42">
        <v>9</v>
      </c>
      <c r="I47" s="42">
        <v>19</v>
      </c>
      <c r="J47" s="7">
        <f t="shared" si="2"/>
        <v>46356</v>
      </c>
      <c r="K47" s="7">
        <f t="shared" si="3"/>
        <v>46430</v>
      </c>
    </row>
    <row r="48" spans="1:11" x14ac:dyDescent="0.35">
      <c r="A48" s="6" t="s">
        <v>218</v>
      </c>
      <c r="B48" s="6">
        <v>3</v>
      </c>
      <c r="C48" s="6" t="s">
        <v>219</v>
      </c>
      <c r="D48" s="6" t="s">
        <v>197</v>
      </c>
      <c r="E48" s="6" t="s">
        <v>220</v>
      </c>
      <c r="F48" s="6" t="s">
        <v>148</v>
      </c>
      <c r="G48" s="42">
        <v>50</v>
      </c>
      <c r="H48" s="42">
        <v>9</v>
      </c>
      <c r="I48" s="42">
        <v>12</v>
      </c>
      <c r="J48" s="7">
        <f t="shared" si="2"/>
        <v>46356</v>
      </c>
      <c r="K48" s="7">
        <f t="shared" si="3"/>
        <v>46381</v>
      </c>
    </row>
    <row r="49" spans="1:11" x14ac:dyDescent="0.35">
      <c r="A49" s="6" t="s">
        <v>221</v>
      </c>
      <c r="B49" s="6">
        <v>3</v>
      </c>
      <c r="C49" s="6" t="s">
        <v>222</v>
      </c>
      <c r="D49" s="6" t="s">
        <v>197</v>
      </c>
      <c r="E49" s="6" t="s">
        <v>220</v>
      </c>
      <c r="F49" s="6" t="s">
        <v>148</v>
      </c>
      <c r="G49" s="42">
        <v>40</v>
      </c>
      <c r="H49" s="42">
        <v>9</v>
      </c>
      <c r="I49" s="42">
        <v>12</v>
      </c>
      <c r="J49" s="7">
        <f t="shared" si="2"/>
        <v>46356</v>
      </c>
      <c r="K49" s="7">
        <f t="shared" si="3"/>
        <v>46381</v>
      </c>
    </row>
    <row r="50" spans="1:11" x14ac:dyDescent="0.35">
      <c r="A50" s="6" t="s">
        <v>223</v>
      </c>
      <c r="B50" s="6">
        <v>3</v>
      </c>
      <c r="C50" s="6" t="s">
        <v>224</v>
      </c>
      <c r="D50" s="6" t="s">
        <v>197</v>
      </c>
      <c r="E50" s="6" t="s">
        <v>220</v>
      </c>
      <c r="F50" s="6" t="s">
        <v>148</v>
      </c>
      <c r="G50" s="42">
        <v>60</v>
      </c>
      <c r="H50" s="42">
        <v>9</v>
      </c>
      <c r="I50" s="42">
        <v>12</v>
      </c>
      <c r="J50" s="7">
        <f t="shared" si="2"/>
        <v>46356</v>
      </c>
      <c r="K50" s="7">
        <f t="shared" si="3"/>
        <v>46381</v>
      </c>
    </row>
    <row r="51" spans="1:11" x14ac:dyDescent="0.35">
      <c r="A51" s="6" t="s">
        <v>225</v>
      </c>
      <c r="B51" s="6">
        <v>3</v>
      </c>
      <c r="C51" s="6" t="s">
        <v>226</v>
      </c>
      <c r="D51" s="6" t="s">
        <v>197</v>
      </c>
      <c r="E51" s="6" t="s">
        <v>220</v>
      </c>
      <c r="F51" s="6" t="s">
        <v>139</v>
      </c>
      <c r="G51" s="42">
        <v>30</v>
      </c>
      <c r="H51" s="42">
        <v>9</v>
      </c>
      <c r="I51" s="42">
        <v>12</v>
      </c>
      <c r="J51" s="7">
        <f t="shared" si="2"/>
        <v>46356</v>
      </c>
      <c r="K51" s="7">
        <f t="shared" si="3"/>
        <v>46381</v>
      </c>
    </row>
    <row r="52" spans="1:11" x14ac:dyDescent="0.35">
      <c r="A52" s="6" t="s">
        <v>227</v>
      </c>
      <c r="B52" s="6">
        <v>3</v>
      </c>
      <c r="C52" s="6" t="s">
        <v>228</v>
      </c>
      <c r="D52" s="6" t="s">
        <v>197</v>
      </c>
      <c r="E52" s="6" t="s">
        <v>229</v>
      </c>
      <c r="F52" s="6" t="s">
        <v>230</v>
      </c>
      <c r="G52" s="42">
        <v>180</v>
      </c>
      <c r="H52" s="42">
        <v>12</v>
      </c>
      <c r="I52" s="42">
        <v>19</v>
      </c>
      <c r="J52" s="7">
        <f t="shared" si="2"/>
        <v>46377</v>
      </c>
      <c r="K52" s="7">
        <f t="shared" si="3"/>
        <v>46430</v>
      </c>
    </row>
    <row r="53" spans="1:11" x14ac:dyDescent="0.35">
      <c r="A53" s="6" t="s">
        <v>231</v>
      </c>
      <c r="B53" s="6">
        <v>3</v>
      </c>
      <c r="C53" s="6" t="s">
        <v>232</v>
      </c>
      <c r="D53" s="6" t="s">
        <v>197</v>
      </c>
      <c r="E53" s="6" t="s">
        <v>229</v>
      </c>
      <c r="F53" s="6" t="s">
        <v>230</v>
      </c>
      <c r="G53" s="42">
        <v>220</v>
      </c>
      <c r="H53" s="42">
        <v>12</v>
      </c>
      <c r="I53" s="42">
        <v>19</v>
      </c>
      <c r="J53" s="7">
        <f t="shared" si="2"/>
        <v>46377</v>
      </c>
      <c r="K53" s="7">
        <f t="shared" si="3"/>
        <v>46430</v>
      </c>
    </row>
    <row r="54" spans="1:11" x14ac:dyDescent="0.35">
      <c r="A54" s="6" t="s">
        <v>233</v>
      </c>
      <c r="B54" s="6">
        <v>3</v>
      </c>
      <c r="C54" s="6" t="s">
        <v>234</v>
      </c>
      <c r="D54" s="6" t="s">
        <v>197</v>
      </c>
      <c r="E54" s="6" t="s">
        <v>229</v>
      </c>
      <c r="F54" s="6" t="s">
        <v>230</v>
      </c>
      <c r="G54" s="42">
        <v>60</v>
      </c>
      <c r="H54" s="42">
        <v>12</v>
      </c>
      <c r="I54" s="42">
        <v>19</v>
      </c>
      <c r="J54" s="7">
        <f t="shared" si="2"/>
        <v>46377</v>
      </c>
      <c r="K54" s="7">
        <f t="shared" si="3"/>
        <v>46430</v>
      </c>
    </row>
    <row r="55" spans="1:11" x14ac:dyDescent="0.35">
      <c r="A55" s="6" t="s">
        <v>235</v>
      </c>
      <c r="B55" s="6">
        <v>3</v>
      </c>
      <c r="C55" s="6" t="s">
        <v>236</v>
      </c>
      <c r="D55" s="6" t="s">
        <v>197</v>
      </c>
      <c r="E55" s="6" t="s">
        <v>229</v>
      </c>
      <c r="F55" s="6" t="s">
        <v>230</v>
      </c>
      <c r="G55" s="42">
        <v>40</v>
      </c>
      <c r="H55" s="42">
        <v>12</v>
      </c>
      <c r="I55" s="42">
        <v>19</v>
      </c>
      <c r="J55" s="7">
        <f t="shared" si="2"/>
        <v>46377</v>
      </c>
      <c r="K55" s="7">
        <f t="shared" si="3"/>
        <v>46430</v>
      </c>
    </row>
    <row r="56" spans="1:11" x14ac:dyDescent="0.35">
      <c r="A56" s="6" t="s">
        <v>237</v>
      </c>
      <c r="B56" s="6">
        <v>3</v>
      </c>
      <c r="C56" s="6" t="s">
        <v>238</v>
      </c>
      <c r="D56" s="6" t="s">
        <v>239</v>
      </c>
      <c r="E56" s="6" t="s">
        <v>240</v>
      </c>
      <c r="F56" s="6" t="s">
        <v>241</v>
      </c>
      <c r="G56" s="42">
        <v>100</v>
      </c>
      <c r="H56" s="42">
        <v>16</v>
      </c>
      <c r="I56" s="42">
        <v>19</v>
      </c>
      <c r="J56" s="7">
        <f t="shared" si="2"/>
        <v>46405</v>
      </c>
      <c r="K56" s="7">
        <f t="shared" si="3"/>
        <v>46430</v>
      </c>
    </row>
    <row r="57" spans="1:11" x14ac:dyDescent="0.35">
      <c r="A57" s="6" t="s">
        <v>242</v>
      </c>
      <c r="B57" s="6">
        <v>3</v>
      </c>
      <c r="C57" s="6" t="s">
        <v>243</v>
      </c>
      <c r="D57" s="6" t="s">
        <v>239</v>
      </c>
      <c r="E57" s="6" t="s">
        <v>240</v>
      </c>
      <c r="F57" s="6" t="s">
        <v>241</v>
      </c>
      <c r="G57" s="42">
        <v>180</v>
      </c>
      <c r="H57" s="42">
        <v>16</v>
      </c>
      <c r="I57" s="42">
        <v>19</v>
      </c>
      <c r="J57" s="7">
        <f t="shared" si="2"/>
        <v>46405</v>
      </c>
      <c r="K57" s="7">
        <f t="shared" si="3"/>
        <v>46430</v>
      </c>
    </row>
    <row r="58" spans="1:11" x14ac:dyDescent="0.35">
      <c r="A58" s="6" t="s">
        <v>244</v>
      </c>
      <c r="B58" s="6">
        <v>3</v>
      </c>
      <c r="C58" s="6" t="s">
        <v>245</v>
      </c>
      <c r="D58" s="6" t="s">
        <v>239</v>
      </c>
      <c r="E58" s="6" t="s">
        <v>240</v>
      </c>
      <c r="F58" s="6" t="s">
        <v>139</v>
      </c>
      <c r="G58" s="42">
        <v>120</v>
      </c>
      <c r="H58" s="42">
        <v>16</v>
      </c>
      <c r="I58" s="42">
        <v>19</v>
      </c>
      <c r="J58" s="7">
        <f t="shared" si="2"/>
        <v>46405</v>
      </c>
      <c r="K58" s="7">
        <f t="shared" si="3"/>
        <v>46430</v>
      </c>
    </row>
    <row r="59" spans="1:11" x14ac:dyDescent="0.35">
      <c r="A59" s="6" t="s">
        <v>246</v>
      </c>
      <c r="B59" s="6">
        <v>3</v>
      </c>
      <c r="C59" s="6" t="s">
        <v>247</v>
      </c>
      <c r="D59" s="6" t="s">
        <v>239</v>
      </c>
      <c r="E59" s="6" t="s">
        <v>248</v>
      </c>
      <c r="F59" s="6" t="s">
        <v>148</v>
      </c>
      <c r="G59" s="42">
        <v>100</v>
      </c>
      <c r="H59" s="42">
        <v>15</v>
      </c>
      <c r="I59" s="42">
        <v>21</v>
      </c>
      <c r="J59" s="7">
        <f t="shared" si="2"/>
        <v>46398</v>
      </c>
      <c r="K59" s="7">
        <f t="shared" si="3"/>
        <v>46444</v>
      </c>
    </row>
    <row r="60" spans="1:11" x14ac:dyDescent="0.35">
      <c r="A60" s="6" t="s">
        <v>249</v>
      </c>
      <c r="B60" s="6">
        <v>3</v>
      </c>
      <c r="C60" s="6" t="s">
        <v>250</v>
      </c>
      <c r="D60" s="6" t="s">
        <v>239</v>
      </c>
      <c r="E60" s="6" t="s">
        <v>248</v>
      </c>
      <c r="F60" s="6" t="s">
        <v>148</v>
      </c>
      <c r="G60" s="42">
        <v>80</v>
      </c>
      <c r="H60" s="42">
        <v>15</v>
      </c>
      <c r="I60" s="42">
        <v>21</v>
      </c>
      <c r="J60" s="7">
        <f t="shared" si="2"/>
        <v>46398</v>
      </c>
      <c r="K60" s="7">
        <f t="shared" si="3"/>
        <v>46444</v>
      </c>
    </row>
    <row r="61" spans="1:11" x14ac:dyDescent="0.35">
      <c r="A61" s="6" t="s">
        <v>251</v>
      </c>
      <c r="B61" s="6">
        <v>3</v>
      </c>
      <c r="C61" s="6" t="s">
        <v>252</v>
      </c>
      <c r="D61" s="6" t="s">
        <v>239</v>
      </c>
      <c r="E61" s="6" t="s">
        <v>248</v>
      </c>
      <c r="F61" s="6" t="s">
        <v>148</v>
      </c>
      <c r="G61" s="42">
        <v>90</v>
      </c>
      <c r="H61" s="42">
        <v>15</v>
      </c>
      <c r="I61" s="42">
        <v>21</v>
      </c>
      <c r="J61" s="7">
        <f t="shared" si="2"/>
        <v>46398</v>
      </c>
      <c r="K61" s="7">
        <f t="shared" si="3"/>
        <v>46444</v>
      </c>
    </row>
    <row r="62" spans="1:11" x14ac:dyDescent="0.35">
      <c r="A62" s="6" t="s">
        <v>253</v>
      </c>
      <c r="B62" s="6">
        <v>3</v>
      </c>
      <c r="C62" s="6" t="s">
        <v>254</v>
      </c>
      <c r="D62" s="6" t="s">
        <v>239</v>
      </c>
      <c r="E62" s="6" t="s">
        <v>248</v>
      </c>
      <c r="F62" s="6" t="s">
        <v>148</v>
      </c>
      <c r="G62" s="42">
        <v>50</v>
      </c>
      <c r="H62" s="42">
        <v>15</v>
      </c>
      <c r="I62" s="42">
        <v>21</v>
      </c>
      <c r="J62" s="7">
        <f t="shared" si="2"/>
        <v>46398</v>
      </c>
      <c r="K62" s="7">
        <f t="shared" si="3"/>
        <v>46444</v>
      </c>
    </row>
    <row r="63" spans="1:11" x14ac:dyDescent="0.35">
      <c r="A63" s="6" t="s">
        <v>255</v>
      </c>
      <c r="B63" s="6">
        <v>3</v>
      </c>
      <c r="C63" s="6" t="s">
        <v>256</v>
      </c>
      <c r="D63" s="6" t="s">
        <v>239</v>
      </c>
      <c r="E63" s="6" t="s">
        <v>257</v>
      </c>
      <c r="F63" s="6" t="s">
        <v>126</v>
      </c>
      <c r="G63" s="42">
        <v>80</v>
      </c>
      <c r="H63" s="42">
        <v>20</v>
      </c>
      <c r="I63" s="42">
        <v>21</v>
      </c>
      <c r="J63" s="7">
        <f t="shared" si="2"/>
        <v>46433</v>
      </c>
      <c r="K63" s="7">
        <f t="shared" si="3"/>
        <v>46444</v>
      </c>
    </row>
    <row r="64" spans="1:11" x14ac:dyDescent="0.35">
      <c r="A64" s="6" t="s">
        <v>258</v>
      </c>
      <c r="B64" s="6">
        <v>3</v>
      </c>
      <c r="C64" s="6" t="s">
        <v>259</v>
      </c>
      <c r="D64" s="6" t="s">
        <v>239</v>
      </c>
      <c r="E64" s="6" t="s">
        <v>257</v>
      </c>
      <c r="F64" s="6" t="s">
        <v>126</v>
      </c>
      <c r="G64" s="42">
        <v>60</v>
      </c>
      <c r="H64" s="42">
        <v>20</v>
      </c>
      <c r="I64" s="42">
        <v>21</v>
      </c>
      <c r="J64" s="7">
        <f t="shared" si="2"/>
        <v>46433</v>
      </c>
      <c r="K64" s="7">
        <f t="shared" si="3"/>
        <v>46444</v>
      </c>
    </row>
    <row r="65" spans="1:11" x14ac:dyDescent="0.35">
      <c r="A65" s="6" t="s">
        <v>260</v>
      </c>
      <c r="B65" s="6">
        <v>3</v>
      </c>
      <c r="C65" s="6" t="s">
        <v>261</v>
      </c>
      <c r="D65" s="6" t="s">
        <v>239</v>
      </c>
      <c r="E65" s="6" t="s">
        <v>257</v>
      </c>
      <c r="F65" s="6" t="s">
        <v>126</v>
      </c>
      <c r="G65" s="42">
        <v>30</v>
      </c>
      <c r="H65" s="42">
        <v>20</v>
      </c>
      <c r="I65" s="42">
        <v>21</v>
      </c>
      <c r="J65" s="7">
        <f t="shared" si="2"/>
        <v>46433</v>
      </c>
      <c r="K65" s="7">
        <f t="shared" si="3"/>
        <v>46444</v>
      </c>
    </row>
    <row r="66" spans="1:11" x14ac:dyDescent="0.35">
      <c r="A66" s="6" t="s">
        <v>262</v>
      </c>
      <c r="B66" s="6">
        <v>3</v>
      </c>
      <c r="C66" s="6" t="s">
        <v>263</v>
      </c>
      <c r="D66" s="6" t="s">
        <v>239</v>
      </c>
      <c r="E66" s="6" t="s">
        <v>264</v>
      </c>
      <c r="F66" s="6" t="s">
        <v>116</v>
      </c>
      <c r="G66" s="42">
        <v>150</v>
      </c>
      <c r="H66" s="42">
        <v>21</v>
      </c>
      <c r="I66" s="42">
        <v>22</v>
      </c>
      <c r="J66" s="7">
        <f t="shared" si="2"/>
        <v>46440</v>
      </c>
      <c r="K66" s="7">
        <f t="shared" si="3"/>
        <v>46451</v>
      </c>
    </row>
    <row r="67" spans="1:11" x14ac:dyDescent="0.35">
      <c r="A67" s="6" t="s">
        <v>265</v>
      </c>
      <c r="B67" s="6">
        <v>3</v>
      </c>
      <c r="C67" s="6" t="s">
        <v>266</v>
      </c>
      <c r="D67" s="6" t="s">
        <v>239</v>
      </c>
      <c r="E67" s="6" t="s">
        <v>264</v>
      </c>
      <c r="F67" s="6" t="s">
        <v>116</v>
      </c>
      <c r="G67" s="42">
        <v>90</v>
      </c>
      <c r="H67" s="42">
        <v>21</v>
      </c>
      <c r="I67" s="42">
        <v>22</v>
      </c>
      <c r="J67" s="7">
        <f t="shared" si="2"/>
        <v>46440</v>
      </c>
      <c r="K67" s="7">
        <f t="shared" si="3"/>
        <v>46451</v>
      </c>
    </row>
    <row r="68" spans="1:11" x14ac:dyDescent="0.35">
      <c r="A68" s="6" t="s">
        <v>267</v>
      </c>
      <c r="B68" s="6">
        <v>3</v>
      </c>
      <c r="C68" s="6" t="s">
        <v>268</v>
      </c>
      <c r="D68" s="6" t="s">
        <v>239</v>
      </c>
      <c r="E68" s="6" t="s">
        <v>264</v>
      </c>
      <c r="F68" s="6" t="s">
        <v>126</v>
      </c>
      <c r="G68" s="42">
        <v>50</v>
      </c>
      <c r="H68" s="42">
        <v>21</v>
      </c>
      <c r="I68" s="42">
        <v>22</v>
      </c>
      <c r="J68" s="7">
        <f t="shared" si="2"/>
        <v>46440</v>
      </c>
      <c r="K68" s="7">
        <f t="shared" si="3"/>
        <v>46451</v>
      </c>
    </row>
    <row r="69" spans="1:11" x14ac:dyDescent="0.35">
      <c r="A69" s="6" t="s">
        <v>269</v>
      </c>
      <c r="B69" s="6">
        <v>3</v>
      </c>
      <c r="C69" s="6" t="s">
        <v>270</v>
      </c>
      <c r="D69" s="6" t="s">
        <v>239</v>
      </c>
      <c r="E69" s="6" t="s">
        <v>264</v>
      </c>
      <c r="F69" s="6" t="s">
        <v>113</v>
      </c>
      <c r="G69" s="42">
        <v>20</v>
      </c>
      <c r="H69" s="42">
        <v>21</v>
      </c>
      <c r="I69" s="42">
        <v>22</v>
      </c>
      <c r="J69" s="7">
        <f t="shared" ref="J69:J99" si="4">DATE(2026,10,5)+(H69-1)*7</f>
        <v>46440</v>
      </c>
      <c r="K69" s="7">
        <f t="shared" ref="K69:K99" si="5">DATE(2026,10,5)+(I69-1)*7+4</f>
        <v>46451</v>
      </c>
    </row>
    <row r="70" spans="1:11" x14ac:dyDescent="0.35">
      <c r="A70" s="6" t="s">
        <v>271</v>
      </c>
      <c r="B70" s="6">
        <v>3</v>
      </c>
      <c r="C70" s="6" t="s">
        <v>272</v>
      </c>
      <c r="D70" s="6" t="s">
        <v>273</v>
      </c>
      <c r="E70" s="6" t="s">
        <v>274</v>
      </c>
      <c r="F70" s="6" t="s">
        <v>113</v>
      </c>
      <c r="G70" s="42">
        <v>50</v>
      </c>
      <c r="H70" s="42">
        <v>20</v>
      </c>
      <c r="I70" s="42">
        <v>23</v>
      </c>
      <c r="J70" s="7">
        <f t="shared" si="4"/>
        <v>46433</v>
      </c>
      <c r="K70" s="7">
        <f t="shared" si="5"/>
        <v>46458</v>
      </c>
    </row>
    <row r="71" spans="1:11" x14ac:dyDescent="0.35">
      <c r="A71" s="6" t="s">
        <v>275</v>
      </c>
      <c r="B71" s="6">
        <v>3</v>
      </c>
      <c r="C71" s="6" t="s">
        <v>276</v>
      </c>
      <c r="D71" s="6" t="s">
        <v>273</v>
      </c>
      <c r="E71" s="6" t="s">
        <v>274</v>
      </c>
      <c r="F71" s="6" t="s">
        <v>136</v>
      </c>
      <c r="G71" s="42">
        <v>30</v>
      </c>
      <c r="H71" s="42">
        <v>20</v>
      </c>
      <c r="I71" s="42">
        <v>23</v>
      </c>
      <c r="J71" s="7">
        <f t="shared" si="4"/>
        <v>46433</v>
      </c>
      <c r="K71" s="7">
        <f t="shared" si="5"/>
        <v>46458</v>
      </c>
    </row>
    <row r="72" spans="1:11" x14ac:dyDescent="0.35">
      <c r="A72" s="6" t="s">
        <v>277</v>
      </c>
      <c r="B72" s="6">
        <v>3</v>
      </c>
      <c r="C72" s="6" t="s">
        <v>278</v>
      </c>
      <c r="D72" s="6" t="s">
        <v>273</v>
      </c>
      <c r="E72" s="6" t="s">
        <v>274</v>
      </c>
      <c r="F72" s="6" t="s">
        <v>116</v>
      </c>
      <c r="G72" s="42">
        <v>20</v>
      </c>
      <c r="H72" s="42">
        <v>20</v>
      </c>
      <c r="I72" s="42">
        <v>23</v>
      </c>
      <c r="J72" s="7">
        <f t="shared" si="4"/>
        <v>46433</v>
      </c>
      <c r="K72" s="7">
        <f t="shared" si="5"/>
        <v>46458</v>
      </c>
    </row>
    <row r="73" spans="1:11" x14ac:dyDescent="0.35">
      <c r="A73" s="6" t="s">
        <v>279</v>
      </c>
      <c r="B73" s="6">
        <v>3</v>
      </c>
      <c r="C73" s="6" t="s">
        <v>280</v>
      </c>
      <c r="D73" s="6" t="s">
        <v>273</v>
      </c>
      <c r="E73" s="6" t="s">
        <v>281</v>
      </c>
      <c r="F73" s="6" t="s">
        <v>145</v>
      </c>
      <c r="G73" s="42">
        <v>80</v>
      </c>
      <c r="H73" s="42">
        <v>23</v>
      </c>
      <c r="I73" s="42">
        <v>23</v>
      </c>
      <c r="J73" s="7">
        <f t="shared" si="4"/>
        <v>46454</v>
      </c>
      <c r="K73" s="7">
        <f t="shared" si="5"/>
        <v>46458</v>
      </c>
    </row>
    <row r="74" spans="1:11" x14ac:dyDescent="0.35">
      <c r="A74" s="6" t="s">
        <v>282</v>
      </c>
      <c r="B74" s="6">
        <v>3</v>
      </c>
      <c r="C74" s="6" t="s">
        <v>283</v>
      </c>
      <c r="D74" s="6" t="s">
        <v>273</v>
      </c>
      <c r="E74" s="6" t="s">
        <v>281</v>
      </c>
      <c r="F74" s="6" t="s">
        <v>126</v>
      </c>
      <c r="G74" s="42">
        <v>60</v>
      </c>
      <c r="H74" s="42">
        <v>23</v>
      </c>
      <c r="I74" s="42">
        <v>23</v>
      </c>
      <c r="J74" s="7">
        <f t="shared" si="4"/>
        <v>46454</v>
      </c>
      <c r="K74" s="7">
        <f t="shared" si="5"/>
        <v>46458</v>
      </c>
    </row>
    <row r="75" spans="1:11" x14ac:dyDescent="0.35">
      <c r="A75" s="6" t="s">
        <v>284</v>
      </c>
      <c r="B75" s="6">
        <v>3</v>
      </c>
      <c r="C75" s="6" t="s">
        <v>285</v>
      </c>
      <c r="D75" s="6" t="s">
        <v>273</v>
      </c>
      <c r="E75" s="6" t="s">
        <v>281</v>
      </c>
      <c r="F75" s="6" t="s">
        <v>241</v>
      </c>
      <c r="G75" s="42">
        <v>40</v>
      </c>
      <c r="H75" s="42">
        <v>23</v>
      </c>
      <c r="I75" s="42">
        <v>23</v>
      </c>
      <c r="J75" s="7">
        <f t="shared" si="4"/>
        <v>46454</v>
      </c>
      <c r="K75" s="7">
        <f t="shared" si="5"/>
        <v>46458</v>
      </c>
    </row>
    <row r="76" spans="1:11" x14ac:dyDescent="0.35">
      <c r="A76" s="6" t="s">
        <v>286</v>
      </c>
      <c r="B76" s="6">
        <v>3</v>
      </c>
      <c r="C76" s="6" t="s">
        <v>287</v>
      </c>
      <c r="D76" s="6" t="s">
        <v>273</v>
      </c>
      <c r="E76" s="6" t="s">
        <v>288</v>
      </c>
      <c r="F76" s="6" t="s">
        <v>145</v>
      </c>
      <c r="G76" s="42">
        <v>10</v>
      </c>
      <c r="H76" s="42">
        <v>23</v>
      </c>
      <c r="I76" s="42">
        <v>23</v>
      </c>
      <c r="J76" s="7">
        <f t="shared" si="4"/>
        <v>46454</v>
      </c>
      <c r="K76" s="7">
        <f t="shared" si="5"/>
        <v>46458</v>
      </c>
    </row>
    <row r="77" spans="1:11" x14ac:dyDescent="0.35">
      <c r="A77" s="6" t="s">
        <v>289</v>
      </c>
      <c r="B77" s="6">
        <v>3</v>
      </c>
      <c r="C77" s="6" t="s">
        <v>290</v>
      </c>
      <c r="D77" s="6" t="s">
        <v>273</v>
      </c>
      <c r="E77" s="6" t="s">
        <v>288</v>
      </c>
      <c r="F77" s="6" t="s">
        <v>126</v>
      </c>
      <c r="G77" s="42">
        <v>10</v>
      </c>
      <c r="H77" s="42">
        <v>23</v>
      </c>
      <c r="I77" s="42">
        <v>23</v>
      </c>
      <c r="J77" s="7">
        <f t="shared" si="4"/>
        <v>46454</v>
      </c>
      <c r="K77" s="7">
        <f t="shared" si="5"/>
        <v>46458</v>
      </c>
    </row>
    <row r="78" spans="1:11" x14ac:dyDescent="0.35">
      <c r="A78" s="6" t="s">
        <v>291</v>
      </c>
      <c r="B78" s="6">
        <v>3</v>
      </c>
      <c r="C78" s="6" t="s">
        <v>292</v>
      </c>
      <c r="D78" s="6" t="s">
        <v>293</v>
      </c>
      <c r="E78" s="6" t="s">
        <v>294</v>
      </c>
      <c r="F78" s="6" t="s">
        <v>113</v>
      </c>
      <c r="G78" s="42">
        <v>90</v>
      </c>
      <c r="H78" s="42">
        <v>24</v>
      </c>
      <c r="I78" s="42">
        <v>26</v>
      </c>
      <c r="J78" s="7">
        <f t="shared" si="4"/>
        <v>46461</v>
      </c>
      <c r="K78" s="7">
        <f t="shared" si="5"/>
        <v>46479</v>
      </c>
    </row>
    <row r="79" spans="1:11" x14ac:dyDescent="0.35">
      <c r="A79" s="6" t="s">
        <v>295</v>
      </c>
      <c r="B79" s="6">
        <v>3</v>
      </c>
      <c r="C79" s="6" t="s">
        <v>296</v>
      </c>
      <c r="D79" s="6" t="s">
        <v>293</v>
      </c>
      <c r="E79" s="6" t="s">
        <v>294</v>
      </c>
      <c r="F79" s="6" t="s">
        <v>126</v>
      </c>
      <c r="G79" s="42">
        <v>60</v>
      </c>
      <c r="H79" s="42">
        <v>24</v>
      </c>
      <c r="I79" s="42">
        <v>26</v>
      </c>
      <c r="J79" s="7">
        <f t="shared" si="4"/>
        <v>46461</v>
      </c>
      <c r="K79" s="7">
        <f t="shared" si="5"/>
        <v>46479</v>
      </c>
    </row>
    <row r="80" spans="1:11" x14ac:dyDescent="0.35">
      <c r="A80" s="6" t="s">
        <v>297</v>
      </c>
      <c r="B80" s="6">
        <v>3</v>
      </c>
      <c r="C80" s="6" t="s">
        <v>298</v>
      </c>
      <c r="D80" s="6" t="s">
        <v>293</v>
      </c>
      <c r="E80" s="6" t="s">
        <v>294</v>
      </c>
      <c r="F80" s="6" t="s">
        <v>145</v>
      </c>
      <c r="G80" s="42">
        <v>50</v>
      </c>
      <c r="H80" s="42">
        <v>24</v>
      </c>
      <c r="I80" s="42">
        <v>26</v>
      </c>
      <c r="J80" s="7">
        <f t="shared" si="4"/>
        <v>46461</v>
      </c>
      <c r="K80" s="7">
        <f t="shared" si="5"/>
        <v>46479</v>
      </c>
    </row>
    <row r="81" spans="1:11" x14ac:dyDescent="0.35">
      <c r="A81" s="6" t="s">
        <v>299</v>
      </c>
      <c r="B81" s="6">
        <v>3</v>
      </c>
      <c r="C81" s="6" t="s">
        <v>300</v>
      </c>
      <c r="D81" s="6" t="s">
        <v>293</v>
      </c>
      <c r="E81" s="6" t="s">
        <v>301</v>
      </c>
      <c r="F81" s="6" t="s">
        <v>136</v>
      </c>
      <c r="G81" s="42">
        <v>50</v>
      </c>
      <c r="H81" s="42">
        <v>24</v>
      </c>
      <c r="I81" s="42">
        <v>26</v>
      </c>
      <c r="J81" s="7">
        <f t="shared" si="4"/>
        <v>46461</v>
      </c>
      <c r="K81" s="7">
        <f t="shared" si="5"/>
        <v>46479</v>
      </c>
    </row>
    <row r="82" spans="1:11" x14ac:dyDescent="0.35">
      <c r="A82" s="6" t="s">
        <v>302</v>
      </c>
      <c r="B82" s="6">
        <v>3</v>
      </c>
      <c r="C82" s="6" t="s">
        <v>303</v>
      </c>
      <c r="D82" s="6" t="s">
        <v>293</v>
      </c>
      <c r="E82" s="6" t="s">
        <v>301</v>
      </c>
      <c r="F82" s="6" t="s">
        <v>113</v>
      </c>
      <c r="G82" s="42">
        <v>30</v>
      </c>
      <c r="H82" s="42">
        <v>24</v>
      </c>
      <c r="I82" s="42">
        <v>26</v>
      </c>
      <c r="J82" s="7">
        <f t="shared" si="4"/>
        <v>46461</v>
      </c>
      <c r="K82" s="7">
        <f t="shared" si="5"/>
        <v>46479</v>
      </c>
    </row>
    <row r="83" spans="1:11" x14ac:dyDescent="0.35">
      <c r="A83" s="6" t="s">
        <v>304</v>
      </c>
      <c r="B83" s="6">
        <v>3</v>
      </c>
      <c r="C83" s="6" t="s">
        <v>305</v>
      </c>
      <c r="D83" s="6" t="s">
        <v>293</v>
      </c>
      <c r="E83" s="6" t="s">
        <v>301</v>
      </c>
      <c r="F83" s="6" t="s">
        <v>113</v>
      </c>
      <c r="G83" s="42">
        <v>10</v>
      </c>
      <c r="H83" s="42">
        <v>24</v>
      </c>
      <c r="I83" s="42">
        <v>26</v>
      </c>
      <c r="J83" s="7">
        <f t="shared" si="4"/>
        <v>46461</v>
      </c>
      <c r="K83" s="7">
        <f t="shared" si="5"/>
        <v>46479</v>
      </c>
    </row>
    <row r="84" spans="1:11" x14ac:dyDescent="0.35">
      <c r="A84" s="6" t="s">
        <v>306</v>
      </c>
      <c r="B84" s="6">
        <v>3</v>
      </c>
      <c r="C84" s="6" t="s">
        <v>307</v>
      </c>
      <c r="D84" s="6" t="s">
        <v>293</v>
      </c>
      <c r="E84" s="6" t="s">
        <v>308</v>
      </c>
      <c r="F84" s="6" t="s">
        <v>113</v>
      </c>
      <c r="G84" s="42">
        <v>10</v>
      </c>
      <c r="H84" s="42">
        <v>26</v>
      </c>
      <c r="I84" s="42">
        <v>26</v>
      </c>
      <c r="J84" s="7">
        <f t="shared" si="4"/>
        <v>46475</v>
      </c>
      <c r="K84" s="7">
        <f t="shared" si="5"/>
        <v>46479</v>
      </c>
    </row>
    <row r="85" spans="1:11" x14ac:dyDescent="0.35">
      <c r="A85" s="6" t="s">
        <v>309</v>
      </c>
      <c r="B85" s="6">
        <v>3</v>
      </c>
      <c r="C85" s="6" t="s">
        <v>310</v>
      </c>
      <c r="D85" s="6" t="s">
        <v>293</v>
      </c>
      <c r="E85" s="6" t="s">
        <v>308</v>
      </c>
      <c r="F85" s="6" t="s">
        <v>113</v>
      </c>
      <c r="G85" s="42">
        <v>30</v>
      </c>
      <c r="H85" s="42">
        <v>26</v>
      </c>
      <c r="I85" s="42">
        <v>26</v>
      </c>
      <c r="J85" s="7">
        <f t="shared" si="4"/>
        <v>46475</v>
      </c>
      <c r="K85" s="7">
        <f t="shared" si="5"/>
        <v>46479</v>
      </c>
    </row>
    <row r="86" spans="1:11" x14ac:dyDescent="0.35">
      <c r="A86" s="6" t="s">
        <v>311</v>
      </c>
      <c r="B86" s="6">
        <v>3</v>
      </c>
      <c r="C86" s="6" t="s">
        <v>312</v>
      </c>
      <c r="D86" s="6" t="s">
        <v>293</v>
      </c>
      <c r="E86" s="6" t="s">
        <v>308</v>
      </c>
      <c r="F86" s="6" t="s">
        <v>116</v>
      </c>
      <c r="G86" s="42">
        <v>30</v>
      </c>
      <c r="H86" s="42">
        <v>26</v>
      </c>
      <c r="I86" s="42">
        <v>26</v>
      </c>
      <c r="J86" s="7">
        <f t="shared" si="4"/>
        <v>46475</v>
      </c>
      <c r="K86" s="7">
        <f t="shared" si="5"/>
        <v>46479</v>
      </c>
    </row>
    <row r="87" spans="1:11" x14ac:dyDescent="0.35">
      <c r="A87" s="6" t="s">
        <v>313</v>
      </c>
      <c r="B87" s="6">
        <v>3</v>
      </c>
      <c r="C87" s="6" t="s">
        <v>314</v>
      </c>
      <c r="D87" s="6" t="s">
        <v>293</v>
      </c>
      <c r="E87" s="6" t="s">
        <v>308</v>
      </c>
      <c r="F87" s="6" t="s">
        <v>113</v>
      </c>
      <c r="G87" s="42">
        <v>20</v>
      </c>
      <c r="H87" s="42">
        <v>26</v>
      </c>
      <c r="I87" s="42">
        <v>26</v>
      </c>
      <c r="J87" s="7">
        <f t="shared" si="4"/>
        <v>46475</v>
      </c>
      <c r="K87" s="7">
        <f t="shared" si="5"/>
        <v>46479</v>
      </c>
    </row>
    <row r="88" spans="1:11" x14ac:dyDescent="0.35">
      <c r="A88" s="6" t="s">
        <v>315</v>
      </c>
      <c r="B88" s="6">
        <v>3</v>
      </c>
      <c r="C88" s="6" t="s">
        <v>316</v>
      </c>
      <c r="D88" s="6" t="s">
        <v>317</v>
      </c>
      <c r="E88" s="6" t="s">
        <v>318</v>
      </c>
      <c r="F88" s="6" t="s">
        <v>113</v>
      </c>
      <c r="G88" s="42">
        <v>60</v>
      </c>
      <c r="H88" s="42">
        <v>1</v>
      </c>
      <c r="I88" s="42">
        <v>26</v>
      </c>
      <c r="J88" s="7">
        <f t="shared" si="4"/>
        <v>46300</v>
      </c>
      <c r="K88" s="7">
        <f t="shared" si="5"/>
        <v>46479</v>
      </c>
    </row>
    <row r="89" spans="1:11" x14ac:dyDescent="0.35">
      <c r="A89" s="6" t="s">
        <v>319</v>
      </c>
      <c r="B89" s="6">
        <v>3</v>
      </c>
      <c r="C89" s="6" t="s">
        <v>320</v>
      </c>
      <c r="D89" s="6" t="s">
        <v>317</v>
      </c>
      <c r="E89" s="6" t="s">
        <v>318</v>
      </c>
      <c r="F89" s="6" t="s">
        <v>113</v>
      </c>
      <c r="G89" s="42">
        <v>40</v>
      </c>
      <c r="H89" s="42">
        <v>1</v>
      </c>
      <c r="I89" s="42">
        <v>26</v>
      </c>
      <c r="J89" s="7">
        <f t="shared" si="4"/>
        <v>46300</v>
      </c>
      <c r="K89" s="7">
        <f t="shared" si="5"/>
        <v>46479</v>
      </c>
    </row>
    <row r="90" spans="1:11" x14ac:dyDescent="0.35">
      <c r="A90" s="6" t="s">
        <v>321</v>
      </c>
      <c r="B90" s="6">
        <v>3</v>
      </c>
      <c r="C90" s="6" t="s">
        <v>322</v>
      </c>
      <c r="D90" s="6" t="s">
        <v>317</v>
      </c>
      <c r="E90" s="6" t="s">
        <v>318</v>
      </c>
      <c r="F90" s="6" t="s">
        <v>113</v>
      </c>
      <c r="G90" s="42">
        <v>40</v>
      </c>
      <c r="H90" s="42">
        <v>1</v>
      </c>
      <c r="I90" s="42">
        <v>26</v>
      </c>
      <c r="J90" s="7">
        <f t="shared" si="4"/>
        <v>46300</v>
      </c>
      <c r="K90" s="7">
        <f t="shared" si="5"/>
        <v>46479</v>
      </c>
    </row>
    <row r="91" spans="1:11" x14ac:dyDescent="0.35">
      <c r="A91" s="6" t="s">
        <v>323</v>
      </c>
      <c r="B91" s="6">
        <v>3</v>
      </c>
      <c r="C91" s="6" t="s">
        <v>324</v>
      </c>
      <c r="D91" s="6" t="s">
        <v>317</v>
      </c>
      <c r="E91" s="6" t="s">
        <v>325</v>
      </c>
      <c r="F91" s="6" t="s">
        <v>241</v>
      </c>
      <c r="G91" s="42">
        <v>50</v>
      </c>
      <c r="H91" s="42">
        <v>1</v>
      </c>
      <c r="I91" s="42">
        <v>26</v>
      </c>
      <c r="J91" s="7">
        <f t="shared" si="4"/>
        <v>46300</v>
      </c>
      <c r="K91" s="7">
        <f t="shared" si="5"/>
        <v>46479</v>
      </c>
    </row>
    <row r="92" spans="1:11" x14ac:dyDescent="0.35">
      <c r="A92" s="6" t="s">
        <v>326</v>
      </c>
      <c r="B92" s="6">
        <v>3</v>
      </c>
      <c r="C92" s="6" t="s">
        <v>327</v>
      </c>
      <c r="D92" s="6" t="s">
        <v>317</v>
      </c>
      <c r="E92" s="6" t="s">
        <v>325</v>
      </c>
      <c r="F92" s="6" t="s">
        <v>241</v>
      </c>
      <c r="G92" s="42">
        <v>30</v>
      </c>
      <c r="H92" s="42">
        <v>1</v>
      </c>
      <c r="I92" s="42">
        <v>26</v>
      </c>
      <c r="J92" s="7">
        <f t="shared" si="4"/>
        <v>46300</v>
      </c>
      <c r="K92" s="7">
        <f t="shared" si="5"/>
        <v>46479</v>
      </c>
    </row>
    <row r="93" spans="1:11" x14ac:dyDescent="0.35">
      <c r="A93" s="6" t="s">
        <v>328</v>
      </c>
      <c r="B93" s="6">
        <v>3</v>
      </c>
      <c r="C93" s="6" t="s">
        <v>329</v>
      </c>
      <c r="D93" s="6" t="s">
        <v>317</v>
      </c>
      <c r="E93" s="6" t="s">
        <v>325</v>
      </c>
      <c r="F93" s="6" t="s">
        <v>241</v>
      </c>
      <c r="G93" s="42">
        <v>10</v>
      </c>
      <c r="H93" s="42">
        <v>1</v>
      </c>
      <c r="I93" s="42">
        <v>26</v>
      </c>
      <c r="J93" s="7">
        <f t="shared" si="4"/>
        <v>46300</v>
      </c>
      <c r="K93" s="7">
        <f t="shared" si="5"/>
        <v>46479</v>
      </c>
    </row>
    <row r="94" spans="1:11" x14ac:dyDescent="0.35">
      <c r="A94" s="6" t="s">
        <v>330</v>
      </c>
      <c r="B94" s="6">
        <v>3</v>
      </c>
      <c r="C94" s="6" t="s">
        <v>331</v>
      </c>
      <c r="D94" s="6" t="s">
        <v>317</v>
      </c>
      <c r="E94" s="6" t="s">
        <v>332</v>
      </c>
      <c r="F94" s="6" t="s">
        <v>126</v>
      </c>
      <c r="G94" s="42">
        <v>20</v>
      </c>
      <c r="H94" s="42">
        <v>1</v>
      </c>
      <c r="I94" s="42">
        <v>26</v>
      </c>
      <c r="J94" s="7">
        <f t="shared" si="4"/>
        <v>46300</v>
      </c>
      <c r="K94" s="7">
        <f t="shared" si="5"/>
        <v>46479</v>
      </c>
    </row>
    <row r="95" spans="1:11" x14ac:dyDescent="0.35">
      <c r="A95" s="6" t="s">
        <v>333</v>
      </c>
      <c r="B95" s="6">
        <v>3</v>
      </c>
      <c r="C95" s="6" t="s">
        <v>334</v>
      </c>
      <c r="D95" s="6" t="s">
        <v>317</v>
      </c>
      <c r="E95" s="6" t="s">
        <v>332</v>
      </c>
      <c r="F95" s="6" t="s">
        <v>136</v>
      </c>
      <c r="G95" s="42">
        <v>20</v>
      </c>
      <c r="H95" s="42">
        <v>1</v>
      </c>
      <c r="I95" s="42">
        <v>26</v>
      </c>
      <c r="J95" s="7">
        <f t="shared" si="4"/>
        <v>46300</v>
      </c>
      <c r="K95" s="7">
        <f t="shared" si="5"/>
        <v>46479</v>
      </c>
    </row>
    <row r="96" spans="1:11" x14ac:dyDescent="0.35">
      <c r="A96" s="6" t="s">
        <v>335</v>
      </c>
      <c r="B96" s="6">
        <v>3</v>
      </c>
      <c r="C96" s="6" t="s">
        <v>336</v>
      </c>
      <c r="D96" s="6" t="s">
        <v>317</v>
      </c>
      <c r="E96" s="6" t="s">
        <v>332</v>
      </c>
      <c r="F96" s="6" t="s">
        <v>241</v>
      </c>
      <c r="G96" s="42">
        <v>20</v>
      </c>
      <c r="H96" s="42">
        <v>1</v>
      </c>
      <c r="I96" s="42">
        <v>26</v>
      </c>
      <c r="J96" s="7">
        <f t="shared" si="4"/>
        <v>46300</v>
      </c>
      <c r="K96" s="7">
        <f t="shared" si="5"/>
        <v>46479</v>
      </c>
    </row>
    <row r="97" spans="1:11" x14ac:dyDescent="0.35">
      <c r="A97" s="6" t="s">
        <v>337</v>
      </c>
      <c r="B97" s="6">
        <v>3</v>
      </c>
      <c r="C97" s="6" t="s">
        <v>338</v>
      </c>
      <c r="D97" s="6" t="s">
        <v>317</v>
      </c>
      <c r="E97" s="6" t="s">
        <v>339</v>
      </c>
      <c r="F97" s="6" t="s">
        <v>113</v>
      </c>
      <c r="G97" s="42">
        <v>30</v>
      </c>
      <c r="H97" s="42">
        <v>1</v>
      </c>
      <c r="I97" s="42">
        <v>26</v>
      </c>
      <c r="J97" s="7">
        <f t="shared" si="4"/>
        <v>46300</v>
      </c>
      <c r="K97" s="7">
        <f t="shared" si="5"/>
        <v>46479</v>
      </c>
    </row>
    <row r="98" spans="1:11" x14ac:dyDescent="0.35">
      <c r="A98" s="6" t="s">
        <v>340</v>
      </c>
      <c r="B98" s="6">
        <v>3</v>
      </c>
      <c r="C98" s="6" t="s">
        <v>341</v>
      </c>
      <c r="D98" s="6" t="s">
        <v>317</v>
      </c>
      <c r="E98" s="6" t="s">
        <v>339</v>
      </c>
      <c r="F98" s="6" t="s">
        <v>113</v>
      </c>
      <c r="G98" s="42">
        <v>10</v>
      </c>
      <c r="H98" s="42">
        <v>1</v>
      </c>
      <c r="I98" s="42">
        <v>26</v>
      </c>
      <c r="J98" s="7">
        <f t="shared" si="4"/>
        <v>46300</v>
      </c>
      <c r="K98" s="7">
        <f t="shared" si="5"/>
        <v>46479</v>
      </c>
    </row>
    <row r="99" spans="1:11" x14ac:dyDescent="0.35">
      <c r="A99" s="6" t="s">
        <v>342</v>
      </c>
      <c r="B99" s="6">
        <v>3</v>
      </c>
      <c r="C99" s="6" t="s">
        <v>343</v>
      </c>
      <c r="D99" s="6" t="s">
        <v>317</v>
      </c>
      <c r="E99" s="6" t="s">
        <v>339</v>
      </c>
      <c r="F99" s="6" t="s">
        <v>113</v>
      </c>
      <c r="G99" s="42">
        <v>10</v>
      </c>
      <c r="H99" s="42">
        <v>1</v>
      </c>
      <c r="I99" s="42">
        <v>26</v>
      </c>
      <c r="J99" s="7">
        <f t="shared" si="4"/>
        <v>46300</v>
      </c>
      <c r="K99" s="7">
        <f t="shared" si="5"/>
        <v>46479</v>
      </c>
    </row>
    <row r="100" spans="1:11" x14ac:dyDescent="0.35">
      <c r="C100" s="4" t="s">
        <v>344</v>
      </c>
      <c r="G100" s="5">
        <f>SUM(G5:G99)</f>
        <v>6880</v>
      </c>
      <c r="H100" t="s">
        <v>345</v>
      </c>
      <c r="I100" t="str">
        <f>IF(G100=6880,"OK","CHECK")</f>
        <v>OK</v>
      </c>
    </row>
    <row r="102" spans="1:11" x14ac:dyDescent="0.35">
      <c r="C102" s="4"/>
    </row>
    <row r="103" spans="1:11" x14ac:dyDescent="0.35">
      <c r="C103" s="19" t="s">
        <v>346</v>
      </c>
      <c r="G103" s="19" t="s">
        <v>104</v>
      </c>
      <c r="H103" s="19" t="s">
        <v>347</v>
      </c>
      <c r="I103" s="19" t="s">
        <v>348</v>
      </c>
      <c r="J103" s="19" t="s">
        <v>345</v>
      </c>
    </row>
    <row r="104" spans="1:11" x14ac:dyDescent="0.35">
      <c r="C104" s="43" t="s">
        <v>111</v>
      </c>
      <c r="G104" s="44">
        <f>SUMIF(A$5:A$99,"1.*",G$5:G$99)</f>
        <v>420</v>
      </c>
      <c r="H104" s="45">
        <f t="shared" ref="H104:H111" si="6">G104/$G$100</f>
        <v>6.1046511627906974E-2</v>
      </c>
      <c r="I104" s="46">
        <v>420</v>
      </c>
      <c r="J104" s="15" t="str">
        <f t="shared" ref="J104:J111" si="7">IF(G104=I104,"OK","CHECK")</f>
        <v>OK</v>
      </c>
    </row>
    <row r="105" spans="1:11" x14ac:dyDescent="0.35">
      <c r="C105" s="43" t="s">
        <v>134</v>
      </c>
      <c r="G105" s="44">
        <f>SUMIF(A$5:A$99,"2.*",G$5:G$99)</f>
        <v>700</v>
      </c>
      <c r="H105" s="45">
        <f t="shared" si="6"/>
        <v>0.10174418604651163</v>
      </c>
      <c r="I105" s="46">
        <v>700</v>
      </c>
      <c r="J105" s="15" t="str">
        <f t="shared" si="7"/>
        <v>OK</v>
      </c>
    </row>
    <row r="106" spans="1:11" x14ac:dyDescent="0.35">
      <c r="C106" s="43" t="s">
        <v>169</v>
      </c>
      <c r="G106" s="44">
        <f>SUMIF(A$5:A$99,"3.*",G$5:G$99)</f>
        <v>900</v>
      </c>
      <c r="H106" s="45">
        <f t="shared" si="6"/>
        <v>0.1308139534883721</v>
      </c>
      <c r="I106" s="46">
        <v>900</v>
      </c>
      <c r="J106" s="15" t="str">
        <f t="shared" si="7"/>
        <v>OK</v>
      </c>
    </row>
    <row r="107" spans="1:11" x14ac:dyDescent="0.35">
      <c r="C107" s="43" t="s">
        <v>197</v>
      </c>
      <c r="G107" s="44">
        <f>SUMIF(A$5:A$99,"4.*",G$5:G$99)</f>
        <v>2640</v>
      </c>
      <c r="H107" s="45">
        <f t="shared" si="6"/>
        <v>0.38372093023255816</v>
      </c>
      <c r="I107" s="46">
        <v>2640</v>
      </c>
      <c r="J107" s="15" t="str">
        <f t="shared" si="7"/>
        <v>OK</v>
      </c>
    </row>
    <row r="108" spans="1:11" x14ac:dyDescent="0.35">
      <c r="C108" s="43" t="s">
        <v>239</v>
      </c>
      <c r="G108" s="44">
        <f>SUMIF(A$5:A$99,"5.*",G$5:G$99)</f>
        <v>1200</v>
      </c>
      <c r="H108" s="45">
        <f t="shared" si="6"/>
        <v>0.1744186046511628</v>
      </c>
      <c r="I108" s="46">
        <v>1200</v>
      </c>
      <c r="J108" s="15" t="str">
        <f t="shared" si="7"/>
        <v>OK</v>
      </c>
    </row>
    <row r="109" spans="1:11" x14ac:dyDescent="0.35">
      <c r="C109" s="43" t="s">
        <v>273</v>
      </c>
      <c r="G109" s="44">
        <f>SUMIF(A$5:A$99,"6.*",G$5:G$99)</f>
        <v>300</v>
      </c>
      <c r="H109" s="45">
        <f t="shared" si="6"/>
        <v>4.3604651162790699E-2</v>
      </c>
      <c r="I109" s="46">
        <v>300</v>
      </c>
      <c r="J109" s="15" t="str">
        <f t="shared" si="7"/>
        <v>OK</v>
      </c>
    </row>
    <row r="110" spans="1:11" x14ac:dyDescent="0.35">
      <c r="C110" s="43" t="s">
        <v>293</v>
      </c>
      <c r="G110" s="44">
        <f>SUMIF(A$5:A$99,"7.*",G$5:G$99)</f>
        <v>380</v>
      </c>
      <c r="H110" s="45">
        <f t="shared" si="6"/>
        <v>5.5232558139534885E-2</v>
      </c>
      <c r="I110" s="46">
        <v>380</v>
      </c>
      <c r="J110" s="15" t="str">
        <f t="shared" si="7"/>
        <v>OK</v>
      </c>
    </row>
    <row r="111" spans="1:11" x14ac:dyDescent="0.35">
      <c r="C111" s="43" t="s">
        <v>317</v>
      </c>
      <c r="G111" s="44">
        <f>SUMIF(A$5:A$99,"8.*",G$5:G$99)</f>
        <v>340</v>
      </c>
      <c r="H111" s="45">
        <f t="shared" si="6"/>
        <v>4.9418604651162788E-2</v>
      </c>
      <c r="I111" s="46">
        <v>340</v>
      </c>
      <c r="J111" s="15" t="str">
        <f t="shared" si="7"/>
        <v>OK</v>
      </c>
    </row>
    <row r="112" spans="1:11" x14ac:dyDescent="0.35">
      <c r="C112" s="16" t="s">
        <v>75</v>
      </c>
      <c r="G112" s="31">
        <f>SUM(G104:G111)</f>
        <v>6880</v>
      </c>
      <c r="H112" s="47">
        <f>SUM(H104:H111)</f>
        <v>1</v>
      </c>
      <c r="I112" s="31">
        <f>SUM(I104:I111)</f>
        <v>6880</v>
      </c>
      <c r="J112" s="48" t="str">
        <f>IF(G112=G100,"OK","CHECK")</f>
        <v>OK</v>
      </c>
    </row>
    <row r="114" spans="3:7" x14ac:dyDescent="0.35">
      <c r="C114" s="25" t="s">
        <v>349</v>
      </c>
      <c r="G114" s="15">
        <f>COUNTA(A5:A99)</f>
        <v>95</v>
      </c>
    </row>
    <row r="115" spans="3:7" x14ac:dyDescent="0.35">
      <c r="C115" s="25" t="s">
        <v>350</v>
      </c>
      <c r="G115" s="15">
        <f>SUMPRODUCT((E5:E99&lt;&gt;E6:E100)*1)</f>
        <v>28</v>
      </c>
    </row>
    <row r="116" spans="3:7" x14ac:dyDescent="0.35">
      <c r="C116" s="25" t="s">
        <v>351</v>
      </c>
      <c r="G116" s="15" t="str">
        <f>IF(K40=DATE(2027,1,22),"OK","CHECK")</f>
        <v>OK</v>
      </c>
    </row>
    <row r="117" spans="3:7" x14ac:dyDescent="0.35">
      <c r="C117" s="25" t="s">
        <v>352</v>
      </c>
      <c r="G117" s="15" t="str">
        <f>IF(K41=DATE(2027,2,19),"OK","CHECK")</f>
        <v>OK</v>
      </c>
    </row>
  </sheetData>
  <autoFilter ref="A4:K99" xr:uid="{00000000-0009-0000-0000-000002000000}"/>
  <conditionalFormatting sqref="G116:G117">
    <cfRule type="cellIs" dxfId="33" priority="5" operator="equal">
      <formula>"OK"</formula>
    </cfRule>
    <cfRule type="cellIs" dxfId="32" priority="6" operator="equal">
      <formula>"CHECK"</formula>
    </cfRule>
  </conditionalFormatting>
  <conditionalFormatting sqref="I100">
    <cfRule type="cellIs" dxfId="31" priority="3" operator="equal">
      <formula>"OK"</formula>
    </cfRule>
    <cfRule type="cellIs" dxfId="30" priority="4" operator="equal">
      <formula>"CHECK"</formula>
    </cfRule>
  </conditionalFormatting>
  <conditionalFormatting sqref="J104:J112">
    <cfRule type="cellIs" dxfId="29" priority="1" operator="equal">
      <formula>"OK"</formula>
    </cfRule>
    <cfRule type="cellIs" dxfId="28" priority="2" operator="equal">
      <formula>"CHECK"</formula>
    </cfRule>
  </conditionalFormatting>
  <printOptions horizontalCentered="1"/>
  <pageMargins left="0.4" right="0.4"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50"/>
  <sheetViews>
    <sheetView workbookViewId="0">
      <pane xSplit="5" ySplit="4" topLeftCell="N41" activePane="bottomRight" state="frozen"/>
      <selection pane="topRight"/>
      <selection pane="bottomLeft"/>
      <selection pane="bottomRight" activeCell="G5" sqref="G5"/>
    </sheetView>
  </sheetViews>
  <sheetFormatPr defaultRowHeight="14.5" x14ac:dyDescent="0.35"/>
  <cols>
    <col min="1" max="1" width="6" customWidth="1"/>
    <col min="2" max="2" width="34" customWidth="1"/>
    <col min="3" max="5" width="7" customWidth="1"/>
    <col min="6" max="31" width="5.453125" customWidth="1"/>
  </cols>
  <sheetData>
    <row r="1" spans="1:31" ht="17" customHeight="1" x14ac:dyDescent="0.4">
      <c r="A1" s="1" t="s">
        <v>353</v>
      </c>
    </row>
    <row r="2" spans="1:31" x14ac:dyDescent="0.35">
      <c r="A2" t="s">
        <v>354</v>
      </c>
    </row>
    <row r="3" spans="1:31" ht="42" customHeight="1" x14ac:dyDescent="0.35">
      <c r="F3" s="8">
        <f>DATE(2026,10,5)+0*7</f>
        <v>46300</v>
      </c>
      <c r="G3" s="8">
        <f>DATE(2026,10,5)+1*7</f>
        <v>46307</v>
      </c>
      <c r="H3" s="8">
        <f>DATE(2026,10,5)+2*7</f>
        <v>46314</v>
      </c>
      <c r="I3" s="8">
        <f>DATE(2026,10,5)+3*7</f>
        <v>46321</v>
      </c>
      <c r="J3" s="8">
        <f>DATE(2026,10,5)+4*7</f>
        <v>46328</v>
      </c>
      <c r="K3" s="8">
        <f>DATE(2026,10,5)+5*7</f>
        <v>46335</v>
      </c>
      <c r="L3" s="8">
        <f>DATE(2026,10,5)+6*7</f>
        <v>46342</v>
      </c>
      <c r="M3" s="8">
        <f>DATE(2026,10,5)+7*7</f>
        <v>46349</v>
      </c>
      <c r="N3" s="8">
        <f>DATE(2026,10,5)+8*7</f>
        <v>46356</v>
      </c>
      <c r="O3" s="8">
        <f>DATE(2026,10,5)+9*7</f>
        <v>46363</v>
      </c>
      <c r="P3" s="8">
        <f>DATE(2026,10,5)+10*7</f>
        <v>46370</v>
      </c>
      <c r="Q3" s="8">
        <f>DATE(2026,10,5)+11*7</f>
        <v>46377</v>
      </c>
      <c r="R3" s="8">
        <f>DATE(2026,10,5)+12*7</f>
        <v>46384</v>
      </c>
      <c r="S3" s="8">
        <f>DATE(2026,10,5)+13*7</f>
        <v>46391</v>
      </c>
      <c r="T3" s="8">
        <f>DATE(2026,10,5)+14*7</f>
        <v>46398</v>
      </c>
      <c r="U3" s="8">
        <f>DATE(2026,10,5)+15*7</f>
        <v>46405</v>
      </c>
      <c r="V3" s="8">
        <f>DATE(2026,10,5)+16*7</f>
        <v>46412</v>
      </c>
      <c r="W3" s="8">
        <f>DATE(2026,10,5)+17*7</f>
        <v>46419</v>
      </c>
      <c r="X3" s="8">
        <f>DATE(2026,10,5)+18*7</f>
        <v>46426</v>
      </c>
      <c r="Y3" s="8">
        <f>DATE(2026,10,5)+19*7</f>
        <v>46433</v>
      </c>
      <c r="Z3" s="8">
        <f>DATE(2026,10,5)+20*7</f>
        <v>46440</v>
      </c>
      <c r="AA3" s="8">
        <f>DATE(2026,10,5)+21*7</f>
        <v>46447</v>
      </c>
      <c r="AB3" s="8">
        <f>DATE(2026,10,5)+22*7</f>
        <v>46454</v>
      </c>
      <c r="AC3" s="8">
        <f>DATE(2026,10,5)+23*7</f>
        <v>46461</v>
      </c>
      <c r="AD3" s="8">
        <f>DATE(2026,10,5)+24*7</f>
        <v>46468</v>
      </c>
      <c r="AE3" s="8">
        <f>DATE(2026,10,5)+25*7</f>
        <v>46475</v>
      </c>
    </row>
    <row r="4" spans="1:31" ht="29" customHeight="1" x14ac:dyDescent="0.35">
      <c r="A4" s="2" t="s">
        <v>355</v>
      </c>
      <c r="B4" s="2" t="s">
        <v>356</v>
      </c>
      <c r="C4" s="2" t="s">
        <v>357</v>
      </c>
      <c r="D4" s="2" t="s">
        <v>358</v>
      </c>
      <c r="E4" s="2" t="s">
        <v>359</v>
      </c>
      <c r="F4" s="49" t="s">
        <v>360</v>
      </c>
      <c r="G4" s="49" t="s">
        <v>361</v>
      </c>
      <c r="H4" s="49" t="s">
        <v>362</v>
      </c>
      <c r="I4" s="49" t="s">
        <v>363</v>
      </c>
      <c r="J4" s="49" t="s">
        <v>364</v>
      </c>
      <c r="K4" s="49" t="s">
        <v>365</v>
      </c>
      <c r="L4" s="49" t="s">
        <v>366</v>
      </c>
      <c r="M4" s="49" t="s">
        <v>367</v>
      </c>
      <c r="N4" s="49" t="s">
        <v>368</v>
      </c>
      <c r="O4" s="49" t="s">
        <v>369</v>
      </c>
      <c r="P4" s="49" t="s">
        <v>370</v>
      </c>
      <c r="Q4" s="49" t="s">
        <v>371</v>
      </c>
      <c r="R4" s="49" t="s">
        <v>372</v>
      </c>
      <c r="S4" s="49" t="s">
        <v>373</v>
      </c>
      <c r="T4" s="49" t="s">
        <v>374</v>
      </c>
      <c r="U4" s="49" t="s">
        <v>375</v>
      </c>
      <c r="V4" s="49" t="s">
        <v>376</v>
      </c>
      <c r="W4" s="49" t="s">
        <v>377</v>
      </c>
      <c r="X4" s="49" t="s">
        <v>378</v>
      </c>
      <c r="Y4" s="49" t="s">
        <v>379</v>
      </c>
      <c r="Z4" s="49" t="s">
        <v>380</v>
      </c>
      <c r="AA4" s="49" t="s">
        <v>381</v>
      </c>
      <c r="AB4" s="49" t="s">
        <v>382</v>
      </c>
      <c r="AC4" s="49" t="s">
        <v>383</v>
      </c>
      <c r="AD4" s="49" t="s">
        <v>384</v>
      </c>
      <c r="AE4" s="49" t="s">
        <v>385</v>
      </c>
    </row>
    <row r="5" spans="1:31" x14ac:dyDescent="0.35">
      <c r="A5" s="9" t="s">
        <v>386</v>
      </c>
      <c r="B5" s="9" t="s">
        <v>387</v>
      </c>
      <c r="C5" s="42">
        <v>1</v>
      </c>
      <c r="D5" s="42">
        <v>3</v>
      </c>
      <c r="E5" s="6">
        <v>1</v>
      </c>
      <c r="F5" s="6"/>
      <c r="G5" s="6"/>
      <c r="H5" s="6"/>
      <c r="I5" s="6"/>
      <c r="J5" s="6"/>
      <c r="K5" s="6"/>
      <c r="L5" s="6"/>
      <c r="M5" s="6"/>
      <c r="N5" s="6"/>
      <c r="O5" s="6"/>
      <c r="P5" s="6"/>
      <c r="Q5" s="6"/>
      <c r="R5" s="6"/>
      <c r="S5" s="6"/>
      <c r="T5" s="6"/>
      <c r="U5" s="6"/>
      <c r="V5" s="6"/>
      <c r="W5" s="6"/>
      <c r="X5" s="6"/>
      <c r="Y5" s="6"/>
      <c r="Z5" s="6"/>
      <c r="AA5" s="6"/>
      <c r="AB5" s="6"/>
      <c r="AC5" s="6"/>
      <c r="AD5" s="6"/>
      <c r="AE5" s="6"/>
    </row>
    <row r="6" spans="1:31" x14ac:dyDescent="0.35">
      <c r="A6" s="6" t="s">
        <v>388</v>
      </c>
      <c r="B6" s="6" t="s">
        <v>389</v>
      </c>
      <c r="C6" s="42">
        <v>1</v>
      </c>
      <c r="D6" s="42">
        <v>2</v>
      </c>
      <c r="E6" s="6">
        <v>1</v>
      </c>
      <c r="F6" s="6"/>
      <c r="G6" s="6"/>
      <c r="H6" s="6"/>
      <c r="I6" s="6"/>
      <c r="J6" s="6"/>
      <c r="K6" s="6"/>
      <c r="L6" s="6"/>
      <c r="M6" s="6"/>
      <c r="N6" s="6"/>
      <c r="O6" s="6"/>
      <c r="P6" s="6"/>
      <c r="Q6" s="6"/>
      <c r="R6" s="6"/>
      <c r="S6" s="6"/>
      <c r="T6" s="6"/>
      <c r="U6" s="6"/>
      <c r="V6" s="6"/>
      <c r="W6" s="6"/>
      <c r="X6" s="6"/>
      <c r="Y6" s="6"/>
      <c r="Z6" s="6"/>
      <c r="AA6" s="6"/>
      <c r="AB6" s="6"/>
      <c r="AC6" s="6"/>
      <c r="AD6" s="6"/>
      <c r="AE6" s="6"/>
    </row>
    <row r="7" spans="1:31" x14ac:dyDescent="0.35">
      <c r="A7" s="6" t="s">
        <v>390</v>
      </c>
      <c r="B7" s="6" t="s">
        <v>391</v>
      </c>
      <c r="C7" s="42">
        <v>1</v>
      </c>
      <c r="D7" s="42">
        <v>3</v>
      </c>
      <c r="E7" s="6">
        <v>1</v>
      </c>
      <c r="F7" s="6"/>
      <c r="G7" s="6"/>
      <c r="H7" s="6"/>
      <c r="I7" s="6"/>
      <c r="J7" s="6"/>
      <c r="K7" s="6"/>
      <c r="L7" s="6"/>
      <c r="M7" s="6"/>
      <c r="N7" s="6"/>
      <c r="O7" s="6"/>
      <c r="P7" s="6"/>
      <c r="Q7" s="6"/>
      <c r="R7" s="6"/>
      <c r="S7" s="6"/>
      <c r="T7" s="6"/>
      <c r="U7" s="6"/>
      <c r="V7" s="6"/>
      <c r="W7" s="6"/>
      <c r="X7" s="6"/>
      <c r="Y7" s="6"/>
      <c r="Z7" s="6"/>
      <c r="AA7" s="6"/>
      <c r="AB7" s="6"/>
      <c r="AC7" s="6"/>
      <c r="AD7" s="6"/>
      <c r="AE7" s="6"/>
    </row>
    <row r="8" spans="1:31" x14ac:dyDescent="0.35">
      <c r="A8" s="6" t="s">
        <v>392</v>
      </c>
      <c r="B8" s="6" t="s">
        <v>393</v>
      </c>
      <c r="C8" s="42">
        <v>1</v>
      </c>
      <c r="D8" s="42">
        <v>2</v>
      </c>
      <c r="E8" s="6">
        <v>0</v>
      </c>
      <c r="F8" s="6"/>
      <c r="G8" s="6"/>
      <c r="H8" s="6"/>
      <c r="I8" s="6"/>
      <c r="J8" s="6"/>
      <c r="K8" s="6"/>
      <c r="L8" s="6"/>
      <c r="M8" s="6"/>
      <c r="N8" s="6"/>
      <c r="O8" s="6"/>
      <c r="P8" s="6"/>
      <c r="Q8" s="6"/>
      <c r="R8" s="6"/>
      <c r="S8" s="6"/>
      <c r="T8" s="6"/>
      <c r="U8" s="6"/>
      <c r="V8" s="6"/>
      <c r="W8" s="6"/>
      <c r="X8" s="6"/>
      <c r="Y8" s="6"/>
      <c r="Z8" s="6"/>
      <c r="AA8" s="6"/>
      <c r="AB8" s="6"/>
      <c r="AC8" s="6"/>
      <c r="AD8" s="6"/>
      <c r="AE8" s="6"/>
    </row>
    <row r="9" spans="1:31" x14ac:dyDescent="0.35">
      <c r="A9" s="9" t="s">
        <v>394</v>
      </c>
      <c r="B9" s="9" t="s">
        <v>395</v>
      </c>
      <c r="C9" s="42">
        <v>3</v>
      </c>
      <c r="D9" s="42">
        <v>6</v>
      </c>
      <c r="E9" s="6">
        <v>1</v>
      </c>
      <c r="F9" s="6"/>
      <c r="G9" s="6"/>
      <c r="H9" s="6"/>
      <c r="I9" s="6"/>
      <c r="J9" s="6"/>
      <c r="K9" s="6"/>
      <c r="L9" s="6"/>
      <c r="M9" s="6"/>
      <c r="N9" s="6"/>
      <c r="O9" s="6"/>
      <c r="P9" s="6"/>
      <c r="Q9" s="6"/>
      <c r="R9" s="6"/>
      <c r="S9" s="6"/>
      <c r="T9" s="6"/>
      <c r="U9" s="6"/>
      <c r="V9" s="6"/>
      <c r="W9" s="6"/>
      <c r="X9" s="6"/>
      <c r="Y9" s="6"/>
      <c r="Z9" s="6"/>
      <c r="AA9" s="6"/>
      <c r="AB9" s="6"/>
      <c r="AC9" s="6"/>
      <c r="AD9" s="6"/>
      <c r="AE9" s="6"/>
    </row>
    <row r="10" spans="1:31" x14ac:dyDescent="0.35">
      <c r="A10" s="6" t="s">
        <v>396</v>
      </c>
      <c r="B10" s="6" t="s">
        <v>397</v>
      </c>
      <c r="C10" s="42">
        <v>3</v>
      </c>
      <c r="D10" s="42">
        <v>5</v>
      </c>
      <c r="E10" s="6">
        <v>1</v>
      </c>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1:31" x14ac:dyDescent="0.35">
      <c r="A11" s="6" t="s">
        <v>398</v>
      </c>
      <c r="B11" s="6" t="s">
        <v>399</v>
      </c>
      <c r="C11" s="42">
        <v>3</v>
      </c>
      <c r="D11" s="42">
        <v>6</v>
      </c>
      <c r="E11" s="6">
        <v>1</v>
      </c>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35">
      <c r="A12" s="6" t="s">
        <v>400</v>
      </c>
      <c r="B12" s="6" t="s">
        <v>401</v>
      </c>
      <c r="C12" s="42">
        <v>3</v>
      </c>
      <c r="D12" s="42">
        <v>5</v>
      </c>
      <c r="E12" s="6">
        <v>1</v>
      </c>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35">
      <c r="A13" s="6" t="s">
        <v>402</v>
      </c>
      <c r="B13" s="6" t="s">
        <v>403</v>
      </c>
      <c r="C13" s="42">
        <v>5</v>
      </c>
      <c r="D13" s="42">
        <v>6</v>
      </c>
      <c r="E13" s="6">
        <v>1</v>
      </c>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35">
      <c r="A14" s="9" t="s">
        <v>404</v>
      </c>
      <c r="B14" s="9" t="s">
        <v>405</v>
      </c>
      <c r="C14" s="42">
        <v>6</v>
      </c>
      <c r="D14" s="42">
        <v>9</v>
      </c>
      <c r="E14" s="6">
        <v>1</v>
      </c>
      <c r="F14" s="6"/>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35">
      <c r="A15" s="6" t="s">
        <v>406</v>
      </c>
      <c r="B15" s="6" t="s">
        <v>407</v>
      </c>
      <c r="C15" s="42">
        <v>6</v>
      </c>
      <c r="D15" s="42">
        <v>8</v>
      </c>
      <c r="E15" s="6">
        <v>1</v>
      </c>
      <c r="F15" s="6"/>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35">
      <c r="A16" s="6" t="s">
        <v>408</v>
      </c>
      <c r="B16" s="6" t="s">
        <v>409</v>
      </c>
      <c r="C16" s="42">
        <v>7</v>
      </c>
      <c r="D16" s="42">
        <v>9</v>
      </c>
      <c r="E16" s="6">
        <v>1</v>
      </c>
      <c r="F16" s="6"/>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35">
      <c r="A17" s="6" t="s">
        <v>410</v>
      </c>
      <c r="B17" s="6" t="s">
        <v>411</v>
      </c>
      <c r="C17" s="42">
        <v>9</v>
      </c>
      <c r="D17" s="42">
        <v>9</v>
      </c>
      <c r="E17" s="6">
        <v>1</v>
      </c>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35">
      <c r="A18" s="9" t="s">
        <v>412</v>
      </c>
      <c r="B18" s="9" t="s">
        <v>413</v>
      </c>
      <c r="C18" s="42">
        <v>9</v>
      </c>
      <c r="D18" s="42">
        <v>20</v>
      </c>
      <c r="E18" s="6">
        <v>1</v>
      </c>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35">
      <c r="A19" s="6" t="s">
        <v>414</v>
      </c>
      <c r="B19" s="6" t="s">
        <v>415</v>
      </c>
      <c r="C19" s="42">
        <v>9</v>
      </c>
      <c r="D19" s="42">
        <v>20</v>
      </c>
      <c r="E19" s="6">
        <v>1</v>
      </c>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35">
      <c r="A20" s="6" t="s">
        <v>416</v>
      </c>
      <c r="B20" s="6" t="s">
        <v>417</v>
      </c>
      <c r="C20" s="42">
        <v>9</v>
      </c>
      <c r="D20" s="42">
        <v>19</v>
      </c>
      <c r="E20" s="6">
        <v>0</v>
      </c>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1:31" x14ac:dyDescent="0.35">
      <c r="A21" s="6" t="s">
        <v>418</v>
      </c>
      <c r="B21" s="6" t="s">
        <v>419</v>
      </c>
      <c r="C21" s="42">
        <v>9</v>
      </c>
      <c r="D21" s="42">
        <v>12</v>
      </c>
      <c r="E21" s="6">
        <v>0</v>
      </c>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35">
      <c r="A22" s="6" t="s">
        <v>420</v>
      </c>
      <c r="B22" s="6" t="s">
        <v>421</v>
      </c>
      <c r="C22" s="42">
        <v>12</v>
      </c>
      <c r="D22" s="42">
        <v>19</v>
      </c>
      <c r="E22" s="6">
        <v>0</v>
      </c>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35">
      <c r="A23" s="9" t="s">
        <v>422</v>
      </c>
      <c r="B23" s="9" t="s">
        <v>423</v>
      </c>
      <c r="C23" s="42">
        <v>15</v>
      </c>
      <c r="D23" s="42">
        <v>22</v>
      </c>
      <c r="E23" s="6">
        <v>1</v>
      </c>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35">
      <c r="A24" s="6" t="s">
        <v>424</v>
      </c>
      <c r="B24" s="6" t="s">
        <v>425</v>
      </c>
      <c r="C24" s="42">
        <v>16</v>
      </c>
      <c r="D24" s="42">
        <v>19</v>
      </c>
      <c r="E24" s="6">
        <v>0</v>
      </c>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35">
      <c r="A25" s="6" t="s">
        <v>426</v>
      </c>
      <c r="B25" s="6" t="s">
        <v>427</v>
      </c>
      <c r="C25" s="42">
        <v>15</v>
      </c>
      <c r="D25" s="42">
        <v>21</v>
      </c>
      <c r="E25" s="6">
        <v>0</v>
      </c>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35">
      <c r="A26" s="6" t="s">
        <v>428</v>
      </c>
      <c r="B26" s="6" t="s">
        <v>429</v>
      </c>
      <c r="C26" s="42">
        <v>20</v>
      </c>
      <c r="D26" s="42">
        <v>21</v>
      </c>
      <c r="E26" s="6">
        <v>0</v>
      </c>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35">
      <c r="A27" s="6" t="s">
        <v>430</v>
      </c>
      <c r="B27" s="6" t="s">
        <v>431</v>
      </c>
      <c r="C27" s="42">
        <v>21</v>
      </c>
      <c r="D27" s="42">
        <v>22</v>
      </c>
      <c r="E27" s="6">
        <v>1</v>
      </c>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35">
      <c r="A28" s="9" t="s">
        <v>432</v>
      </c>
      <c r="B28" s="9" t="s">
        <v>433</v>
      </c>
      <c r="C28" s="42">
        <v>23</v>
      </c>
      <c r="D28" s="42">
        <v>23</v>
      </c>
      <c r="E28" s="6">
        <v>1</v>
      </c>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1:31" x14ac:dyDescent="0.35">
      <c r="A29" s="6" t="s">
        <v>434</v>
      </c>
      <c r="B29" s="6" t="s">
        <v>435</v>
      </c>
      <c r="C29" s="42">
        <v>20</v>
      </c>
      <c r="D29" s="42">
        <v>23</v>
      </c>
      <c r="E29" s="6">
        <v>1</v>
      </c>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5">
      <c r="A30" s="6" t="s">
        <v>436</v>
      </c>
      <c r="B30" s="6" t="s">
        <v>437</v>
      </c>
      <c r="C30" s="42">
        <v>23</v>
      </c>
      <c r="D30" s="42">
        <v>23</v>
      </c>
      <c r="E30" s="6">
        <v>1</v>
      </c>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1:31" x14ac:dyDescent="0.35">
      <c r="A31" s="6" t="s">
        <v>438</v>
      </c>
      <c r="B31" s="6" t="s">
        <v>439</v>
      </c>
      <c r="C31" s="42">
        <v>23</v>
      </c>
      <c r="D31" s="42">
        <v>23</v>
      </c>
      <c r="E31" s="6">
        <v>1</v>
      </c>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1:31" x14ac:dyDescent="0.35">
      <c r="A32" s="9" t="s">
        <v>440</v>
      </c>
      <c r="B32" s="9" t="s">
        <v>441</v>
      </c>
      <c r="C32" s="42">
        <v>24</v>
      </c>
      <c r="D32" s="42">
        <v>26</v>
      </c>
      <c r="E32" s="6">
        <v>1</v>
      </c>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1:31" x14ac:dyDescent="0.35">
      <c r="A33" s="6" t="s">
        <v>442</v>
      </c>
      <c r="B33" s="6" t="s">
        <v>443</v>
      </c>
      <c r="C33" s="42">
        <v>24</v>
      </c>
      <c r="D33" s="42">
        <v>26</v>
      </c>
      <c r="E33" s="6">
        <v>1</v>
      </c>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1:31" x14ac:dyDescent="0.35">
      <c r="A34" s="6" t="s">
        <v>444</v>
      </c>
      <c r="B34" s="6" t="s">
        <v>445</v>
      </c>
      <c r="C34" s="42">
        <v>24</v>
      </c>
      <c r="D34" s="42">
        <v>26</v>
      </c>
      <c r="E34" s="6">
        <v>1</v>
      </c>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1:31" x14ac:dyDescent="0.35">
      <c r="A35" s="6" t="s">
        <v>446</v>
      </c>
      <c r="B35" s="6" t="s">
        <v>447</v>
      </c>
      <c r="C35" s="42">
        <v>26</v>
      </c>
      <c r="D35" s="42">
        <v>26</v>
      </c>
      <c r="E35" s="6">
        <v>1</v>
      </c>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1:31" x14ac:dyDescent="0.35">
      <c r="A36" s="9" t="s">
        <v>448</v>
      </c>
      <c r="B36" s="9" t="s">
        <v>449</v>
      </c>
      <c r="C36" s="42">
        <v>1</v>
      </c>
      <c r="D36" s="42">
        <v>26</v>
      </c>
      <c r="E36" s="6">
        <v>0</v>
      </c>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35">
      <c r="A37" s="6" t="s">
        <v>450</v>
      </c>
      <c r="B37" s="6" t="s">
        <v>451</v>
      </c>
      <c r="C37" s="42">
        <v>1</v>
      </c>
      <c r="D37" s="42">
        <v>26</v>
      </c>
      <c r="E37" s="6">
        <v>0</v>
      </c>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35">
      <c r="A38" s="6" t="s">
        <v>452</v>
      </c>
      <c r="B38" s="6" t="s">
        <v>453</v>
      </c>
      <c r="C38" s="42">
        <v>1</v>
      </c>
      <c r="D38" s="42">
        <v>26</v>
      </c>
      <c r="E38" s="6">
        <v>0</v>
      </c>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35">
      <c r="A39" s="6" t="s">
        <v>454</v>
      </c>
      <c r="B39" s="6" t="s">
        <v>455</v>
      </c>
      <c r="C39" s="42">
        <v>1</v>
      </c>
      <c r="D39" s="42">
        <v>26</v>
      </c>
      <c r="E39" s="6">
        <v>0</v>
      </c>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35">
      <c r="A40" s="6" t="s">
        <v>456</v>
      </c>
      <c r="B40" s="6" t="s">
        <v>457</v>
      </c>
      <c r="C40" s="42">
        <v>1</v>
      </c>
      <c r="D40" s="42">
        <v>26</v>
      </c>
      <c r="E40" s="6">
        <v>0</v>
      </c>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35">
      <c r="A41" s="6" t="s">
        <v>458</v>
      </c>
      <c r="B41" s="6" t="s">
        <v>459</v>
      </c>
      <c r="C41" s="42">
        <v>3</v>
      </c>
      <c r="D41" s="42">
        <v>3</v>
      </c>
      <c r="E41" s="6" t="s">
        <v>460</v>
      </c>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x14ac:dyDescent="0.35">
      <c r="A42" s="6" t="s">
        <v>461</v>
      </c>
      <c r="B42" s="6" t="s">
        <v>462</v>
      </c>
      <c r="C42" s="42">
        <v>6</v>
      </c>
      <c r="D42" s="42">
        <v>6</v>
      </c>
      <c r="E42" s="6" t="s">
        <v>460</v>
      </c>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1:31" x14ac:dyDescent="0.35">
      <c r="A43" s="6" t="s">
        <v>463</v>
      </c>
      <c r="B43" s="6" t="s">
        <v>464</v>
      </c>
      <c r="C43" s="42">
        <v>9</v>
      </c>
      <c r="D43" s="42">
        <v>9</v>
      </c>
      <c r="E43" s="6" t="s">
        <v>460</v>
      </c>
      <c r="F43" s="6"/>
      <c r="G43" s="6"/>
      <c r="H43" s="6"/>
      <c r="I43" s="6"/>
      <c r="J43" s="6"/>
      <c r="K43" s="6"/>
      <c r="L43" s="6"/>
      <c r="M43" s="6"/>
      <c r="N43" s="6"/>
      <c r="O43" s="6"/>
      <c r="P43" s="6"/>
      <c r="Q43" s="6"/>
      <c r="R43" s="6"/>
      <c r="S43" s="6"/>
      <c r="T43" s="6"/>
      <c r="U43" s="6"/>
      <c r="V43" s="6"/>
      <c r="W43" s="6"/>
      <c r="X43" s="6"/>
      <c r="Y43" s="6"/>
      <c r="Z43" s="6"/>
      <c r="AA43" s="6"/>
      <c r="AB43" s="6"/>
      <c r="AC43" s="6"/>
      <c r="AD43" s="6"/>
      <c r="AE43" s="6"/>
    </row>
    <row r="44" spans="1:31" x14ac:dyDescent="0.35">
      <c r="A44" s="6" t="s">
        <v>465</v>
      </c>
      <c r="B44" s="6" t="s">
        <v>466</v>
      </c>
      <c r="C44" s="42">
        <v>16</v>
      </c>
      <c r="D44" s="42">
        <v>16</v>
      </c>
      <c r="E44" s="6" t="s">
        <v>460</v>
      </c>
      <c r="F44" s="6"/>
      <c r="G44" s="6"/>
      <c r="H44" s="6"/>
      <c r="I44" s="6"/>
      <c r="J44" s="6"/>
      <c r="K44" s="6"/>
      <c r="L44" s="6"/>
      <c r="M44" s="6"/>
      <c r="N44" s="6"/>
      <c r="O44" s="6"/>
      <c r="P44" s="6"/>
      <c r="Q44" s="6"/>
      <c r="R44" s="6"/>
      <c r="S44" s="6"/>
      <c r="T44" s="6"/>
      <c r="U44" s="6"/>
      <c r="V44" s="6"/>
      <c r="W44" s="6"/>
      <c r="X44" s="6"/>
      <c r="Y44" s="6"/>
      <c r="Z44" s="6"/>
      <c r="AA44" s="6"/>
      <c r="AB44" s="6"/>
      <c r="AC44" s="6"/>
      <c r="AD44" s="6"/>
      <c r="AE44" s="6"/>
    </row>
    <row r="45" spans="1:31" x14ac:dyDescent="0.35">
      <c r="A45" s="6" t="s">
        <v>467</v>
      </c>
      <c r="B45" s="6" t="s">
        <v>468</v>
      </c>
      <c r="C45" s="42">
        <v>20</v>
      </c>
      <c r="D45" s="42">
        <v>20</v>
      </c>
      <c r="E45" s="6" t="s">
        <v>460</v>
      </c>
      <c r="F45" s="6"/>
      <c r="G45" s="6"/>
      <c r="H45" s="6"/>
      <c r="I45" s="6"/>
      <c r="J45" s="6"/>
      <c r="K45" s="6"/>
      <c r="L45" s="6"/>
      <c r="M45" s="6"/>
      <c r="N45" s="6"/>
      <c r="O45" s="6"/>
      <c r="P45" s="6"/>
      <c r="Q45" s="6"/>
      <c r="R45" s="6"/>
      <c r="S45" s="6"/>
      <c r="T45" s="6"/>
      <c r="U45" s="6"/>
      <c r="V45" s="6"/>
      <c r="W45" s="6"/>
      <c r="X45" s="6"/>
      <c r="Y45" s="6"/>
      <c r="Z45" s="6"/>
      <c r="AA45" s="6"/>
      <c r="AB45" s="6"/>
      <c r="AC45" s="6"/>
      <c r="AD45" s="6"/>
      <c r="AE45" s="6"/>
    </row>
    <row r="46" spans="1:31" x14ac:dyDescent="0.35">
      <c r="A46" s="6" t="s">
        <v>469</v>
      </c>
      <c r="B46" s="6" t="s">
        <v>470</v>
      </c>
      <c r="C46" s="42">
        <v>22</v>
      </c>
      <c r="D46" s="42">
        <v>22</v>
      </c>
      <c r="E46" s="6" t="s">
        <v>460</v>
      </c>
      <c r="F46" s="6"/>
      <c r="G46" s="6"/>
      <c r="H46" s="6"/>
      <c r="I46" s="6"/>
      <c r="J46" s="6"/>
      <c r="K46" s="6"/>
      <c r="L46" s="6"/>
      <c r="M46" s="6"/>
      <c r="N46" s="6"/>
      <c r="O46" s="6"/>
      <c r="P46" s="6"/>
      <c r="Q46" s="6"/>
      <c r="R46" s="6"/>
      <c r="S46" s="6"/>
      <c r="T46" s="6"/>
      <c r="U46" s="6"/>
      <c r="V46" s="6"/>
      <c r="W46" s="6"/>
      <c r="X46" s="6"/>
      <c r="Y46" s="6"/>
      <c r="Z46" s="6"/>
      <c r="AA46" s="6"/>
      <c r="AB46" s="6"/>
      <c r="AC46" s="6"/>
      <c r="AD46" s="6"/>
      <c r="AE46" s="6"/>
    </row>
    <row r="47" spans="1:31" x14ac:dyDescent="0.35">
      <c r="A47" s="6" t="s">
        <v>471</v>
      </c>
      <c r="B47" s="6" t="s">
        <v>472</v>
      </c>
      <c r="C47" s="42">
        <v>23</v>
      </c>
      <c r="D47" s="42">
        <v>23</v>
      </c>
      <c r="E47" s="6" t="s">
        <v>460</v>
      </c>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35">
      <c r="A48" s="6" t="s">
        <v>473</v>
      </c>
      <c r="B48" s="6" t="s">
        <v>474</v>
      </c>
      <c r="C48" s="42">
        <v>26</v>
      </c>
      <c r="D48" s="42">
        <v>26</v>
      </c>
      <c r="E48" s="6" t="s">
        <v>460</v>
      </c>
      <c r="F48" s="6"/>
      <c r="G48" s="6"/>
      <c r="H48" s="6"/>
      <c r="I48" s="6"/>
      <c r="J48" s="6"/>
      <c r="K48" s="6"/>
      <c r="L48" s="6"/>
      <c r="M48" s="6"/>
      <c r="N48" s="6"/>
      <c r="O48" s="6"/>
      <c r="P48" s="6"/>
      <c r="Q48" s="6"/>
      <c r="R48" s="6"/>
      <c r="S48" s="6"/>
      <c r="T48" s="6"/>
      <c r="U48" s="6"/>
      <c r="V48" s="6"/>
      <c r="W48" s="6"/>
      <c r="X48" s="6"/>
      <c r="Y48" s="6"/>
      <c r="Z48" s="6"/>
      <c r="AA48" s="6"/>
      <c r="AB48" s="6"/>
      <c r="AC48" s="6"/>
      <c r="AD48" s="6"/>
      <c r="AE48" s="6"/>
    </row>
    <row r="50" spans="2:2" x14ac:dyDescent="0.35">
      <c r="B50" t="s">
        <v>475</v>
      </c>
    </row>
  </sheetData>
  <conditionalFormatting sqref="F5:AE48">
    <cfRule type="expression" dxfId="27" priority="1" stopIfTrue="1">
      <formula>AND($E5="M",COLUMN()-5=$C5)</formula>
    </cfRule>
    <cfRule type="expression" dxfId="26" priority="2" stopIfTrue="1">
      <formula>AND($E5=1,COLUMN()-5&gt;=$C5,COLUMN()-5&lt;=$D5)</formula>
    </cfRule>
    <cfRule type="expression" dxfId="25" priority="3" stopIfTrue="1">
      <formula>AND($E5&lt;&gt;"M",COLUMN()-5&gt;=$C5,COLUMN()-5&lt;=$D5)</formula>
    </cfRule>
  </conditionalFormatting>
  <printOptions horizontalCentered="1"/>
  <pageMargins left="0.4" right="0.4"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3"/>
  <sheetViews>
    <sheetView workbookViewId="0"/>
  </sheetViews>
  <sheetFormatPr defaultRowHeight="14.5" x14ac:dyDescent="0.35"/>
  <cols>
    <col min="1" max="1" width="44" customWidth="1"/>
    <col min="2" max="4" width="8" customWidth="1"/>
    <col min="5" max="5" width="16" customWidth="1"/>
    <col min="6" max="8" width="12" customWidth="1"/>
    <col min="9" max="9" width="46" customWidth="1"/>
  </cols>
  <sheetData>
    <row r="1" spans="1:8" ht="17" x14ac:dyDescent="0.4">
      <c r="A1" s="10" t="s">
        <v>476</v>
      </c>
    </row>
    <row r="2" spans="1:8" x14ac:dyDescent="0.35">
      <c r="A2" s="11" t="s">
        <v>477</v>
      </c>
    </row>
    <row r="4" spans="1:8" x14ac:dyDescent="0.35">
      <c r="A4" s="12" t="s">
        <v>478</v>
      </c>
      <c r="B4" s="12" t="s">
        <v>479</v>
      </c>
      <c r="C4" s="12" t="s">
        <v>480</v>
      </c>
      <c r="D4" s="12" t="s">
        <v>481</v>
      </c>
      <c r="E4" s="12" t="s">
        <v>482</v>
      </c>
      <c r="F4" s="12" t="s">
        <v>483</v>
      </c>
      <c r="G4" s="12" t="s">
        <v>484</v>
      </c>
      <c r="H4" s="12" t="s">
        <v>485</v>
      </c>
    </row>
    <row r="5" spans="1:8" x14ac:dyDescent="0.35">
      <c r="A5" s="22" t="s">
        <v>486</v>
      </c>
      <c r="B5" s="50">
        <v>1.5</v>
      </c>
      <c r="C5" s="50">
        <v>2</v>
      </c>
      <c r="D5" s="50">
        <v>2.5</v>
      </c>
      <c r="E5" s="38">
        <f t="shared" ref="E5:E12" si="0">(B5+4*C5+D5)/6</f>
        <v>2</v>
      </c>
      <c r="F5" s="38">
        <f t="shared" ref="F5:F12" si="1">(D5-B5)/6</f>
        <v>0.16666666666666666</v>
      </c>
      <c r="G5" s="51">
        <f t="shared" ref="G5:G12" si="2">F5^2</f>
        <v>2.7777777777777776E-2</v>
      </c>
      <c r="H5" s="15">
        <f t="shared" ref="H5:H12" si="3">ROUND(E5,0)</f>
        <v>2</v>
      </c>
    </row>
    <row r="6" spans="1:8" x14ac:dyDescent="0.35">
      <c r="A6" s="22" t="s">
        <v>487</v>
      </c>
      <c r="B6" s="50">
        <v>2.5</v>
      </c>
      <c r="C6" s="50">
        <v>3</v>
      </c>
      <c r="D6" s="50">
        <v>3.5</v>
      </c>
      <c r="E6" s="38">
        <f t="shared" si="0"/>
        <v>3</v>
      </c>
      <c r="F6" s="38">
        <f t="shared" si="1"/>
        <v>0.16666666666666666</v>
      </c>
      <c r="G6" s="51">
        <f t="shared" si="2"/>
        <v>2.7777777777777776E-2</v>
      </c>
      <c r="H6" s="15">
        <f t="shared" si="3"/>
        <v>3</v>
      </c>
    </row>
    <row r="7" spans="1:8" x14ac:dyDescent="0.35">
      <c r="A7" s="22" t="s">
        <v>488</v>
      </c>
      <c r="B7" s="50">
        <v>2</v>
      </c>
      <c r="C7" s="50">
        <v>3</v>
      </c>
      <c r="D7" s="50">
        <v>4</v>
      </c>
      <c r="E7" s="38">
        <f t="shared" si="0"/>
        <v>3</v>
      </c>
      <c r="F7" s="38">
        <f t="shared" si="1"/>
        <v>0.33333333333333331</v>
      </c>
      <c r="G7" s="51">
        <f t="shared" si="2"/>
        <v>0.1111111111111111</v>
      </c>
      <c r="H7" s="15">
        <f t="shared" si="3"/>
        <v>3</v>
      </c>
    </row>
    <row r="8" spans="1:8" x14ac:dyDescent="0.35">
      <c r="A8" s="22" t="s">
        <v>489</v>
      </c>
      <c r="B8" s="50">
        <v>7</v>
      </c>
      <c r="C8" s="50">
        <v>8</v>
      </c>
      <c r="D8" s="50">
        <v>9.5</v>
      </c>
      <c r="E8" s="38">
        <f t="shared" si="0"/>
        <v>8.0833333333333339</v>
      </c>
      <c r="F8" s="38">
        <f t="shared" si="1"/>
        <v>0.41666666666666669</v>
      </c>
      <c r="G8" s="51">
        <f t="shared" si="2"/>
        <v>0.17361111111111113</v>
      </c>
      <c r="H8" s="15">
        <f t="shared" si="3"/>
        <v>8</v>
      </c>
    </row>
    <row r="9" spans="1:8" x14ac:dyDescent="0.35">
      <c r="A9" s="22" t="s">
        <v>490</v>
      </c>
      <c r="B9" s="50">
        <v>3</v>
      </c>
      <c r="C9" s="50">
        <v>4</v>
      </c>
      <c r="D9" s="50">
        <v>5</v>
      </c>
      <c r="E9" s="38">
        <f t="shared" si="0"/>
        <v>4</v>
      </c>
      <c r="F9" s="38">
        <f t="shared" si="1"/>
        <v>0.33333333333333331</v>
      </c>
      <c r="G9" s="51">
        <f t="shared" si="2"/>
        <v>0.1111111111111111</v>
      </c>
      <c r="H9" s="15">
        <f t="shared" si="3"/>
        <v>4</v>
      </c>
    </row>
    <row r="10" spans="1:8" x14ac:dyDescent="0.35">
      <c r="A10" s="22" t="s">
        <v>491</v>
      </c>
      <c r="B10" s="50">
        <v>1.5</v>
      </c>
      <c r="C10" s="50">
        <v>2</v>
      </c>
      <c r="D10" s="50">
        <v>2.5</v>
      </c>
      <c r="E10" s="38">
        <f t="shared" si="0"/>
        <v>2</v>
      </c>
      <c r="F10" s="38">
        <f t="shared" si="1"/>
        <v>0.16666666666666666</v>
      </c>
      <c r="G10" s="51">
        <f t="shared" si="2"/>
        <v>2.7777777777777776E-2</v>
      </c>
      <c r="H10" s="15">
        <f t="shared" si="3"/>
        <v>2</v>
      </c>
    </row>
    <row r="11" spans="1:8" x14ac:dyDescent="0.35">
      <c r="A11" s="22" t="s">
        <v>492</v>
      </c>
      <c r="B11" s="50">
        <v>1</v>
      </c>
      <c r="C11" s="50">
        <v>1</v>
      </c>
      <c r="D11" s="50">
        <v>1</v>
      </c>
      <c r="E11" s="38">
        <f t="shared" si="0"/>
        <v>1</v>
      </c>
      <c r="F11" s="38">
        <f t="shared" si="1"/>
        <v>0</v>
      </c>
      <c r="G11" s="51">
        <f t="shared" si="2"/>
        <v>0</v>
      </c>
      <c r="H11" s="15">
        <f t="shared" si="3"/>
        <v>1</v>
      </c>
    </row>
    <row r="12" spans="1:8" x14ac:dyDescent="0.35">
      <c r="A12" s="22" t="s">
        <v>493</v>
      </c>
      <c r="B12" s="50">
        <v>3</v>
      </c>
      <c r="C12" s="50">
        <v>3</v>
      </c>
      <c r="D12" s="50">
        <v>3</v>
      </c>
      <c r="E12" s="38">
        <f t="shared" si="0"/>
        <v>3</v>
      </c>
      <c r="F12" s="38">
        <f t="shared" si="1"/>
        <v>0</v>
      </c>
      <c r="G12" s="51">
        <f t="shared" si="2"/>
        <v>0</v>
      </c>
      <c r="H12" s="15">
        <f t="shared" si="3"/>
        <v>3</v>
      </c>
    </row>
    <row r="13" spans="1:8" x14ac:dyDescent="0.35">
      <c r="A13" s="16" t="s">
        <v>494</v>
      </c>
      <c r="B13" s="17"/>
      <c r="C13" s="17"/>
      <c r="D13" s="17"/>
      <c r="E13" s="29">
        <f>SUM(E5:E12)</f>
        <v>26.083333333333336</v>
      </c>
      <c r="F13" s="29">
        <f>SQRT(G13)</f>
        <v>0.69221865524317294</v>
      </c>
      <c r="G13" s="52">
        <f>SUM(G5:G12)</f>
        <v>0.47916666666666669</v>
      </c>
      <c r="H13" s="18">
        <f>SUM(H5:H12)</f>
        <v>26</v>
      </c>
    </row>
    <row r="15" spans="1:8" x14ac:dyDescent="0.35">
      <c r="A15" s="25" t="s">
        <v>495</v>
      </c>
      <c r="E15" s="38">
        <f>SUM(E5:E11)</f>
        <v>23.083333333333336</v>
      </c>
    </row>
    <row r="16" spans="1:8" x14ac:dyDescent="0.35">
      <c r="A16" s="24" t="s">
        <v>496</v>
      </c>
      <c r="E16" s="53">
        <v>23</v>
      </c>
    </row>
    <row r="17" spans="1:9" x14ac:dyDescent="0.35">
      <c r="A17" s="24" t="s">
        <v>497</v>
      </c>
      <c r="E17" s="53">
        <v>24</v>
      </c>
    </row>
    <row r="18" spans="1:9" x14ac:dyDescent="0.35">
      <c r="A18" s="25" t="s">
        <v>498</v>
      </c>
      <c r="E18" s="38">
        <f>(E16-E15)/F13</f>
        <v>-0.12038585308577261</v>
      </c>
    </row>
    <row r="19" spans="1:9" x14ac:dyDescent="0.35">
      <c r="A19" s="25" t="s">
        <v>499</v>
      </c>
      <c r="E19" s="41">
        <f>NORMSDIST(E18)</f>
        <v>0.45208874874938682</v>
      </c>
    </row>
    <row r="20" spans="1:9" x14ac:dyDescent="0.35">
      <c r="A20" s="25" t="s">
        <v>500</v>
      </c>
      <c r="E20" s="38">
        <f>(E17-E15)/F13</f>
        <v>1.3242443839434577</v>
      </c>
    </row>
    <row r="21" spans="1:9" x14ac:dyDescent="0.35">
      <c r="A21" s="25" t="s">
        <v>501</v>
      </c>
      <c r="E21" s="41">
        <f>NORMSDIST(E20)</f>
        <v>0.90728905264701964</v>
      </c>
    </row>
    <row r="22" spans="1:9" x14ac:dyDescent="0.35">
      <c r="A22" s="25" t="s">
        <v>502</v>
      </c>
      <c r="E22" s="15" t="str">
        <f>IF(H13=26,"OK","CHECK")</f>
        <v>OK</v>
      </c>
    </row>
    <row r="25" spans="1:9" x14ac:dyDescent="0.35">
      <c r="A25" s="12" t="s">
        <v>503</v>
      </c>
      <c r="B25" s="12" t="s">
        <v>504</v>
      </c>
      <c r="C25" s="12" t="s">
        <v>505</v>
      </c>
      <c r="D25" s="12" t="s">
        <v>506</v>
      </c>
      <c r="E25" s="12" t="s">
        <v>507</v>
      </c>
      <c r="F25" s="12" t="s">
        <v>508</v>
      </c>
      <c r="G25" s="12" t="s">
        <v>509</v>
      </c>
      <c r="H25" s="12" t="s">
        <v>510</v>
      </c>
      <c r="I25" s="12" t="s">
        <v>511</v>
      </c>
    </row>
    <row r="26" spans="1:9" x14ac:dyDescent="0.35">
      <c r="A26" s="22" t="s">
        <v>209</v>
      </c>
      <c r="B26" s="27">
        <v>11</v>
      </c>
      <c r="C26" s="27">
        <v>8</v>
      </c>
      <c r="D26" s="15">
        <f t="shared" ref="D26:D31" si="4">C26+B26</f>
        <v>19</v>
      </c>
      <c r="E26" s="27">
        <v>9</v>
      </c>
      <c r="F26" s="15">
        <f t="shared" ref="F26:F31" si="5">E26+B26</f>
        <v>20</v>
      </c>
      <c r="G26" s="48">
        <f t="shared" ref="G26:G31" si="6">E26-C26</f>
        <v>1</v>
      </c>
      <c r="H26" s="27">
        <v>1</v>
      </c>
      <c r="I26" s="14" t="s">
        <v>512</v>
      </c>
    </row>
    <row r="27" spans="1:9" x14ac:dyDescent="0.35">
      <c r="A27" s="22" t="s">
        <v>220</v>
      </c>
      <c r="B27" s="27">
        <v>4</v>
      </c>
      <c r="C27" s="27">
        <v>8</v>
      </c>
      <c r="D27" s="15">
        <f t="shared" si="4"/>
        <v>12</v>
      </c>
      <c r="E27" s="27">
        <v>11</v>
      </c>
      <c r="F27" s="15">
        <f t="shared" si="5"/>
        <v>15</v>
      </c>
      <c r="G27" s="48">
        <f t="shared" si="6"/>
        <v>3</v>
      </c>
      <c r="H27" s="27">
        <v>2</v>
      </c>
      <c r="I27" s="14" t="s">
        <v>513</v>
      </c>
    </row>
    <row r="28" spans="1:9" x14ac:dyDescent="0.35">
      <c r="A28" s="22" t="s">
        <v>229</v>
      </c>
      <c r="B28" s="27">
        <v>8</v>
      </c>
      <c r="C28" s="27">
        <v>11</v>
      </c>
      <c r="D28" s="15">
        <f t="shared" si="4"/>
        <v>19</v>
      </c>
      <c r="E28" s="27">
        <v>12</v>
      </c>
      <c r="F28" s="15">
        <f t="shared" si="5"/>
        <v>20</v>
      </c>
      <c r="G28" s="48">
        <f t="shared" si="6"/>
        <v>1</v>
      </c>
      <c r="H28" s="27">
        <v>1</v>
      </c>
      <c r="I28" s="14" t="s">
        <v>514</v>
      </c>
    </row>
    <row r="29" spans="1:9" x14ac:dyDescent="0.35">
      <c r="A29" s="22" t="s">
        <v>515</v>
      </c>
      <c r="B29" s="27">
        <v>4</v>
      </c>
      <c r="C29" s="27">
        <v>15</v>
      </c>
      <c r="D29" s="15">
        <f t="shared" si="4"/>
        <v>19</v>
      </c>
      <c r="E29" s="27">
        <v>16</v>
      </c>
      <c r="F29" s="15">
        <f t="shared" si="5"/>
        <v>20</v>
      </c>
      <c r="G29" s="48">
        <f t="shared" si="6"/>
        <v>1</v>
      </c>
      <c r="H29" s="27">
        <v>0</v>
      </c>
      <c r="I29" s="14" t="s">
        <v>516</v>
      </c>
    </row>
    <row r="30" spans="1:9" x14ac:dyDescent="0.35">
      <c r="A30" s="22" t="s">
        <v>517</v>
      </c>
      <c r="B30" s="27">
        <v>7</v>
      </c>
      <c r="C30" s="27">
        <v>14</v>
      </c>
      <c r="D30" s="15">
        <f t="shared" si="4"/>
        <v>21</v>
      </c>
      <c r="E30" s="27">
        <v>15</v>
      </c>
      <c r="F30" s="15">
        <f t="shared" si="5"/>
        <v>22</v>
      </c>
      <c r="G30" s="48">
        <f t="shared" si="6"/>
        <v>1</v>
      </c>
      <c r="H30" s="27">
        <v>1</v>
      </c>
      <c r="I30" s="14" t="s">
        <v>518</v>
      </c>
    </row>
    <row r="31" spans="1:9" x14ac:dyDescent="0.35">
      <c r="A31" s="22" t="s">
        <v>257</v>
      </c>
      <c r="B31" s="27">
        <v>2</v>
      </c>
      <c r="C31" s="27">
        <v>19</v>
      </c>
      <c r="D31" s="15">
        <f t="shared" si="4"/>
        <v>21</v>
      </c>
      <c r="E31" s="27">
        <v>20</v>
      </c>
      <c r="F31" s="15">
        <f t="shared" si="5"/>
        <v>22</v>
      </c>
      <c r="G31" s="48">
        <f t="shared" si="6"/>
        <v>1</v>
      </c>
      <c r="H31" s="27">
        <v>1</v>
      </c>
      <c r="I31" s="14" t="s">
        <v>518</v>
      </c>
    </row>
    <row r="33" spans="1:1" x14ac:dyDescent="0.35">
      <c r="A33" s="11" t="s">
        <v>519</v>
      </c>
    </row>
  </sheetData>
  <conditionalFormatting sqref="E22">
    <cfRule type="cellIs" dxfId="24" priority="1" operator="equal">
      <formula>"OK"</formula>
    </cfRule>
    <cfRule type="cellIs" dxfId="23" priority="2" operator="equal">
      <formula>"CHECK"</formula>
    </cfRule>
  </conditionalFormatting>
  <printOptions horizontalCentered="1"/>
  <pageMargins left="0.4" right="0.4"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8"/>
  <sheetViews>
    <sheetView workbookViewId="0">
      <pane ySplit="6" topLeftCell="A7" activePane="bottomLeft" state="frozen"/>
      <selection pane="bottomLeft"/>
    </sheetView>
  </sheetViews>
  <sheetFormatPr defaultRowHeight="14.5" x14ac:dyDescent="0.35"/>
  <cols>
    <col min="1" max="1" width="36" customWidth="1"/>
    <col min="2" max="2" width="9" customWidth="1"/>
    <col min="3" max="3" width="12" customWidth="1"/>
    <col min="4" max="4" width="13" customWidth="1"/>
    <col min="5" max="5" width="12" customWidth="1"/>
    <col min="6" max="6" width="11" customWidth="1"/>
    <col min="7" max="7" width="14" customWidth="1"/>
    <col min="8" max="8" width="16" customWidth="1"/>
  </cols>
  <sheetData>
    <row r="1" spans="1:8" ht="17" x14ac:dyDescent="0.4">
      <c r="A1" s="10" t="s">
        <v>520</v>
      </c>
    </row>
    <row r="2" spans="1:8" x14ac:dyDescent="0.35">
      <c r="A2" s="11" t="s">
        <v>521</v>
      </c>
    </row>
    <row r="4" spans="1:8" x14ac:dyDescent="0.35">
      <c r="A4" s="54" t="s">
        <v>522</v>
      </c>
      <c r="B4" s="55">
        <v>960</v>
      </c>
      <c r="C4" s="11" t="s">
        <v>523</v>
      </c>
    </row>
    <row r="6" spans="1:8" ht="43.5" x14ac:dyDescent="0.35">
      <c r="A6" s="12" t="s">
        <v>524</v>
      </c>
      <c r="B6" s="12" t="s">
        <v>525</v>
      </c>
      <c r="C6" s="12" t="s">
        <v>526</v>
      </c>
      <c r="D6" s="12" t="s">
        <v>527</v>
      </c>
      <c r="E6" s="12" t="s">
        <v>528</v>
      </c>
      <c r="F6" s="12" t="s">
        <v>529</v>
      </c>
      <c r="G6" s="12" t="s">
        <v>530</v>
      </c>
      <c r="H6" s="12" t="s">
        <v>531</v>
      </c>
    </row>
    <row r="7" spans="1:8" x14ac:dyDescent="0.35">
      <c r="A7" s="22" t="s">
        <v>532</v>
      </c>
      <c r="B7" s="15" t="s">
        <v>113</v>
      </c>
      <c r="C7" s="22" t="s">
        <v>533</v>
      </c>
      <c r="D7" s="46">
        <v>960</v>
      </c>
      <c r="E7" s="56">
        <f t="shared" ref="E7:E15" si="0">D7/$B$4</f>
        <v>1</v>
      </c>
      <c r="F7" s="46">
        <v>750</v>
      </c>
      <c r="G7" s="57">
        <f t="shared" ref="G7:G15" si="1">D7*F7</f>
        <v>720000</v>
      </c>
      <c r="H7" s="58">
        <f>SUMIF(WBS!$F$5:$F$99,B7,WBS!$G$5:$G$99)</f>
        <v>850</v>
      </c>
    </row>
    <row r="8" spans="1:8" x14ac:dyDescent="0.35">
      <c r="A8" s="22" t="s">
        <v>534</v>
      </c>
      <c r="B8" s="15" t="s">
        <v>136</v>
      </c>
      <c r="C8" s="22" t="s">
        <v>533</v>
      </c>
      <c r="D8" s="46">
        <v>720</v>
      </c>
      <c r="E8" s="56">
        <f t="shared" si="0"/>
        <v>0.75</v>
      </c>
      <c r="F8" s="46">
        <v>950</v>
      </c>
      <c r="G8" s="57">
        <f t="shared" si="1"/>
        <v>684000</v>
      </c>
      <c r="H8" s="58">
        <f>SUMIF(WBS!$F$5:$F$99,B8,WBS!$G$5:$G$99)</f>
        <v>550</v>
      </c>
    </row>
    <row r="9" spans="1:8" x14ac:dyDescent="0.35">
      <c r="A9" s="22" t="s">
        <v>535</v>
      </c>
      <c r="B9" s="15" t="s">
        <v>126</v>
      </c>
      <c r="C9" s="22" t="s">
        <v>533</v>
      </c>
      <c r="D9" s="46">
        <v>920</v>
      </c>
      <c r="E9" s="56">
        <f t="shared" si="0"/>
        <v>0.95833333333333337</v>
      </c>
      <c r="F9" s="46">
        <v>700</v>
      </c>
      <c r="G9" s="57">
        <f t="shared" si="1"/>
        <v>644000</v>
      </c>
      <c r="H9" s="58">
        <f>SUMIF(WBS!$F$5:$F$99,B9,WBS!$G$5:$G$99)</f>
        <v>1100</v>
      </c>
    </row>
    <row r="10" spans="1:8" x14ac:dyDescent="0.35">
      <c r="A10" s="22" t="s">
        <v>536</v>
      </c>
      <c r="B10" s="15" t="s">
        <v>145</v>
      </c>
      <c r="C10" s="22" t="s">
        <v>533</v>
      </c>
      <c r="D10" s="46">
        <v>870</v>
      </c>
      <c r="E10" s="56">
        <f t="shared" si="0"/>
        <v>0.90625</v>
      </c>
      <c r="F10" s="46">
        <v>700</v>
      </c>
      <c r="G10" s="57">
        <f t="shared" si="1"/>
        <v>609000</v>
      </c>
      <c r="H10" s="58">
        <f>SUMIF(WBS!$F$5:$F$99,B10,WBS!$G$5:$G$99)</f>
        <v>1520</v>
      </c>
    </row>
    <row r="11" spans="1:8" x14ac:dyDescent="0.35">
      <c r="A11" s="22" t="s">
        <v>537</v>
      </c>
      <c r="B11" s="15" t="s">
        <v>139</v>
      </c>
      <c r="C11" s="22" t="s">
        <v>538</v>
      </c>
      <c r="D11" s="46">
        <v>760</v>
      </c>
      <c r="E11" s="56">
        <f t="shared" si="0"/>
        <v>0.79166666666666663</v>
      </c>
      <c r="F11" s="46">
        <v>650</v>
      </c>
      <c r="G11" s="57">
        <f t="shared" si="1"/>
        <v>494000</v>
      </c>
      <c r="H11" s="58">
        <f>SUMIF(WBS!$F$5:$F$99,B11,WBS!$G$5:$G$99)</f>
        <v>820</v>
      </c>
    </row>
    <row r="12" spans="1:8" x14ac:dyDescent="0.35">
      <c r="A12" s="22" t="s">
        <v>539</v>
      </c>
      <c r="B12" s="15" t="s">
        <v>230</v>
      </c>
      <c r="C12" s="22" t="s">
        <v>533</v>
      </c>
      <c r="D12" s="46">
        <v>570</v>
      </c>
      <c r="E12" s="56">
        <f t="shared" si="0"/>
        <v>0.59375</v>
      </c>
      <c r="F12" s="46">
        <v>650</v>
      </c>
      <c r="G12" s="57">
        <f t="shared" si="1"/>
        <v>370500</v>
      </c>
      <c r="H12" s="58">
        <f>SUMIF(WBS!$F$5:$F$99,B12,WBS!$G$5:$G$99)</f>
        <v>500</v>
      </c>
    </row>
    <row r="13" spans="1:8" x14ac:dyDescent="0.35">
      <c r="A13" s="22" t="s">
        <v>540</v>
      </c>
      <c r="B13" s="15" t="s">
        <v>148</v>
      </c>
      <c r="C13" s="22" t="s">
        <v>533</v>
      </c>
      <c r="D13" s="46">
        <v>710</v>
      </c>
      <c r="E13" s="56">
        <f t="shared" si="0"/>
        <v>0.73958333333333337</v>
      </c>
      <c r="F13" s="46">
        <v>800</v>
      </c>
      <c r="G13" s="57">
        <f t="shared" si="1"/>
        <v>568000</v>
      </c>
      <c r="H13" s="58">
        <f>SUMIF(WBS!$F$5:$F$99,B13,WBS!$G$5:$G$99)</f>
        <v>690</v>
      </c>
    </row>
    <row r="14" spans="1:8" x14ac:dyDescent="0.35">
      <c r="A14" s="22" t="s">
        <v>541</v>
      </c>
      <c r="B14" s="15" t="s">
        <v>241</v>
      </c>
      <c r="C14" s="22" t="s">
        <v>538</v>
      </c>
      <c r="D14" s="46">
        <v>650</v>
      </c>
      <c r="E14" s="56">
        <f t="shared" si="0"/>
        <v>0.67708333333333337</v>
      </c>
      <c r="F14" s="46">
        <v>550</v>
      </c>
      <c r="G14" s="57">
        <f t="shared" si="1"/>
        <v>357500</v>
      </c>
      <c r="H14" s="58">
        <f>SUMIF(WBS!$F$5:$F$99,B14,WBS!$G$5:$G$99)</f>
        <v>430</v>
      </c>
    </row>
    <row r="15" spans="1:8" x14ac:dyDescent="0.35">
      <c r="A15" s="22" t="s">
        <v>542</v>
      </c>
      <c r="B15" s="15" t="s">
        <v>116</v>
      </c>
      <c r="C15" s="22" t="s">
        <v>538</v>
      </c>
      <c r="D15" s="46">
        <v>720</v>
      </c>
      <c r="E15" s="56">
        <f t="shared" si="0"/>
        <v>0.75</v>
      </c>
      <c r="F15" s="46">
        <v>600</v>
      </c>
      <c r="G15" s="57">
        <f t="shared" si="1"/>
        <v>432000</v>
      </c>
      <c r="H15" s="58">
        <f>SUMIF(WBS!$F$5:$F$99,B15,WBS!$G$5:$G$99)</f>
        <v>420</v>
      </c>
    </row>
    <row r="16" spans="1:8" x14ac:dyDescent="0.35">
      <c r="A16" s="16" t="s">
        <v>543</v>
      </c>
      <c r="B16" s="17"/>
      <c r="C16" s="17"/>
      <c r="D16" s="31">
        <f>SUM(D7:D15)</f>
        <v>6880</v>
      </c>
      <c r="E16" s="47">
        <f>D16/(COUNTA(A7:A15)*$B$4)</f>
        <v>0.79629629629629628</v>
      </c>
      <c r="F16" s="31">
        <f>G16/D16</f>
        <v>709.15697674418607</v>
      </c>
      <c r="G16" s="31">
        <f>SUM(G7:G15)</f>
        <v>4879000</v>
      </c>
      <c r="H16" s="31">
        <f>SUM(H7:H15)</f>
        <v>6880</v>
      </c>
    </row>
    <row r="18" spans="1:8" x14ac:dyDescent="0.35">
      <c r="A18" s="25" t="s">
        <v>544</v>
      </c>
      <c r="D18" s="57">
        <f>COUNTA(A7:A15)*B4</f>
        <v>8640</v>
      </c>
    </row>
    <row r="19" spans="1:8" x14ac:dyDescent="0.35">
      <c r="A19" s="25" t="s">
        <v>545</v>
      </c>
      <c r="D19" s="45">
        <f>D16/D18</f>
        <v>0.79629629629629628</v>
      </c>
    </row>
    <row r="20" spans="1:8" x14ac:dyDescent="0.35">
      <c r="A20" s="25" t="s">
        <v>546</v>
      </c>
      <c r="G20" s="57">
        <f>SUMIF(C7:C15,"Contractor",G7:G15)</f>
        <v>3595500</v>
      </c>
    </row>
    <row r="21" spans="1:8" x14ac:dyDescent="0.35">
      <c r="A21" s="25" t="s">
        <v>547</v>
      </c>
      <c r="G21" s="57">
        <f>SUMIF(C7:C15,"Secondee",G7:G15)</f>
        <v>1283500</v>
      </c>
    </row>
    <row r="23" spans="1:8" x14ac:dyDescent="0.35">
      <c r="A23" s="25" t="s">
        <v>548</v>
      </c>
      <c r="G23" s="15" t="str">
        <f>IF(D16=WBS!G100,"OK","CHECK")</f>
        <v>OK</v>
      </c>
    </row>
    <row r="24" spans="1:8" x14ac:dyDescent="0.35">
      <c r="A24" s="25" t="s">
        <v>549</v>
      </c>
      <c r="G24" s="15" t="str">
        <f>IF(G16='Cash Flow'!H5,"OK","CHECK")</f>
        <v>OK</v>
      </c>
    </row>
    <row r="25" spans="1:8" x14ac:dyDescent="0.35">
      <c r="A25" s="25" t="s">
        <v>550</v>
      </c>
      <c r="G25" s="15" t="str">
        <f>IF(G20+G21=G16,"OK","CHECK")</f>
        <v>OK</v>
      </c>
    </row>
    <row r="27" spans="1:8" ht="30" customHeight="1" x14ac:dyDescent="0.35">
      <c r="A27" s="74" t="s">
        <v>551</v>
      </c>
      <c r="B27" s="75"/>
      <c r="C27" s="75"/>
      <c r="D27" s="75"/>
      <c r="E27" s="75"/>
      <c r="F27" s="75"/>
      <c r="G27" s="75"/>
      <c r="H27" s="75"/>
    </row>
    <row r="28" spans="1:8" x14ac:dyDescent="0.35">
      <c r="A28" s="75"/>
      <c r="B28" s="75"/>
      <c r="C28" s="75"/>
      <c r="D28" s="75"/>
      <c r="E28" s="75"/>
      <c r="F28" s="75"/>
      <c r="G28" s="75"/>
      <c r="H28" s="75"/>
    </row>
  </sheetData>
  <mergeCells count="1">
    <mergeCell ref="A27:H28"/>
  </mergeCells>
  <conditionalFormatting sqref="G23:G25">
    <cfRule type="cellIs" dxfId="22" priority="1" operator="equal">
      <formula>"OK"</formula>
    </cfRule>
    <cfRule type="cellIs" dxfId="21" priority="2" operator="equal">
      <formula>"CHECK"</formula>
    </cfRule>
  </conditionalFormatting>
  <printOptions horizontalCentered="1"/>
  <pageMargins left="0.4" right="0.4"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43"/>
  <sheetViews>
    <sheetView workbookViewId="0"/>
  </sheetViews>
  <sheetFormatPr defaultRowHeight="14.5" x14ac:dyDescent="0.35"/>
  <cols>
    <col min="1" max="1" width="6" customWidth="1"/>
    <col min="2" max="2" width="58" customWidth="1"/>
    <col min="3" max="3" width="15" customWidth="1"/>
    <col min="4" max="4" width="44" customWidth="1"/>
  </cols>
  <sheetData>
    <row r="1" spans="1:4" ht="17" x14ac:dyDescent="0.4">
      <c r="A1" s="10" t="s">
        <v>552</v>
      </c>
    </row>
    <row r="2" spans="1:4" x14ac:dyDescent="0.35">
      <c r="A2" s="11" t="s">
        <v>553</v>
      </c>
    </row>
    <row r="4" spans="1:4" x14ac:dyDescent="0.35">
      <c r="A4" s="12" t="s">
        <v>554</v>
      </c>
      <c r="B4" s="12" t="s">
        <v>555</v>
      </c>
      <c r="C4" s="12" t="s">
        <v>530</v>
      </c>
      <c r="D4" s="12" t="s">
        <v>556</v>
      </c>
    </row>
    <row r="5" spans="1:4" ht="29" x14ac:dyDescent="0.35">
      <c r="A5" s="15">
        <v>1</v>
      </c>
      <c r="B5" s="22" t="s">
        <v>557</v>
      </c>
      <c r="C5" s="46">
        <v>620000</v>
      </c>
      <c r="D5" s="14" t="s">
        <v>558</v>
      </c>
    </row>
    <row r="6" spans="1:4" x14ac:dyDescent="0.35">
      <c r="A6" s="15">
        <v>2</v>
      </c>
      <c r="B6" s="22" t="s">
        <v>559</v>
      </c>
      <c r="C6" s="46">
        <v>450000</v>
      </c>
      <c r="D6" s="14" t="s">
        <v>560</v>
      </c>
    </row>
    <row r="7" spans="1:4" ht="29" x14ac:dyDescent="0.35">
      <c r="A7" s="15">
        <v>3</v>
      </c>
      <c r="B7" s="22" t="s">
        <v>561</v>
      </c>
      <c r="C7" s="46">
        <v>180000</v>
      </c>
      <c r="D7" s="14" t="s">
        <v>562</v>
      </c>
    </row>
    <row r="8" spans="1:4" x14ac:dyDescent="0.35">
      <c r="A8" s="15">
        <v>4</v>
      </c>
      <c r="B8" s="22" t="s">
        <v>563</v>
      </c>
      <c r="C8" s="46">
        <v>140000</v>
      </c>
      <c r="D8" s="14" t="s">
        <v>564</v>
      </c>
    </row>
    <row r="9" spans="1:4" x14ac:dyDescent="0.35">
      <c r="A9" s="15">
        <v>5</v>
      </c>
      <c r="B9" s="22" t="s">
        <v>565</v>
      </c>
      <c r="C9" s="46">
        <v>95000</v>
      </c>
      <c r="D9" s="14" t="s">
        <v>566</v>
      </c>
    </row>
    <row r="10" spans="1:4" x14ac:dyDescent="0.35">
      <c r="A10" s="15">
        <v>6</v>
      </c>
      <c r="B10" s="22" t="s">
        <v>567</v>
      </c>
      <c r="C10" s="46">
        <v>220000</v>
      </c>
      <c r="D10" s="14" t="s">
        <v>568</v>
      </c>
    </row>
    <row r="11" spans="1:4" x14ac:dyDescent="0.35">
      <c r="A11" s="15">
        <v>7</v>
      </c>
      <c r="B11" s="22" t="s">
        <v>569</v>
      </c>
      <c r="C11" s="46">
        <v>160000</v>
      </c>
      <c r="D11" s="14" t="s">
        <v>570</v>
      </c>
    </row>
    <row r="12" spans="1:4" x14ac:dyDescent="0.35">
      <c r="A12" s="15">
        <v>8</v>
      </c>
      <c r="B12" s="22" t="s">
        <v>571</v>
      </c>
      <c r="C12" s="46">
        <v>120000</v>
      </c>
      <c r="D12" s="14" t="s">
        <v>572</v>
      </c>
    </row>
    <row r="13" spans="1:4" x14ac:dyDescent="0.35">
      <c r="A13" s="15">
        <v>9</v>
      </c>
      <c r="B13" s="22" t="s">
        <v>573</v>
      </c>
      <c r="C13" s="46">
        <v>60000</v>
      </c>
      <c r="D13" s="14" t="s">
        <v>574</v>
      </c>
    </row>
    <row r="14" spans="1:4" x14ac:dyDescent="0.35">
      <c r="A14" s="15">
        <v>10</v>
      </c>
      <c r="B14" s="22" t="s">
        <v>575</v>
      </c>
      <c r="C14" s="46">
        <v>90000</v>
      </c>
      <c r="D14" s="14" t="s">
        <v>576</v>
      </c>
    </row>
    <row r="15" spans="1:4" x14ac:dyDescent="0.35">
      <c r="A15" s="15">
        <v>11</v>
      </c>
      <c r="B15" s="22" t="s">
        <v>577</v>
      </c>
      <c r="C15" s="46">
        <v>50000</v>
      </c>
      <c r="D15" s="14" t="s">
        <v>578</v>
      </c>
    </row>
    <row r="16" spans="1:4" x14ac:dyDescent="0.35">
      <c r="A16" s="17"/>
      <c r="B16" s="16" t="s">
        <v>579</v>
      </c>
      <c r="C16" s="31">
        <f>SUM(C5:C15)</f>
        <v>2185000</v>
      </c>
      <c r="D16" s="17"/>
    </row>
    <row r="19" spans="1:4" x14ac:dyDescent="0.35">
      <c r="A19" s="12"/>
      <c r="B19" s="12" t="s">
        <v>580</v>
      </c>
      <c r="C19" s="12" t="s">
        <v>581</v>
      </c>
      <c r="D19" s="12" t="s">
        <v>582</v>
      </c>
    </row>
    <row r="20" spans="1:4" x14ac:dyDescent="0.35">
      <c r="A20" s="22"/>
      <c r="B20" s="22" t="s">
        <v>583</v>
      </c>
      <c r="C20" s="58">
        <f>Resources!G16</f>
        <v>4879000</v>
      </c>
      <c r="D20" s="45">
        <f>C20/$C$22</f>
        <v>0.69068516421291049</v>
      </c>
    </row>
    <row r="21" spans="1:4" x14ac:dyDescent="0.35">
      <c r="A21" s="22"/>
      <c r="B21" s="22" t="s">
        <v>584</v>
      </c>
      <c r="C21" s="57">
        <f>C16</f>
        <v>2185000</v>
      </c>
      <c r="D21" s="45">
        <f>C21/$C$22</f>
        <v>0.30931483578708946</v>
      </c>
    </row>
    <row r="22" spans="1:4" x14ac:dyDescent="0.35">
      <c r="A22" s="17"/>
      <c r="B22" s="16" t="s">
        <v>585</v>
      </c>
      <c r="C22" s="31">
        <f>C20+C21</f>
        <v>7064000</v>
      </c>
      <c r="D22" s="59">
        <f>C22/$C$22</f>
        <v>1</v>
      </c>
    </row>
    <row r="23" spans="1:4" x14ac:dyDescent="0.35">
      <c r="A23" s="22"/>
      <c r="B23" s="22" t="s">
        <v>586</v>
      </c>
      <c r="C23" s="57">
        <f>C22*'Cash Flow'!K5</f>
        <v>706400</v>
      </c>
      <c r="D23" s="45">
        <f>C23/$C$22</f>
        <v>0.1</v>
      </c>
    </row>
    <row r="24" spans="1:4" x14ac:dyDescent="0.35">
      <c r="A24" s="17"/>
      <c r="B24" s="16" t="s">
        <v>587</v>
      </c>
      <c r="C24" s="31">
        <f>C22+C23</f>
        <v>7770400</v>
      </c>
      <c r="D24" s="59"/>
    </row>
    <row r="25" spans="1:4" x14ac:dyDescent="0.35">
      <c r="A25" s="22"/>
      <c r="B25" s="22" t="s">
        <v>588</v>
      </c>
      <c r="C25" s="57">
        <f>C22*'Cash Flow'!K6</f>
        <v>353200</v>
      </c>
      <c r="D25" s="45">
        <f>C25/$C$22</f>
        <v>0.05</v>
      </c>
    </row>
    <row r="26" spans="1:4" x14ac:dyDescent="0.35">
      <c r="A26" s="17"/>
      <c r="B26" s="16" t="s">
        <v>589</v>
      </c>
      <c r="C26" s="31">
        <f>C24+C25</f>
        <v>8123600</v>
      </c>
      <c r="D26" s="59"/>
    </row>
    <row r="29" spans="1:4" x14ac:dyDescent="0.35">
      <c r="A29" s="12" t="s">
        <v>10</v>
      </c>
      <c r="B29" s="12" t="s">
        <v>590</v>
      </c>
      <c r="C29" s="12" t="s">
        <v>581</v>
      </c>
      <c r="D29" s="12" t="s">
        <v>582</v>
      </c>
    </row>
    <row r="30" spans="1:4" x14ac:dyDescent="0.35">
      <c r="A30" s="15" t="s">
        <v>386</v>
      </c>
      <c r="B30" s="22" t="s">
        <v>387</v>
      </c>
      <c r="C30" s="46">
        <v>330000</v>
      </c>
      <c r="D30" s="45">
        <f t="shared" ref="D30:D37" si="0">C30/$C$38</f>
        <v>4.6715741789354476E-2</v>
      </c>
    </row>
    <row r="31" spans="1:4" x14ac:dyDescent="0.35">
      <c r="A31" s="15" t="s">
        <v>394</v>
      </c>
      <c r="B31" s="22" t="s">
        <v>395</v>
      </c>
      <c r="C31" s="46">
        <v>520000</v>
      </c>
      <c r="D31" s="45">
        <f t="shared" si="0"/>
        <v>7.3612684031710077E-2</v>
      </c>
    </row>
    <row r="32" spans="1:4" x14ac:dyDescent="0.35">
      <c r="A32" s="15" t="s">
        <v>404</v>
      </c>
      <c r="B32" s="22" t="s">
        <v>405</v>
      </c>
      <c r="C32" s="46">
        <v>1000000</v>
      </c>
      <c r="D32" s="45">
        <f t="shared" si="0"/>
        <v>0.14156285390713477</v>
      </c>
    </row>
    <row r="33" spans="1:4" x14ac:dyDescent="0.35">
      <c r="A33" s="15" t="s">
        <v>412</v>
      </c>
      <c r="B33" s="22" t="s">
        <v>413</v>
      </c>
      <c r="C33" s="46">
        <v>2264000</v>
      </c>
      <c r="D33" s="45">
        <f t="shared" si="0"/>
        <v>0.32049830124575313</v>
      </c>
    </row>
    <row r="34" spans="1:4" x14ac:dyDescent="0.35">
      <c r="A34" s="15" t="s">
        <v>422</v>
      </c>
      <c r="B34" s="22" t="s">
        <v>423</v>
      </c>
      <c r="C34" s="46">
        <v>1000000</v>
      </c>
      <c r="D34" s="45">
        <f t="shared" si="0"/>
        <v>0.14156285390713477</v>
      </c>
    </row>
    <row r="35" spans="1:4" x14ac:dyDescent="0.35">
      <c r="A35" s="15" t="s">
        <v>432</v>
      </c>
      <c r="B35" s="22" t="s">
        <v>433</v>
      </c>
      <c r="C35" s="46">
        <v>420000</v>
      </c>
      <c r="D35" s="45">
        <f t="shared" si="0"/>
        <v>5.9456398640996604E-2</v>
      </c>
    </row>
    <row r="36" spans="1:4" x14ac:dyDescent="0.35">
      <c r="A36" s="15" t="s">
        <v>440</v>
      </c>
      <c r="B36" s="22" t="s">
        <v>441</v>
      </c>
      <c r="C36" s="46">
        <v>640000</v>
      </c>
      <c r="D36" s="45">
        <f t="shared" si="0"/>
        <v>9.0600226500566247E-2</v>
      </c>
    </row>
    <row r="37" spans="1:4" x14ac:dyDescent="0.35">
      <c r="A37" s="15" t="s">
        <v>448</v>
      </c>
      <c r="B37" s="22" t="s">
        <v>591</v>
      </c>
      <c r="C37" s="46">
        <v>890000</v>
      </c>
      <c r="D37" s="45">
        <f t="shared" si="0"/>
        <v>0.12599093997734995</v>
      </c>
    </row>
    <row r="38" spans="1:4" x14ac:dyDescent="0.35">
      <c r="A38" s="17"/>
      <c r="B38" s="16" t="s">
        <v>592</v>
      </c>
      <c r="C38" s="31">
        <f>SUM(C30:C37)</f>
        <v>7064000</v>
      </c>
      <c r="D38" s="47">
        <f>SUM(D30:D37)</f>
        <v>1</v>
      </c>
    </row>
    <row r="39" spans="1:4" x14ac:dyDescent="0.35">
      <c r="B39" s="11" t="s">
        <v>593</v>
      </c>
    </row>
    <row r="41" spans="1:4" x14ac:dyDescent="0.35">
      <c r="B41" s="25" t="s">
        <v>594</v>
      </c>
      <c r="C41" s="15" t="str">
        <f>IF(C38=C22,"OK","CHECK")</f>
        <v>OK</v>
      </c>
    </row>
    <row r="42" spans="1:4" x14ac:dyDescent="0.35">
      <c r="B42" s="25" t="s">
        <v>595</v>
      </c>
      <c r="C42" s="15" t="str">
        <f>IF(C22='Cash Flow'!H16,"OK","CHECK")</f>
        <v>OK</v>
      </c>
    </row>
    <row r="43" spans="1:4" x14ac:dyDescent="0.35">
      <c r="B43" s="25" t="s">
        <v>596</v>
      </c>
      <c r="C43" s="15" t="str">
        <f>IF(C24='Cash Flow'!H18,"OK","CHECK")</f>
        <v>OK</v>
      </c>
    </row>
  </sheetData>
  <conditionalFormatting sqref="C41:C43">
    <cfRule type="cellIs" dxfId="20" priority="1" operator="equal">
      <formula>"OK"</formula>
    </cfRule>
    <cfRule type="cellIs" dxfId="19" priority="2" operator="equal">
      <formula>"CHECK"</formula>
    </cfRule>
  </conditionalFormatting>
  <printOptions horizontalCentered="1"/>
  <pageMargins left="0.4" right="0.4" top="1" bottom="1" header="0.5" footer="0.5"/>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28"/>
  <sheetViews>
    <sheetView workbookViewId="0">
      <pane xSplit="1" ySplit="4" topLeftCell="B5" activePane="bottomRight" state="frozen"/>
      <selection pane="topRight"/>
      <selection pane="bottomLeft"/>
      <selection pane="bottomRight" activeCell="I39" sqref="I39"/>
    </sheetView>
  </sheetViews>
  <sheetFormatPr defaultRowHeight="14.5" x14ac:dyDescent="0.35"/>
  <cols>
    <col min="1" max="1" width="50" customWidth="1"/>
    <col min="2" max="7" width="13" customWidth="1"/>
    <col min="8" max="8" width="14" customWidth="1"/>
    <col min="9" max="9" width="3" customWidth="1"/>
    <col min="10" max="10" width="38" customWidth="1"/>
    <col min="11" max="11" width="14" customWidth="1"/>
  </cols>
  <sheetData>
    <row r="1" spans="1:11" ht="17" customHeight="1" x14ac:dyDescent="0.4">
      <c r="A1" s="1" t="s">
        <v>597</v>
      </c>
    </row>
    <row r="2" spans="1:11" x14ac:dyDescent="0.35">
      <c r="A2" s="11" t="s">
        <v>598</v>
      </c>
    </row>
    <row r="4" spans="1:11" x14ac:dyDescent="0.35">
      <c r="A4" s="60" t="s">
        <v>599</v>
      </c>
      <c r="B4" s="60" t="s">
        <v>600</v>
      </c>
      <c r="C4" s="60" t="s">
        <v>601</v>
      </c>
      <c r="D4" s="60" t="s">
        <v>602</v>
      </c>
      <c r="E4" s="60" t="s">
        <v>603</v>
      </c>
      <c r="F4" s="60" t="s">
        <v>604</v>
      </c>
      <c r="G4" s="60" t="s">
        <v>605</v>
      </c>
      <c r="H4" s="60" t="s">
        <v>75</v>
      </c>
      <c r="J4" s="19" t="s">
        <v>606</v>
      </c>
      <c r="K4" s="19" t="s">
        <v>607</v>
      </c>
    </row>
    <row r="5" spans="1:11" x14ac:dyDescent="0.35">
      <c r="A5" s="43" t="s">
        <v>608</v>
      </c>
      <c r="B5" s="30">
        <v>589000</v>
      </c>
      <c r="C5" s="30">
        <v>760500</v>
      </c>
      <c r="D5" s="30">
        <v>782500</v>
      </c>
      <c r="E5" s="30">
        <v>856000</v>
      </c>
      <c r="F5" s="30">
        <v>933000</v>
      </c>
      <c r="G5" s="30">
        <v>958000</v>
      </c>
      <c r="H5" s="44">
        <f t="shared" ref="H5:H15" si="0">SUM(B5:G5)</f>
        <v>4879000</v>
      </c>
      <c r="J5" s="24" t="s">
        <v>609</v>
      </c>
      <c r="K5" s="33">
        <v>0.1</v>
      </c>
    </row>
    <row r="6" spans="1:11" x14ac:dyDescent="0.35">
      <c r="A6" s="43" t="s">
        <v>610</v>
      </c>
      <c r="B6" s="30">
        <v>0</v>
      </c>
      <c r="C6" s="30">
        <v>30000</v>
      </c>
      <c r="D6" s="30">
        <v>90000</v>
      </c>
      <c r="E6" s="30">
        <v>110000</v>
      </c>
      <c r="F6" s="30">
        <v>150000</v>
      </c>
      <c r="G6" s="30">
        <v>240000</v>
      </c>
      <c r="H6" s="44">
        <f t="shared" si="0"/>
        <v>620000</v>
      </c>
      <c r="J6" s="24" t="s">
        <v>611</v>
      </c>
      <c r="K6" s="33">
        <v>0.05</v>
      </c>
    </row>
    <row r="7" spans="1:11" x14ac:dyDescent="0.35">
      <c r="A7" s="43" t="s">
        <v>559</v>
      </c>
      <c r="B7" s="30">
        <v>0</v>
      </c>
      <c r="C7" s="30">
        <v>100000</v>
      </c>
      <c r="D7" s="30">
        <v>100000</v>
      </c>
      <c r="E7" s="30">
        <v>60000</v>
      </c>
      <c r="F7" s="30">
        <v>60000</v>
      </c>
      <c r="G7" s="30">
        <v>130000</v>
      </c>
      <c r="H7" s="44">
        <f t="shared" si="0"/>
        <v>450000</v>
      </c>
      <c r="J7" s="24" t="s">
        <v>612</v>
      </c>
      <c r="K7" s="55">
        <v>7770400</v>
      </c>
    </row>
    <row r="8" spans="1:11" x14ac:dyDescent="0.35">
      <c r="A8" s="43" t="s">
        <v>561</v>
      </c>
      <c r="B8" s="30">
        <v>0</v>
      </c>
      <c r="C8" s="30">
        <v>40000</v>
      </c>
      <c r="D8" s="30">
        <v>50000</v>
      </c>
      <c r="E8" s="30">
        <v>30000</v>
      </c>
      <c r="F8" s="30">
        <v>30000</v>
      </c>
      <c r="G8" s="30">
        <v>30000</v>
      </c>
      <c r="H8" s="44">
        <f t="shared" si="0"/>
        <v>180000</v>
      </c>
      <c r="J8" s="24" t="s">
        <v>613</v>
      </c>
      <c r="K8" s="55">
        <v>8123600</v>
      </c>
    </row>
    <row r="9" spans="1:11" x14ac:dyDescent="0.35">
      <c r="A9" s="43" t="s">
        <v>614</v>
      </c>
      <c r="B9" s="30">
        <v>0</v>
      </c>
      <c r="C9" s="30">
        <v>20000</v>
      </c>
      <c r="D9" s="30">
        <v>30000</v>
      </c>
      <c r="E9" s="30">
        <v>60000</v>
      </c>
      <c r="F9" s="30">
        <v>60000</v>
      </c>
      <c r="G9" s="30">
        <v>65000</v>
      </c>
      <c r="H9" s="44">
        <f t="shared" si="0"/>
        <v>235000</v>
      </c>
    </row>
    <row r="10" spans="1:11" x14ac:dyDescent="0.35">
      <c r="A10" s="43" t="s">
        <v>615</v>
      </c>
      <c r="B10" s="30">
        <v>0</v>
      </c>
      <c r="C10" s="30">
        <v>0</v>
      </c>
      <c r="D10" s="30">
        <v>0</v>
      </c>
      <c r="E10" s="30">
        <v>0</v>
      </c>
      <c r="F10" s="30">
        <v>150000</v>
      </c>
      <c r="G10" s="30">
        <v>70000</v>
      </c>
      <c r="H10" s="44">
        <f t="shared" si="0"/>
        <v>220000</v>
      </c>
    </row>
    <row r="11" spans="1:11" x14ac:dyDescent="0.35">
      <c r="A11" s="43" t="s">
        <v>569</v>
      </c>
      <c r="B11" s="30">
        <v>0</v>
      </c>
      <c r="C11" s="30">
        <v>20000</v>
      </c>
      <c r="D11" s="30">
        <v>20000</v>
      </c>
      <c r="E11" s="30">
        <v>25000</v>
      </c>
      <c r="F11" s="30">
        <v>35000</v>
      </c>
      <c r="G11" s="30">
        <v>60000</v>
      </c>
      <c r="H11" s="44">
        <f t="shared" si="0"/>
        <v>160000</v>
      </c>
    </row>
    <row r="12" spans="1:11" x14ac:dyDescent="0.35">
      <c r="A12" s="43" t="s">
        <v>616</v>
      </c>
      <c r="B12" s="30">
        <v>30000</v>
      </c>
      <c r="C12" s="30">
        <v>20000</v>
      </c>
      <c r="D12" s="30">
        <v>20000</v>
      </c>
      <c r="E12" s="30">
        <v>20000</v>
      </c>
      <c r="F12" s="30">
        <v>15000</v>
      </c>
      <c r="G12" s="30">
        <v>15000</v>
      </c>
      <c r="H12" s="44">
        <f t="shared" si="0"/>
        <v>120000</v>
      </c>
    </row>
    <row r="13" spans="1:11" x14ac:dyDescent="0.35">
      <c r="A13" s="43" t="s">
        <v>573</v>
      </c>
      <c r="B13" s="30">
        <v>30000</v>
      </c>
      <c r="C13" s="30">
        <v>20000</v>
      </c>
      <c r="D13" s="30">
        <v>10000</v>
      </c>
      <c r="E13" s="30">
        <v>0</v>
      </c>
      <c r="F13" s="30">
        <v>0</v>
      </c>
      <c r="G13" s="30">
        <v>0</v>
      </c>
      <c r="H13" s="44">
        <f t="shared" si="0"/>
        <v>60000</v>
      </c>
    </row>
    <row r="14" spans="1:11" x14ac:dyDescent="0.35">
      <c r="A14" s="43" t="s">
        <v>617</v>
      </c>
      <c r="B14" s="30">
        <v>15000</v>
      </c>
      <c r="C14" s="30">
        <v>15000</v>
      </c>
      <c r="D14" s="30">
        <v>10000</v>
      </c>
      <c r="E14" s="30">
        <v>15000</v>
      </c>
      <c r="F14" s="30">
        <v>15000</v>
      </c>
      <c r="G14" s="30">
        <v>20000</v>
      </c>
      <c r="H14" s="44">
        <f t="shared" si="0"/>
        <v>90000</v>
      </c>
    </row>
    <row r="15" spans="1:11" x14ac:dyDescent="0.35">
      <c r="A15" s="43" t="s">
        <v>577</v>
      </c>
      <c r="B15" s="30">
        <v>10000</v>
      </c>
      <c r="C15" s="30">
        <v>8000</v>
      </c>
      <c r="D15" s="30">
        <v>8000</v>
      </c>
      <c r="E15" s="30">
        <v>8000</v>
      </c>
      <c r="F15" s="30">
        <v>8000</v>
      </c>
      <c r="G15" s="30">
        <v>8000</v>
      </c>
      <c r="H15" s="44">
        <f t="shared" si="0"/>
        <v>50000</v>
      </c>
    </row>
    <row r="16" spans="1:11" x14ac:dyDescent="0.35">
      <c r="A16" s="16" t="s">
        <v>618</v>
      </c>
      <c r="B16" s="31">
        <f t="shared" ref="B16:H16" si="1">SUM(B5:B15)</f>
        <v>674000</v>
      </c>
      <c r="C16" s="31">
        <f t="shared" si="1"/>
        <v>1033500</v>
      </c>
      <c r="D16" s="31">
        <f t="shared" si="1"/>
        <v>1120500</v>
      </c>
      <c r="E16" s="31">
        <f t="shared" si="1"/>
        <v>1184000</v>
      </c>
      <c r="F16" s="31">
        <f t="shared" si="1"/>
        <v>1456000</v>
      </c>
      <c r="G16" s="31">
        <f t="shared" si="1"/>
        <v>1596000</v>
      </c>
      <c r="H16" s="31">
        <f t="shared" si="1"/>
        <v>7064000</v>
      </c>
    </row>
    <row r="17" spans="1:8" x14ac:dyDescent="0.35">
      <c r="A17" s="22" t="s">
        <v>619</v>
      </c>
      <c r="B17" s="57">
        <f t="shared" ref="B17:H17" si="2">B16*$K$5</f>
        <v>67400</v>
      </c>
      <c r="C17" s="57">
        <f t="shared" si="2"/>
        <v>103350</v>
      </c>
      <c r="D17" s="57">
        <f t="shared" si="2"/>
        <v>112050</v>
      </c>
      <c r="E17" s="57">
        <f t="shared" si="2"/>
        <v>118400</v>
      </c>
      <c r="F17" s="57">
        <f t="shared" si="2"/>
        <v>145600</v>
      </c>
      <c r="G17" s="57">
        <f t="shared" si="2"/>
        <v>159600</v>
      </c>
      <c r="H17" s="57">
        <f t="shared" si="2"/>
        <v>706400</v>
      </c>
    </row>
    <row r="18" spans="1:8" x14ac:dyDescent="0.35">
      <c r="A18" s="16" t="s">
        <v>620</v>
      </c>
      <c r="B18" s="31">
        <f t="shared" ref="B18:H18" si="3">B16+B17</f>
        <v>741400</v>
      </c>
      <c r="C18" s="31">
        <f t="shared" si="3"/>
        <v>1136850</v>
      </c>
      <c r="D18" s="31">
        <f t="shared" si="3"/>
        <v>1232550</v>
      </c>
      <c r="E18" s="31">
        <f t="shared" si="3"/>
        <v>1302400</v>
      </c>
      <c r="F18" s="31">
        <f t="shared" si="3"/>
        <v>1601600</v>
      </c>
      <c r="G18" s="31">
        <f t="shared" si="3"/>
        <v>1755600</v>
      </c>
      <c r="H18" s="31">
        <f t="shared" si="3"/>
        <v>7770400</v>
      </c>
    </row>
    <row r="19" spans="1:8" x14ac:dyDescent="0.35">
      <c r="A19" s="25" t="s">
        <v>621</v>
      </c>
      <c r="B19" s="44">
        <f>B18</f>
        <v>741400</v>
      </c>
      <c r="C19" s="44">
        <f>B19+C18</f>
        <v>1878250</v>
      </c>
      <c r="D19" s="44">
        <f>C19+D18</f>
        <v>3110800</v>
      </c>
      <c r="E19" s="44">
        <f>D19+E18</f>
        <v>4413200</v>
      </c>
      <c r="F19" s="44">
        <f>E19+F18</f>
        <v>6014800</v>
      </c>
      <c r="G19" s="44">
        <f>F19+G18</f>
        <v>7770400</v>
      </c>
      <c r="H19" s="44"/>
    </row>
    <row r="20" spans="1:8" x14ac:dyDescent="0.35">
      <c r="A20" s="43" t="s">
        <v>622</v>
      </c>
      <c r="B20" s="61">
        <f t="shared" ref="B20:G20" si="4">B19/$H$18</f>
        <v>9.5413363533408832E-2</v>
      </c>
      <c r="C20" s="61">
        <f t="shared" si="4"/>
        <v>0.24171857304643263</v>
      </c>
      <c r="D20" s="61">
        <f t="shared" si="4"/>
        <v>0.40033975084937712</v>
      </c>
      <c r="E20" s="61">
        <f t="shared" si="4"/>
        <v>0.56795016987542468</v>
      </c>
      <c r="F20" s="61">
        <f t="shared" si="4"/>
        <v>0.77406568516421292</v>
      </c>
      <c r="G20" s="61">
        <f t="shared" si="4"/>
        <v>1</v>
      </c>
      <c r="H20" s="44"/>
    </row>
    <row r="21" spans="1:8" x14ac:dyDescent="0.35">
      <c r="A21" s="43" t="s">
        <v>623</v>
      </c>
      <c r="B21" s="44">
        <f>B16</f>
        <v>674000</v>
      </c>
      <c r="C21" s="44">
        <f>B21+C16</f>
        <v>1707500</v>
      </c>
      <c r="D21" s="44">
        <f>C21+D16</f>
        <v>2828000</v>
      </c>
      <c r="E21" s="44">
        <f>D21+E16</f>
        <v>4012000</v>
      </c>
      <c r="F21" s="44">
        <f>E21+F16</f>
        <v>5468000</v>
      </c>
      <c r="G21" s="44">
        <f>F21+G16</f>
        <v>7064000</v>
      </c>
      <c r="H21" s="44"/>
    </row>
    <row r="22" spans="1:8" x14ac:dyDescent="0.35">
      <c r="A22" s="43" t="s">
        <v>624</v>
      </c>
      <c r="B22" s="44"/>
      <c r="C22" s="44"/>
      <c r="D22" s="44"/>
      <c r="E22" s="44"/>
      <c r="F22" s="44"/>
      <c r="G22" s="44"/>
      <c r="H22" s="44">
        <f>H16*$K$6</f>
        <v>353200</v>
      </c>
    </row>
    <row r="23" spans="1:8" x14ac:dyDescent="0.35">
      <c r="A23" s="25" t="s">
        <v>589</v>
      </c>
      <c r="B23" s="44"/>
      <c r="C23" s="44"/>
      <c r="D23" s="44"/>
      <c r="E23" s="44"/>
      <c r="F23" s="44"/>
      <c r="G23" s="44"/>
      <c r="H23" s="32">
        <f>H18+H22</f>
        <v>8123600</v>
      </c>
    </row>
    <row r="24" spans="1:8" x14ac:dyDescent="0.35">
      <c r="A24" t="s">
        <v>625</v>
      </c>
      <c r="B24" s="3"/>
      <c r="C24" s="3"/>
      <c r="D24" s="3"/>
      <c r="E24" s="3"/>
      <c r="F24" s="3"/>
      <c r="G24" s="3"/>
      <c r="H24" s="62" t="str">
        <f>IF(ROUND(H18,0)=K7,"OK","CHECK")</f>
        <v>OK</v>
      </c>
    </row>
    <row r="25" spans="1:8" x14ac:dyDescent="0.35">
      <c r="A25" t="s">
        <v>626</v>
      </c>
      <c r="H25" s="62" t="str">
        <f>IF(ROUND(H23,0)=K8,"OK","CHECK")</f>
        <v>OK</v>
      </c>
    </row>
    <row r="26" spans="1:8" x14ac:dyDescent="0.35">
      <c r="A26" t="s">
        <v>627</v>
      </c>
      <c r="H26" s="62" t="str">
        <f>IF(H5=Resources!G16,"OK","CHECK")</f>
        <v>OK</v>
      </c>
    </row>
    <row r="27" spans="1:8" x14ac:dyDescent="0.35">
      <c r="A27" t="s">
        <v>628</v>
      </c>
      <c r="H27" s="62" t="str">
        <f>IF(SUM(H6:H15)=Budget!C16,"OK","CHECK")</f>
        <v>OK</v>
      </c>
    </row>
    <row r="28" spans="1:8" x14ac:dyDescent="0.35">
      <c r="A28" t="s">
        <v>629</v>
      </c>
      <c r="H28" s="62" t="str">
        <f>IF(G19=H18,"OK","CHECK")</f>
        <v>OK</v>
      </c>
    </row>
  </sheetData>
  <conditionalFormatting sqref="H24:H28">
    <cfRule type="cellIs" dxfId="18" priority="1" operator="equal">
      <formula>"OK"</formula>
    </cfRule>
    <cfRule type="cellIs" dxfId="17" priority="2" operator="equal">
      <formula>"CHECK"</formula>
    </cfRule>
  </conditionalFormatting>
  <printOptions horizontalCentered="1"/>
  <pageMargins left="0.4" right="0.4" top="1" bottom="1" header="0.5" footer="0.5"/>
  <pageSetup paperSize="9"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33"/>
  <sheetViews>
    <sheetView workbookViewId="0">
      <pane xSplit="2" ySplit="4" topLeftCell="C5" activePane="bottomRight" state="frozen"/>
      <selection pane="topRight"/>
      <selection pane="bottomLeft"/>
      <selection pane="bottomRight"/>
    </sheetView>
  </sheetViews>
  <sheetFormatPr defaultRowHeight="14.5" x14ac:dyDescent="0.35"/>
  <cols>
    <col min="1" max="1" width="6" customWidth="1"/>
    <col min="2" max="2" width="48" customWidth="1"/>
    <col min="3" max="3" width="9" customWidth="1"/>
    <col min="4" max="4" width="6" customWidth="1"/>
    <col min="5" max="5" width="7" customWidth="1"/>
    <col min="6" max="6" width="10" customWidth="1"/>
    <col min="7" max="7" width="16" customWidth="1"/>
    <col min="8" max="8" width="58" customWidth="1"/>
    <col min="9" max="9" width="18" customWidth="1"/>
    <col min="10" max="10" width="11" customWidth="1"/>
    <col min="11" max="11" width="12" customWidth="1"/>
    <col min="12" max="12" width="11" customWidth="1"/>
  </cols>
  <sheetData>
    <row r="1" spans="1:12" ht="17" x14ac:dyDescent="0.4">
      <c r="A1" s="10" t="s">
        <v>630</v>
      </c>
    </row>
    <row r="2" spans="1:12" x14ac:dyDescent="0.35">
      <c r="A2" s="11" t="s">
        <v>631</v>
      </c>
    </row>
    <row r="4" spans="1:12" ht="29" x14ac:dyDescent="0.35">
      <c r="A4" s="12" t="s">
        <v>355</v>
      </c>
      <c r="B4" s="12" t="s">
        <v>632</v>
      </c>
      <c r="C4" s="12" t="s">
        <v>633</v>
      </c>
      <c r="D4" s="12" t="s">
        <v>634</v>
      </c>
      <c r="E4" s="12" t="s">
        <v>635</v>
      </c>
      <c r="F4" s="12" t="s">
        <v>636</v>
      </c>
      <c r="G4" s="12" t="s">
        <v>637</v>
      </c>
      <c r="H4" s="12" t="s">
        <v>638</v>
      </c>
      <c r="I4" s="12" t="s">
        <v>103</v>
      </c>
      <c r="J4" s="12" t="s">
        <v>639</v>
      </c>
      <c r="K4" s="12" t="s">
        <v>640</v>
      </c>
      <c r="L4" s="12" t="s">
        <v>641</v>
      </c>
    </row>
    <row r="5" spans="1:12" ht="43.5" x14ac:dyDescent="0.35">
      <c r="A5" s="48" t="s">
        <v>642</v>
      </c>
      <c r="B5" s="14" t="s">
        <v>643</v>
      </c>
      <c r="C5" s="27">
        <v>3</v>
      </c>
      <c r="D5" s="27">
        <v>5</v>
      </c>
      <c r="E5" s="48">
        <f t="shared" ref="E5:E21" si="0">C5*D5</f>
        <v>15</v>
      </c>
      <c r="F5" s="15" t="str">
        <f t="shared" ref="F5:F21" si="1">IF(E5&gt;=15,"Critical",IF(E5&gt;=10,"High",IF(E5&gt;=5,"Medium","Low")))</f>
        <v>Critical</v>
      </c>
      <c r="G5" s="14" t="s">
        <v>644</v>
      </c>
      <c r="H5" s="14" t="s">
        <v>645</v>
      </c>
      <c r="I5" s="14" t="s">
        <v>536</v>
      </c>
      <c r="J5" s="26">
        <v>0.35</v>
      </c>
      <c r="K5" s="46">
        <v>400000</v>
      </c>
      <c r="L5" s="57">
        <f t="shared" ref="L5:L21" si="2">IF(J5="","",J5*K5)</f>
        <v>140000</v>
      </c>
    </row>
    <row r="6" spans="1:12" ht="29" x14ac:dyDescent="0.35">
      <c r="A6" s="48" t="s">
        <v>646</v>
      </c>
      <c r="B6" s="14" t="s">
        <v>647</v>
      </c>
      <c r="C6" s="27">
        <v>3</v>
      </c>
      <c r="D6" s="27">
        <v>5</v>
      </c>
      <c r="E6" s="48">
        <f t="shared" si="0"/>
        <v>15</v>
      </c>
      <c r="F6" s="15" t="str">
        <f t="shared" si="1"/>
        <v>Critical</v>
      </c>
      <c r="G6" s="14" t="s">
        <v>648</v>
      </c>
      <c r="H6" s="14" t="s">
        <v>649</v>
      </c>
      <c r="I6" s="14" t="s">
        <v>535</v>
      </c>
      <c r="J6" s="26">
        <v>0.35</v>
      </c>
      <c r="K6" s="46">
        <v>250000</v>
      </c>
      <c r="L6" s="57">
        <f t="shared" si="2"/>
        <v>87500</v>
      </c>
    </row>
    <row r="7" spans="1:12" ht="43.5" x14ac:dyDescent="0.35">
      <c r="A7" s="48" t="s">
        <v>650</v>
      </c>
      <c r="B7" s="14" t="s">
        <v>651</v>
      </c>
      <c r="C7" s="27">
        <v>4</v>
      </c>
      <c r="D7" s="27">
        <v>3</v>
      </c>
      <c r="E7" s="48">
        <f t="shared" si="0"/>
        <v>12</v>
      </c>
      <c r="F7" s="15" t="str">
        <f t="shared" si="1"/>
        <v>High</v>
      </c>
      <c r="G7" s="14" t="s">
        <v>644</v>
      </c>
      <c r="H7" s="14" t="s">
        <v>652</v>
      </c>
      <c r="I7" s="14" t="s">
        <v>534</v>
      </c>
      <c r="J7" s="26">
        <v>0.6</v>
      </c>
      <c r="K7" s="46">
        <v>150000</v>
      </c>
      <c r="L7" s="57">
        <f t="shared" si="2"/>
        <v>90000</v>
      </c>
    </row>
    <row r="8" spans="1:12" ht="43.5" x14ac:dyDescent="0.35">
      <c r="A8" s="48" t="s">
        <v>653</v>
      </c>
      <c r="B8" s="14" t="s">
        <v>654</v>
      </c>
      <c r="C8" s="27">
        <v>3</v>
      </c>
      <c r="D8" s="27">
        <v>5</v>
      </c>
      <c r="E8" s="48">
        <f t="shared" si="0"/>
        <v>15</v>
      </c>
      <c r="F8" s="15" t="str">
        <f t="shared" si="1"/>
        <v>Critical</v>
      </c>
      <c r="G8" s="14" t="s">
        <v>655</v>
      </c>
      <c r="H8" s="14" t="s">
        <v>656</v>
      </c>
      <c r="I8" s="14" t="s">
        <v>540</v>
      </c>
      <c r="J8" s="26">
        <v>0.35</v>
      </c>
      <c r="K8" s="46">
        <v>300000</v>
      </c>
      <c r="L8" s="57">
        <f t="shared" si="2"/>
        <v>105000</v>
      </c>
    </row>
    <row r="9" spans="1:12" ht="58" x14ac:dyDescent="0.35">
      <c r="A9" s="48" t="s">
        <v>657</v>
      </c>
      <c r="B9" s="14" t="s">
        <v>658</v>
      </c>
      <c r="C9" s="27">
        <v>2</v>
      </c>
      <c r="D9" s="27">
        <v>5</v>
      </c>
      <c r="E9" s="48">
        <f t="shared" si="0"/>
        <v>10</v>
      </c>
      <c r="F9" s="15" t="str">
        <f t="shared" si="1"/>
        <v>High</v>
      </c>
      <c r="G9" s="14" t="s">
        <v>659</v>
      </c>
      <c r="H9" s="14" t="s">
        <v>660</v>
      </c>
      <c r="I9" s="14" t="s">
        <v>532</v>
      </c>
      <c r="J9" s="26"/>
      <c r="K9" s="46"/>
      <c r="L9" s="57" t="str">
        <f t="shared" si="2"/>
        <v/>
      </c>
    </row>
    <row r="10" spans="1:12" ht="29" x14ac:dyDescent="0.35">
      <c r="A10" s="48" t="s">
        <v>661</v>
      </c>
      <c r="B10" s="14" t="s">
        <v>662</v>
      </c>
      <c r="C10" s="27">
        <v>4</v>
      </c>
      <c r="D10" s="27">
        <v>3</v>
      </c>
      <c r="E10" s="48">
        <f t="shared" si="0"/>
        <v>12</v>
      </c>
      <c r="F10" s="15" t="str">
        <f t="shared" si="1"/>
        <v>High</v>
      </c>
      <c r="G10" s="14" t="s">
        <v>644</v>
      </c>
      <c r="H10" s="14" t="s">
        <v>663</v>
      </c>
      <c r="I10" s="14" t="s">
        <v>664</v>
      </c>
      <c r="J10" s="26"/>
      <c r="K10" s="46"/>
      <c r="L10" s="57" t="str">
        <f t="shared" si="2"/>
        <v/>
      </c>
    </row>
    <row r="11" spans="1:12" ht="29" x14ac:dyDescent="0.35">
      <c r="A11" s="48" t="s">
        <v>665</v>
      </c>
      <c r="B11" s="14" t="s">
        <v>666</v>
      </c>
      <c r="C11" s="27">
        <v>3</v>
      </c>
      <c r="D11" s="27">
        <v>3</v>
      </c>
      <c r="E11" s="48">
        <f t="shared" si="0"/>
        <v>9</v>
      </c>
      <c r="F11" s="15" t="str">
        <f t="shared" si="1"/>
        <v>Medium</v>
      </c>
      <c r="G11" s="14" t="s">
        <v>667</v>
      </c>
      <c r="H11" s="14" t="s">
        <v>668</v>
      </c>
      <c r="I11" s="14" t="s">
        <v>534</v>
      </c>
      <c r="J11" s="26"/>
      <c r="K11" s="46"/>
      <c r="L11" s="57" t="str">
        <f t="shared" si="2"/>
        <v/>
      </c>
    </row>
    <row r="12" spans="1:12" ht="43.5" x14ac:dyDescent="0.35">
      <c r="A12" s="48" t="s">
        <v>669</v>
      </c>
      <c r="B12" s="14" t="s">
        <v>670</v>
      </c>
      <c r="C12" s="27">
        <v>4</v>
      </c>
      <c r="D12" s="27">
        <v>4</v>
      </c>
      <c r="E12" s="48">
        <f t="shared" si="0"/>
        <v>16</v>
      </c>
      <c r="F12" s="15" t="str">
        <f t="shared" si="1"/>
        <v>Critical</v>
      </c>
      <c r="G12" s="14" t="s">
        <v>644</v>
      </c>
      <c r="H12" s="14" t="s">
        <v>671</v>
      </c>
      <c r="I12" s="14" t="s">
        <v>537</v>
      </c>
      <c r="J12" s="26">
        <v>0.55000000000000004</v>
      </c>
      <c r="K12" s="46">
        <v>200000</v>
      </c>
      <c r="L12" s="57">
        <f t="shared" si="2"/>
        <v>110000.00000000001</v>
      </c>
    </row>
    <row r="13" spans="1:12" ht="29" x14ac:dyDescent="0.35">
      <c r="A13" s="48" t="s">
        <v>672</v>
      </c>
      <c r="B13" s="14" t="s">
        <v>673</v>
      </c>
      <c r="C13" s="27">
        <v>4</v>
      </c>
      <c r="D13" s="27">
        <v>3</v>
      </c>
      <c r="E13" s="48">
        <f t="shared" si="0"/>
        <v>12</v>
      </c>
      <c r="F13" s="15" t="str">
        <f t="shared" si="1"/>
        <v>High</v>
      </c>
      <c r="G13" s="14" t="s">
        <v>659</v>
      </c>
      <c r="H13" s="14" t="s">
        <v>674</v>
      </c>
      <c r="I13" s="14" t="s">
        <v>532</v>
      </c>
      <c r="J13" s="26"/>
      <c r="K13" s="46"/>
      <c r="L13" s="57" t="str">
        <f t="shared" si="2"/>
        <v/>
      </c>
    </row>
    <row r="14" spans="1:12" ht="43.5" x14ac:dyDescent="0.35">
      <c r="A14" s="48" t="s">
        <v>675</v>
      </c>
      <c r="B14" s="14" t="s">
        <v>676</v>
      </c>
      <c r="C14" s="27">
        <v>3</v>
      </c>
      <c r="D14" s="27">
        <v>3</v>
      </c>
      <c r="E14" s="48">
        <f t="shared" si="0"/>
        <v>9</v>
      </c>
      <c r="F14" s="15" t="str">
        <f t="shared" si="1"/>
        <v>Medium</v>
      </c>
      <c r="G14" s="14" t="s">
        <v>644</v>
      </c>
      <c r="H14" s="14" t="s">
        <v>677</v>
      </c>
      <c r="I14" s="14" t="s">
        <v>535</v>
      </c>
      <c r="J14" s="26"/>
      <c r="K14" s="46"/>
      <c r="L14" s="57" t="str">
        <f t="shared" si="2"/>
        <v/>
      </c>
    </row>
    <row r="15" spans="1:12" ht="29" x14ac:dyDescent="0.35">
      <c r="A15" s="48" t="s">
        <v>678</v>
      </c>
      <c r="B15" s="14" t="s">
        <v>679</v>
      </c>
      <c r="C15" s="27">
        <v>3</v>
      </c>
      <c r="D15" s="27">
        <v>4</v>
      </c>
      <c r="E15" s="48">
        <f t="shared" si="0"/>
        <v>12</v>
      </c>
      <c r="F15" s="15" t="str">
        <f t="shared" si="1"/>
        <v>High</v>
      </c>
      <c r="G15" s="14" t="s">
        <v>655</v>
      </c>
      <c r="H15" s="14" t="s">
        <v>680</v>
      </c>
      <c r="I15" s="14" t="s">
        <v>532</v>
      </c>
      <c r="J15" s="26"/>
      <c r="K15" s="46"/>
      <c r="L15" s="57" t="str">
        <f t="shared" si="2"/>
        <v/>
      </c>
    </row>
    <row r="16" spans="1:12" ht="29" x14ac:dyDescent="0.35">
      <c r="A16" s="48" t="s">
        <v>681</v>
      </c>
      <c r="B16" s="14" t="s">
        <v>682</v>
      </c>
      <c r="C16" s="27">
        <v>3</v>
      </c>
      <c r="D16" s="27">
        <v>4</v>
      </c>
      <c r="E16" s="48">
        <f t="shared" si="0"/>
        <v>12</v>
      </c>
      <c r="F16" s="15" t="str">
        <f t="shared" si="1"/>
        <v>High</v>
      </c>
      <c r="G16" s="14" t="s">
        <v>644</v>
      </c>
      <c r="H16" s="14" t="s">
        <v>683</v>
      </c>
      <c r="I16" s="14" t="s">
        <v>535</v>
      </c>
      <c r="J16" s="26"/>
      <c r="K16" s="46"/>
      <c r="L16" s="57" t="str">
        <f t="shared" si="2"/>
        <v/>
      </c>
    </row>
    <row r="17" spans="1:12" ht="43.5" x14ac:dyDescent="0.35">
      <c r="A17" s="48" t="s">
        <v>684</v>
      </c>
      <c r="B17" s="14" t="s">
        <v>685</v>
      </c>
      <c r="C17" s="27">
        <v>4</v>
      </c>
      <c r="D17" s="27">
        <v>3</v>
      </c>
      <c r="E17" s="48">
        <f t="shared" si="0"/>
        <v>12</v>
      </c>
      <c r="F17" s="15" t="str">
        <f t="shared" si="1"/>
        <v>High</v>
      </c>
      <c r="G17" s="14" t="s">
        <v>659</v>
      </c>
      <c r="H17" s="14" t="s">
        <v>686</v>
      </c>
      <c r="I17" s="14" t="s">
        <v>664</v>
      </c>
      <c r="J17" s="26"/>
      <c r="K17" s="46"/>
      <c r="L17" s="57" t="str">
        <f t="shared" si="2"/>
        <v/>
      </c>
    </row>
    <row r="18" spans="1:12" ht="29" x14ac:dyDescent="0.35">
      <c r="A18" s="48" t="s">
        <v>687</v>
      </c>
      <c r="B18" s="14" t="s">
        <v>688</v>
      </c>
      <c r="C18" s="27">
        <v>3</v>
      </c>
      <c r="D18" s="27">
        <v>3</v>
      </c>
      <c r="E18" s="48">
        <f t="shared" si="0"/>
        <v>9</v>
      </c>
      <c r="F18" s="15" t="str">
        <f t="shared" si="1"/>
        <v>Medium</v>
      </c>
      <c r="G18" s="14" t="s">
        <v>644</v>
      </c>
      <c r="H18" s="14" t="s">
        <v>689</v>
      </c>
      <c r="I18" s="14" t="s">
        <v>539</v>
      </c>
      <c r="J18" s="26"/>
      <c r="K18" s="46"/>
      <c r="L18" s="57" t="str">
        <f t="shared" si="2"/>
        <v/>
      </c>
    </row>
    <row r="19" spans="1:12" ht="29" x14ac:dyDescent="0.35">
      <c r="A19" s="48" t="s">
        <v>690</v>
      </c>
      <c r="B19" s="14" t="s">
        <v>691</v>
      </c>
      <c r="C19" s="27">
        <v>2</v>
      </c>
      <c r="D19" s="27">
        <v>4</v>
      </c>
      <c r="E19" s="48">
        <f t="shared" si="0"/>
        <v>8</v>
      </c>
      <c r="F19" s="15" t="str">
        <f t="shared" si="1"/>
        <v>Medium</v>
      </c>
      <c r="G19" s="14" t="s">
        <v>692</v>
      </c>
      <c r="H19" s="14" t="s">
        <v>693</v>
      </c>
      <c r="I19" s="14" t="s">
        <v>532</v>
      </c>
      <c r="J19" s="26"/>
      <c r="K19" s="46"/>
      <c r="L19" s="57" t="str">
        <f t="shared" si="2"/>
        <v/>
      </c>
    </row>
    <row r="20" spans="1:12" ht="29" x14ac:dyDescent="0.35">
      <c r="A20" s="48" t="s">
        <v>694</v>
      </c>
      <c r="B20" s="14" t="s">
        <v>695</v>
      </c>
      <c r="C20" s="27">
        <v>3</v>
      </c>
      <c r="D20" s="27">
        <v>3</v>
      </c>
      <c r="E20" s="48">
        <f t="shared" si="0"/>
        <v>9</v>
      </c>
      <c r="F20" s="15" t="str">
        <f t="shared" si="1"/>
        <v>Medium</v>
      </c>
      <c r="G20" s="14" t="s">
        <v>696</v>
      </c>
      <c r="H20" s="14" t="s">
        <v>697</v>
      </c>
      <c r="I20" s="14" t="s">
        <v>532</v>
      </c>
      <c r="J20" s="26"/>
      <c r="K20" s="46"/>
      <c r="L20" s="57" t="str">
        <f t="shared" si="2"/>
        <v/>
      </c>
    </row>
    <row r="21" spans="1:12" ht="29" x14ac:dyDescent="0.35">
      <c r="A21" s="48" t="s">
        <v>698</v>
      </c>
      <c r="B21" s="14" t="s">
        <v>699</v>
      </c>
      <c r="C21" s="27">
        <v>3</v>
      </c>
      <c r="D21" s="27">
        <v>3</v>
      </c>
      <c r="E21" s="48">
        <f t="shared" si="0"/>
        <v>9</v>
      </c>
      <c r="F21" s="15" t="str">
        <f t="shared" si="1"/>
        <v>Medium</v>
      </c>
      <c r="G21" s="14" t="s">
        <v>644</v>
      </c>
      <c r="H21" s="14" t="s">
        <v>700</v>
      </c>
      <c r="I21" s="14" t="s">
        <v>664</v>
      </c>
      <c r="J21" s="26"/>
      <c r="K21" s="46"/>
      <c r="L21" s="57" t="str">
        <f t="shared" si="2"/>
        <v/>
      </c>
    </row>
    <row r="23" spans="1:12" x14ac:dyDescent="0.35">
      <c r="B23" s="19" t="s">
        <v>701</v>
      </c>
      <c r="C23" s="19" t="s">
        <v>702</v>
      </c>
    </row>
    <row r="24" spans="1:12" x14ac:dyDescent="0.35">
      <c r="B24" s="22" t="s">
        <v>359</v>
      </c>
      <c r="C24" s="15">
        <f>COUNTIF($F$5:$F$21,B24)</f>
        <v>4</v>
      </c>
    </row>
    <row r="25" spans="1:12" x14ac:dyDescent="0.35">
      <c r="B25" s="22" t="s">
        <v>703</v>
      </c>
      <c r="C25" s="15">
        <f>COUNTIF($F$5:$F$21,B25)</f>
        <v>7</v>
      </c>
    </row>
    <row r="26" spans="1:12" x14ac:dyDescent="0.35">
      <c r="B26" s="22" t="s">
        <v>704</v>
      </c>
      <c r="C26" s="15">
        <f>COUNTIF($F$5:$F$21,B26)</f>
        <v>6</v>
      </c>
    </row>
    <row r="27" spans="1:12" x14ac:dyDescent="0.35">
      <c r="B27" s="22" t="s">
        <v>705</v>
      </c>
      <c r="C27" s="15">
        <f>COUNTIF($F$5:$F$21,B27)</f>
        <v>0</v>
      </c>
    </row>
    <row r="28" spans="1:12" x14ac:dyDescent="0.35">
      <c r="B28" s="25" t="s">
        <v>706</v>
      </c>
      <c r="C28" s="48">
        <f>SUM(E5:E21)</f>
        <v>196</v>
      </c>
    </row>
    <row r="29" spans="1:12" x14ac:dyDescent="0.35">
      <c r="B29" s="25" t="s">
        <v>707</v>
      </c>
      <c r="C29" s="48">
        <f>ROUND(C28*0.6,0)</f>
        <v>118</v>
      </c>
    </row>
    <row r="30" spans="1:12" x14ac:dyDescent="0.35">
      <c r="B30" s="25" t="s">
        <v>708</v>
      </c>
      <c r="C30" s="32">
        <f>SUM(L5:L21)</f>
        <v>532500</v>
      </c>
    </row>
    <row r="31" spans="1:12" x14ac:dyDescent="0.35">
      <c r="B31" s="25" t="s">
        <v>709</v>
      </c>
      <c r="C31" s="58">
        <f>'Cash Flow'!H17</f>
        <v>706400</v>
      </c>
    </row>
    <row r="32" spans="1:12" x14ac:dyDescent="0.35">
      <c r="B32" s="25" t="s">
        <v>710</v>
      </c>
      <c r="C32" s="63">
        <f>C30/C31</f>
        <v>0.75382219705549269</v>
      </c>
    </row>
    <row r="33" spans="2:3" x14ac:dyDescent="0.35">
      <c r="B33" s="25" t="s">
        <v>711</v>
      </c>
      <c r="C33" s="15" t="str">
        <f>IF(C28=196,"OK","CHECK")</f>
        <v>OK</v>
      </c>
    </row>
  </sheetData>
  <autoFilter ref="A4:L21" xr:uid="{00000000-0009-0000-0000-000008000000}"/>
  <conditionalFormatting sqref="C33">
    <cfRule type="cellIs" dxfId="16" priority="5" operator="equal">
      <formula>"OK"</formula>
    </cfRule>
    <cfRule type="cellIs" dxfId="15" priority="6" operator="equal">
      <formula>"CHECK"</formula>
    </cfRule>
  </conditionalFormatting>
  <conditionalFormatting sqref="F5:F21">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"Low"</formula>
    </cfRule>
  </conditionalFormatting>
  <printOptions horizontalCentered="1"/>
  <pageMargins left="0.4" right="0.4"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27"/>
  <sheetViews>
    <sheetView workbookViewId="0">
      <pane xSplit="2" ySplit="4" topLeftCell="C11" activePane="bottomRight" state="frozen"/>
      <selection pane="topRight"/>
      <selection pane="bottomLeft"/>
      <selection pane="bottomRight"/>
    </sheetView>
  </sheetViews>
  <sheetFormatPr defaultRowHeight="14.5" x14ac:dyDescent="0.35"/>
  <cols>
    <col min="1" max="1" width="5" customWidth="1"/>
    <col min="2" max="2" width="48" customWidth="1"/>
    <col min="3" max="11" width="7" customWidth="1"/>
    <col min="12" max="13" width="9" customWidth="1"/>
  </cols>
  <sheetData>
    <row r="1" spans="1:13" ht="17" x14ac:dyDescent="0.4">
      <c r="A1" s="10" t="s">
        <v>712</v>
      </c>
    </row>
    <row r="2" spans="1:13" x14ac:dyDescent="0.35">
      <c r="A2" s="11" t="s">
        <v>713</v>
      </c>
    </row>
    <row r="4" spans="1:13" x14ac:dyDescent="0.35">
      <c r="A4" s="12" t="s">
        <v>554</v>
      </c>
      <c r="B4" s="12" t="s">
        <v>714</v>
      </c>
      <c r="C4" s="12" t="s">
        <v>113</v>
      </c>
      <c r="D4" s="12" t="s">
        <v>136</v>
      </c>
      <c r="E4" s="12" t="s">
        <v>126</v>
      </c>
      <c r="F4" s="12" t="s">
        <v>145</v>
      </c>
      <c r="G4" s="12" t="s">
        <v>139</v>
      </c>
      <c r="H4" s="12" t="s">
        <v>230</v>
      </c>
      <c r="I4" s="12" t="s">
        <v>148</v>
      </c>
      <c r="J4" s="12" t="s">
        <v>241</v>
      </c>
      <c r="K4" s="12" t="s">
        <v>116</v>
      </c>
      <c r="L4" s="12" t="s">
        <v>715</v>
      </c>
      <c r="M4" s="12" t="s">
        <v>345</v>
      </c>
    </row>
    <row r="5" spans="1:13" x14ac:dyDescent="0.35">
      <c r="A5" s="15">
        <v>1</v>
      </c>
      <c r="B5" s="14" t="s">
        <v>716</v>
      </c>
      <c r="C5" s="27" t="s">
        <v>717</v>
      </c>
      <c r="D5" s="27" t="s">
        <v>718</v>
      </c>
      <c r="E5" s="27" t="s">
        <v>634</v>
      </c>
      <c r="F5" s="27" t="s">
        <v>634</v>
      </c>
      <c r="G5" s="27" t="s">
        <v>634</v>
      </c>
      <c r="H5" s="27" t="s">
        <v>634</v>
      </c>
      <c r="I5" s="27" t="s">
        <v>718</v>
      </c>
      <c r="J5" s="27" t="s">
        <v>718</v>
      </c>
      <c r="K5" s="27" t="s">
        <v>718</v>
      </c>
      <c r="L5" s="15">
        <f t="shared" ref="L5:L24" si="0">COUNTIF(C5:K5,"A*")</f>
        <v>1</v>
      </c>
      <c r="M5" s="15" t="str">
        <f t="shared" ref="M5:M24" si="1">IF(L5=1,"OK","CHECK")</f>
        <v>OK</v>
      </c>
    </row>
    <row r="6" spans="1:13" x14ac:dyDescent="0.35">
      <c r="A6" s="15">
        <v>2</v>
      </c>
      <c r="B6" s="14" t="s">
        <v>719</v>
      </c>
      <c r="C6" s="27" t="s">
        <v>720</v>
      </c>
      <c r="D6" s="27" t="s">
        <v>718</v>
      </c>
      <c r="E6" s="27" t="s">
        <v>634</v>
      </c>
      <c r="F6" s="27" t="s">
        <v>718</v>
      </c>
      <c r="G6" s="27" t="s">
        <v>718</v>
      </c>
      <c r="H6" s="27" t="s">
        <v>718</v>
      </c>
      <c r="I6" s="27" t="s">
        <v>718</v>
      </c>
      <c r="J6" s="27" t="s">
        <v>718</v>
      </c>
      <c r="K6" s="27" t="s">
        <v>721</v>
      </c>
      <c r="L6" s="15">
        <f t="shared" si="0"/>
        <v>1</v>
      </c>
      <c r="M6" s="15" t="str">
        <f t="shared" si="1"/>
        <v>OK</v>
      </c>
    </row>
    <row r="7" spans="1:13" x14ac:dyDescent="0.35">
      <c r="A7" s="15">
        <v>3</v>
      </c>
      <c r="B7" s="14" t="s">
        <v>722</v>
      </c>
      <c r="C7" s="27" t="s">
        <v>720</v>
      </c>
      <c r="D7" s="27" t="s">
        <v>721</v>
      </c>
      <c r="E7" s="27" t="s">
        <v>718</v>
      </c>
      <c r="F7" s="27" t="s">
        <v>718</v>
      </c>
      <c r="G7" s="27" t="s">
        <v>718</v>
      </c>
      <c r="H7" s="27" t="s">
        <v>634</v>
      </c>
      <c r="I7" s="27" t="s">
        <v>718</v>
      </c>
      <c r="J7" s="27" t="s">
        <v>634</v>
      </c>
      <c r="K7" s="27" t="s">
        <v>718</v>
      </c>
      <c r="L7" s="15">
        <f t="shared" si="0"/>
        <v>1</v>
      </c>
      <c r="M7" s="15" t="str">
        <f t="shared" si="1"/>
        <v>OK</v>
      </c>
    </row>
    <row r="8" spans="1:13" x14ac:dyDescent="0.35">
      <c r="A8" s="15">
        <v>4</v>
      </c>
      <c r="B8" s="14" t="s">
        <v>723</v>
      </c>
      <c r="C8" s="27" t="s">
        <v>718</v>
      </c>
      <c r="D8" s="27" t="s">
        <v>717</v>
      </c>
      <c r="E8" s="27" t="s">
        <v>721</v>
      </c>
      <c r="F8" s="27" t="s">
        <v>718</v>
      </c>
      <c r="G8" s="27" t="s">
        <v>718</v>
      </c>
      <c r="H8" s="27" t="s">
        <v>718</v>
      </c>
      <c r="I8" s="27" t="s">
        <v>721</v>
      </c>
      <c r="J8" s="27" t="s">
        <v>634</v>
      </c>
      <c r="K8" s="27" t="s">
        <v>634</v>
      </c>
      <c r="L8" s="15">
        <f t="shared" si="0"/>
        <v>1</v>
      </c>
      <c r="M8" s="15" t="str">
        <f t="shared" si="1"/>
        <v>OK</v>
      </c>
    </row>
    <row r="9" spans="1:13" x14ac:dyDescent="0.35">
      <c r="A9" s="15">
        <v>5</v>
      </c>
      <c r="B9" s="14" t="s">
        <v>724</v>
      </c>
      <c r="C9" s="27" t="s">
        <v>634</v>
      </c>
      <c r="D9" s="27" t="s">
        <v>720</v>
      </c>
      <c r="E9" s="27" t="s">
        <v>721</v>
      </c>
      <c r="F9" s="27" t="s">
        <v>634</v>
      </c>
      <c r="G9" s="27" t="s">
        <v>634</v>
      </c>
      <c r="H9" s="27" t="s">
        <v>634</v>
      </c>
      <c r="I9" s="27" t="s">
        <v>721</v>
      </c>
      <c r="J9" s="27" t="s">
        <v>634</v>
      </c>
      <c r="K9" s="27" t="s">
        <v>634</v>
      </c>
      <c r="L9" s="15">
        <f t="shared" si="0"/>
        <v>1</v>
      </c>
      <c r="M9" s="15" t="str">
        <f t="shared" si="1"/>
        <v>OK</v>
      </c>
    </row>
    <row r="10" spans="1:13" x14ac:dyDescent="0.35">
      <c r="A10" s="15">
        <v>6</v>
      </c>
      <c r="B10" s="14" t="s">
        <v>725</v>
      </c>
      <c r="C10" s="27" t="s">
        <v>634</v>
      </c>
      <c r="D10" s="27" t="s">
        <v>718</v>
      </c>
      <c r="E10" s="27" t="s">
        <v>718</v>
      </c>
      <c r="F10" s="27" t="s">
        <v>634</v>
      </c>
      <c r="G10" s="27" t="s">
        <v>718</v>
      </c>
      <c r="H10" s="27" t="s">
        <v>718</v>
      </c>
      <c r="I10" s="27" t="s">
        <v>717</v>
      </c>
      <c r="J10" s="27" t="s">
        <v>634</v>
      </c>
      <c r="K10" s="27" t="s">
        <v>718</v>
      </c>
      <c r="L10" s="15">
        <f t="shared" si="0"/>
        <v>1</v>
      </c>
      <c r="M10" s="15" t="str">
        <f t="shared" si="1"/>
        <v>OK</v>
      </c>
    </row>
    <row r="11" spans="1:13" x14ac:dyDescent="0.35">
      <c r="A11" s="15">
        <v>7</v>
      </c>
      <c r="B11" s="14" t="s">
        <v>726</v>
      </c>
      <c r="C11" s="27" t="s">
        <v>634</v>
      </c>
      <c r="D11" s="27" t="s">
        <v>718</v>
      </c>
      <c r="E11" s="27" t="s">
        <v>718</v>
      </c>
      <c r="F11" s="27" t="s">
        <v>717</v>
      </c>
      <c r="G11" s="27" t="s">
        <v>718</v>
      </c>
      <c r="H11" s="27" t="s">
        <v>718</v>
      </c>
      <c r="I11" s="27" t="s">
        <v>718</v>
      </c>
      <c r="J11" s="27" t="s">
        <v>721</v>
      </c>
      <c r="K11" s="27" t="s">
        <v>718</v>
      </c>
      <c r="L11" s="15">
        <f t="shared" si="0"/>
        <v>1</v>
      </c>
      <c r="M11" s="15" t="str">
        <f t="shared" si="1"/>
        <v>OK</v>
      </c>
    </row>
    <row r="12" spans="1:13" x14ac:dyDescent="0.35">
      <c r="A12" s="15">
        <v>8</v>
      </c>
      <c r="B12" s="14" t="s">
        <v>727</v>
      </c>
      <c r="C12" s="27" t="s">
        <v>634</v>
      </c>
      <c r="D12" s="27" t="s">
        <v>718</v>
      </c>
      <c r="E12" s="27" t="s">
        <v>721</v>
      </c>
      <c r="F12" s="27" t="s">
        <v>718</v>
      </c>
      <c r="G12" s="27" t="s">
        <v>717</v>
      </c>
      <c r="H12" s="27" t="s">
        <v>634</v>
      </c>
      <c r="I12" s="27" t="s">
        <v>718</v>
      </c>
      <c r="J12" s="27" t="s">
        <v>718</v>
      </c>
      <c r="K12" s="27" t="s">
        <v>718</v>
      </c>
      <c r="L12" s="15">
        <f t="shared" si="0"/>
        <v>1</v>
      </c>
      <c r="M12" s="15" t="str">
        <f t="shared" si="1"/>
        <v>OK</v>
      </c>
    </row>
    <row r="13" spans="1:13" x14ac:dyDescent="0.35">
      <c r="A13" s="15">
        <v>9</v>
      </c>
      <c r="B13" s="14" t="s">
        <v>728</v>
      </c>
      <c r="C13" s="27" t="s">
        <v>634</v>
      </c>
      <c r="D13" s="27" t="s">
        <v>718</v>
      </c>
      <c r="E13" s="27" t="s">
        <v>634</v>
      </c>
      <c r="F13" s="27" t="s">
        <v>721</v>
      </c>
      <c r="G13" s="27" t="s">
        <v>718</v>
      </c>
      <c r="H13" s="27" t="s">
        <v>717</v>
      </c>
      <c r="I13" s="27" t="s">
        <v>718</v>
      </c>
      <c r="J13" s="27" t="s">
        <v>718</v>
      </c>
      <c r="K13" s="27" t="s">
        <v>721</v>
      </c>
      <c r="L13" s="15">
        <f t="shared" si="0"/>
        <v>1</v>
      </c>
      <c r="M13" s="15" t="str">
        <f t="shared" si="1"/>
        <v>OK</v>
      </c>
    </row>
    <row r="14" spans="1:13" x14ac:dyDescent="0.35">
      <c r="A14" s="15">
        <v>10</v>
      </c>
      <c r="B14" s="14" t="s">
        <v>729</v>
      </c>
      <c r="C14" s="27" t="s">
        <v>634</v>
      </c>
      <c r="D14" s="27" t="s">
        <v>718</v>
      </c>
      <c r="E14" s="27" t="s">
        <v>721</v>
      </c>
      <c r="F14" s="27" t="s">
        <v>634</v>
      </c>
      <c r="G14" s="27" t="s">
        <v>718</v>
      </c>
      <c r="H14" s="27" t="s">
        <v>634</v>
      </c>
      <c r="I14" s="27" t="s">
        <v>717</v>
      </c>
      <c r="J14" s="27" t="s">
        <v>718</v>
      </c>
      <c r="K14" s="27" t="s">
        <v>634</v>
      </c>
      <c r="L14" s="15">
        <f t="shared" si="0"/>
        <v>1</v>
      </c>
      <c r="M14" s="15" t="str">
        <f t="shared" si="1"/>
        <v>OK</v>
      </c>
    </row>
    <row r="15" spans="1:13" x14ac:dyDescent="0.35">
      <c r="A15" s="15">
        <v>11</v>
      </c>
      <c r="B15" s="14" t="s">
        <v>730</v>
      </c>
      <c r="C15" s="27" t="s">
        <v>720</v>
      </c>
      <c r="D15" s="27" t="s">
        <v>718</v>
      </c>
      <c r="E15" s="27" t="s">
        <v>634</v>
      </c>
      <c r="F15" s="27" t="s">
        <v>718</v>
      </c>
      <c r="G15" s="27" t="s">
        <v>634</v>
      </c>
      <c r="H15" s="27" t="s">
        <v>718</v>
      </c>
      <c r="I15" s="27" t="s">
        <v>721</v>
      </c>
      <c r="J15" s="27" t="s">
        <v>634</v>
      </c>
      <c r="K15" s="27" t="s">
        <v>718</v>
      </c>
      <c r="L15" s="15">
        <f t="shared" si="0"/>
        <v>1</v>
      </c>
      <c r="M15" s="15" t="str">
        <f t="shared" si="1"/>
        <v>OK</v>
      </c>
    </row>
    <row r="16" spans="1:13" x14ac:dyDescent="0.35">
      <c r="A16" s="15">
        <v>12</v>
      </c>
      <c r="B16" s="14" t="s">
        <v>731</v>
      </c>
      <c r="C16" s="27" t="s">
        <v>634</v>
      </c>
      <c r="D16" s="27" t="s">
        <v>718</v>
      </c>
      <c r="E16" s="27" t="s">
        <v>718</v>
      </c>
      <c r="F16" s="27" t="s">
        <v>718</v>
      </c>
      <c r="G16" s="27" t="s">
        <v>718</v>
      </c>
      <c r="H16" s="27" t="s">
        <v>718</v>
      </c>
      <c r="I16" s="27" t="s">
        <v>718</v>
      </c>
      <c r="J16" s="27" t="s">
        <v>717</v>
      </c>
      <c r="K16" s="27" t="s">
        <v>721</v>
      </c>
      <c r="L16" s="15">
        <f t="shared" si="0"/>
        <v>1</v>
      </c>
      <c r="M16" s="15" t="str">
        <f t="shared" si="1"/>
        <v>OK</v>
      </c>
    </row>
    <row r="17" spans="1:13" x14ac:dyDescent="0.35">
      <c r="A17" s="15">
        <v>13</v>
      </c>
      <c r="B17" s="14" t="s">
        <v>732</v>
      </c>
      <c r="C17" s="27" t="s">
        <v>720</v>
      </c>
      <c r="D17" s="27" t="s">
        <v>718</v>
      </c>
      <c r="E17" s="27" t="s">
        <v>721</v>
      </c>
      <c r="F17" s="27" t="s">
        <v>721</v>
      </c>
      <c r="G17" s="27" t="s">
        <v>721</v>
      </c>
      <c r="H17" s="27" t="s">
        <v>718</v>
      </c>
      <c r="I17" s="27" t="s">
        <v>718</v>
      </c>
      <c r="J17" s="27" t="s">
        <v>721</v>
      </c>
      <c r="K17" s="27" t="s">
        <v>718</v>
      </c>
      <c r="L17" s="15">
        <f t="shared" si="0"/>
        <v>1</v>
      </c>
      <c r="M17" s="15" t="str">
        <f t="shared" si="1"/>
        <v>OK</v>
      </c>
    </row>
    <row r="18" spans="1:13" x14ac:dyDescent="0.35">
      <c r="A18" s="15">
        <v>14</v>
      </c>
      <c r="B18" s="14" t="s">
        <v>733</v>
      </c>
      <c r="C18" s="27" t="s">
        <v>720</v>
      </c>
      <c r="D18" s="27" t="s">
        <v>721</v>
      </c>
      <c r="E18" s="27" t="s">
        <v>721</v>
      </c>
      <c r="F18" s="27" t="s">
        <v>634</v>
      </c>
      <c r="G18" s="27" t="s">
        <v>634</v>
      </c>
      <c r="H18" s="27" t="s">
        <v>634</v>
      </c>
      <c r="I18" s="27" t="s">
        <v>718</v>
      </c>
      <c r="J18" s="27" t="s">
        <v>718</v>
      </c>
      <c r="K18" s="27" t="s">
        <v>634</v>
      </c>
      <c r="L18" s="15">
        <f t="shared" si="0"/>
        <v>1</v>
      </c>
      <c r="M18" s="15" t="str">
        <f t="shared" si="1"/>
        <v>OK</v>
      </c>
    </row>
    <row r="19" spans="1:13" x14ac:dyDescent="0.35">
      <c r="A19" s="15">
        <v>15</v>
      </c>
      <c r="B19" s="14" t="s">
        <v>320</v>
      </c>
      <c r="C19" s="27" t="s">
        <v>717</v>
      </c>
      <c r="D19" s="27" t="s">
        <v>718</v>
      </c>
      <c r="E19" s="27" t="s">
        <v>718</v>
      </c>
      <c r="F19" s="27" t="s">
        <v>718</v>
      </c>
      <c r="G19" s="27" t="s">
        <v>718</v>
      </c>
      <c r="H19" s="27" t="s">
        <v>718</v>
      </c>
      <c r="I19" s="27" t="s">
        <v>718</v>
      </c>
      <c r="J19" s="27" t="s">
        <v>718</v>
      </c>
      <c r="K19" s="27" t="s">
        <v>718</v>
      </c>
      <c r="L19" s="15">
        <f t="shared" si="0"/>
        <v>1</v>
      </c>
      <c r="M19" s="15" t="str">
        <f t="shared" si="1"/>
        <v>OK</v>
      </c>
    </row>
    <row r="20" spans="1:13" x14ac:dyDescent="0.35">
      <c r="A20" s="15">
        <v>16</v>
      </c>
      <c r="B20" s="14" t="s">
        <v>734</v>
      </c>
      <c r="C20" s="27" t="s">
        <v>720</v>
      </c>
      <c r="D20" s="27" t="s">
        <v>718</v>
      </c>
      <c r="E20" s="27" t="s">
        <v>718</v>
      </c>
      <c r="F20" s="27" t="s">
        <v>718</v>
      </c>
      <c r="G20" s="27" t="s">
        <v>718</v>
      </c>
      <c r="H20" s="27" t="s">
        <v>718</v>
      </c>
      <c r="I20" s="27" t="s">
        <v>718</v>
      </c>
      <c r="J20" s="27" t="s">
        <v>721</v>
      </c>
      <c r="K20" s="27" t="s">
        <v>718</v>
      </c>
      <c r="L20" s="15">
        <f t="shared" si="0"/>
        <v>1</v>
      </c>
      <c r="M20" s="15" t="str">
        <f t="shared" si="1"/>
        <v>OK</v>
      </c>
    </row>
    <row r="21" spans="1:13" x14ac:dyDescent="0.35">
      <c r="A21" s="15">
        <v>17</v>
      </c>
      <c r="B21" s="14" t="s">
        <v>735</v>
      </c>
      <c r="C21" s="27" t="s">
        <v>718</v>
      </c>
      <c r="D21" s="27" t="s">
        <v>634</v>
      </c>
      <c r="E21" s="27" t="s">
        <v>718</v>
      </c>
      <c r="F21" s="27" t="s">
        <v>634</v>
      </c>
      <c r="G21" s="27" t="s">
        <v>718</v>
      </c>
      <c r="H21" s="27" t="s">
        <v>718</v>
      </c>
      <c r="I21" s="27" t="s">
        <v>634</v>
      </c>
      <c r="J21" s="27" t="s">
        <v>634</v>
      </c>
      <c r="K21" s="27" t="s">
        <v>717</v>
      </c>
      <c r="L21" s="15">
        <f t="shared" si="0"/>
        <v>1</v>
      </c>
      <c r="M21" s="15" t="str">
        <f t="shared" si="1"/>
        <v>OK</v>
      </c>
    </row>
    <row r="22" spans="1:13" x14ac:dyDescent="0.35">
      <c r="A22" s="15">
        <v>18</v>
      </c>
      <c r="B22" s="14" t="s">
        <v>736</v>
      </c>
      <c r="C22" s="27" t="s">
        <v>717</v>
      </c>
      <c r="D22" s="27" t="s">
        <v>718</v>
      </c>
      <c r="E22" s="27" t="s">
        <v>718</v>
      </c>
      <c r="F22" s="27" t="s">
        <v>634</v>
      </c>
      <c r="G22" s="27" t="s">
        <v>634</v>
      </c>
      <c r="H22" s="27" t="s">
        <v>634</v>
      </c>
      <c r="I22" s="27" t="s">
        <v>718</v>
      </c>
      <c r="J22" s="27" t="s">
        <v>634</v>
      </c>
      <c r="K22" s="27" t="s">
        <v>634</v>
      </c>
      <c r="L22" s="15">
        <f t="shared" si="0"/>
        <v>1</v>
      </c>
      <c r="M22" s="15" t="str">
        <f t="shared" si="1"/>
        <v>OK</v>
      </c>
    </row>
    <row r="23" spans="1:13" x14ac:dyDescent="0.35">
      <c r="A23" s="15">
        <v>19</v>
      </c>
      <c r="B23" s="14" t="s">
        <v>737</v>
      </c>
      <c r="C23" s="27" t="s">
        <v>720</v>
      </c>
      <c r="D23" s="27" t="s">
        <v>718</v>
      </c>
      <c r="E23" s="27" t="s">
        <v>721</v>
      </c>
      <c r="F23" s="27" t="s">
        <v>721</v>
      </c>
      <c r="G23" s="27" t="s">
        <v>721</v>
      </c>
      <c r="H23" s="27" t="s">
        <v>721</v>
      </c>
      <c r="I23" s="27" t="s">
        <v>721</v>
      </c>
      <c r="J23" s="27" t="s">
        <v>718</v>
      </c>
      <c r="K23" s="27" t="s">
        <v>721</v>
      </c>
      <c r="L23" s="15">
        <f t="shared" si="0"/>
        <v>1</v>
      </c>
      <c r="M23" s="15" t="str">
        <f t="shared" si="1"/>
        <v>OK</v>
      </c>
    </row>
    <row r="24" spans="1:13" x14ac:dyDescent="0.35">
      <c r="A24" s="15">
        <v>20</v>
      </c>
      <c r="B24" s="14" t="s">
        <v>738</v>
      </c>
      <c r="C24" s="27" t="s">
        <v>717</v>
      </c>
      <c r="D24" s="27" t="s">
        <v>718</v>
      </c>
      <c r="E24" s="27" t="s">
        <v>718</v>
      </c>
      <c r="F24" s="27" t="s">
        <v>718</v>
      </c>
      <c r="G24" s="27" t="s">
        <v>718</v>
      </c>
      <c r="H24" s="27" t="s">
        <v>718</v>
      </c>
      <c r="I24" s="27" t="s">
        <v>718</v>
      </c>
      <c r="J24" s="27" t="s">
        <v>718</v>
      </c>
      <c r="K24" s="27" t="s">
        <v>718</v>
      </c>
      <c r="L24" s="15">
        <f t="shared" si="0"/>
        <v>1</v>
      </c>
      <c r="M24" s="15" t="str">
        <f t="shared" si="1"/>
        <v>OK</v>
      </c>
    </row>
    <row r="25" spans="1:13" x14ac:dyDescent="0.35">
      <c r="A25" s="17"/>
      <c r="B25" s="16" t="s">
        <v>739</v>
      </c>
      <c r="C25" s="18">
        <f t="shared" ref="C25:K25" si="2">COUNTIF(C5:C24,"A*")</f>
        <v>11</v>
      </c>
      <c r="D25" s="18">
        <f t="shared" si="2"/>
        <v>2</v>
      </c>
      <c r="E25" s="18">
        <f t="shared" si="2"/>
        <v>0</v>
      </c>
      <c r="F25" s="18">
        <f t="shared" si="2"/>
        <v>1</v>
      </c>
      <c r="G25" s="18">
        <f t="shared" si="2"/>
        <v>1</v>
      </c>
      <c r="H25" s="18">
        <f t="shared" si="2"/>
        <v>1</v>
      </c>
      <c r="I25" s="18">
        <f t="shared" si="2"/>
        <v>2</v>
      </c>
      <c r="J25" s="18">
        <f t="shared" si="2"/>
        <v>1</v>
      </c>
      <c r="K25" s="18">
        <f t="shared" si="2"/>
        <v>1</v>
      </c>
    </row>
    <row r="26" spans="1:13" x14ac:dyDescent="0.35">
      <c r="B26" s="25" t="s">
        <v>740</v>
      </c>
      <c r="C26" s="48">
        <f t="shared" ref="C26:K26" si="3">COUNTIF(C5:C24,"*R")</f>
        <v>4</v>
      </c>
      <c r="D26" s="48">
        <f t="shared" si="3"/>
        <v>3</v>
      </c>
      <c r="E26" s="48">
        <f t="shared" si="3"/>
        <v>7</v>
      </c>
      <c r="F26" s="48">
        <f t="shared" si="3"/>
        <v>4</v>
      </c>
      <c r="G26" s="48">
        <f t="shared" si="3"/>
        <v>3</v>
      </c>
      <c r="H26" s="48">
        <f t="shared" si="3"/>
        <v>2</v>
      </c>
      <c r="I26" s="48">
        <f t="shared" si="3"/>
        <v>6</v>
      </c>
      <c r="J26" s="48">
        <f t="shared" si="3"/>
        <v>4</v>
      </c>
      <c r="K26" s="48">
        <f t="shared" si="3"/>
        <v>5</v>
      </c>
    </row>
    <row r="27" spans="1:13" x14ac:dyDescent="0.35">
      <c r="B27" s="25" t="s">
        <v>741</v>
      </c>
      <c r="M27" s="48" t="str">
        <f>IF(COUNTIF(M5:M24,"OK")=20,"OK","CHECK")</f>
        <v>OK</v>
      </c>
    </row>
  </sheetData>
  <conditionalFormatting sqref="C5:K24">
    <cfRule type="expression" dxfId="10" priority="5">
      <formula>LEFT(C5,1)="A"</formula>
    </cfRule>
    <cfRule type="expression" dxfId="9" priority="6">
      <formula>C5="R"</formula>
    </cfRule>
    <cfRule type="expression" dxfId="8" priority="7">
      <formula>C5="C"</formula>
    </cfRule>
    <cfRule type="expression" dxfId="7" priority="8">
      <formula>C5="I"</formula>
    </cfRule>
  </conditionalFormatting>
  <conditionalFormatting sqref="M5:M24">
    <cfRule type="cellIs" dxfId="6" priority="1" operator="equal">
      <formula>"OK"</formula>
    </cfRule>
    <cfRule type="cellIs" dxfId="5" priority="2" operator="equal">
      <formula>"CHECK"</formula>
    </cfRule>
  </conditionalFormatting>
  <conditionalFormatting sqref="M27">
    <cfRule type="cellIs" dxfId="4" priority="3" operator="equal">
      <formula>"OK"</formula>
    </cfRule>
    <cfRule type="cellIs" dxfId="3" priority="4" operator="equal">
      <formula>"CHECK"</formula>
    </cfRule>
  </conditionalFormatting>
  <printOptions horizontalCentered="1"/>
  <pageMargins left="0.4" right="0.4"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18"/>
  <sheetViews>
    <sheetView topLeftCell="A9" workbookViewId="0"/>
  </sheetViews>
  <sheetFormatPr defaultRowHeight="14.5" x14ac:dyDescent="0.35"/>
  <cols>
    <col min="1" max="1" width="38" customWidth="1"/>
    <col min="2" max="2" width="16" customWidth="1"/>
    <col min="3" max="3" width="40" customWidth="1"/>
    <col min="4" max="4" width="10" customWidth="1"/>
  </cols>
  <sheetData>
    <row r="1" spans="1:4" ht="17" x14ac:dyDescent="0.4">
      <c r="A1" s="10" t="s">
        <v>742</v>
      </c>
    </row>
    <row r="2" spans="1:4" x14ac:dyDescent="0.35">
      <c r="A2" s="11" t="s">
        <v>743</v>
      </c>
    </row>
    <row r="4" spans="1:4" x14ac:dyDescent="0.35">
      <c r="A4" s="12" t="s">
        <v>744</v>
      </c>
      <c r="B4" s="12" t="s">
        <v>607</v>
      </c>
      <c r="C4" s="12" t="s">
        <v>745</v>
      </c>
      <c r="D4" s="12" t="s">
        <v>746</v>
      </c>
    </row>
    <row r="5" spans="1:4" x14ac:dyDescent="0.35">
      <c r="A5" s="22" t="s">
        <v>747</v>
      </c>
      <c r="B5" s="64">
        <f>'Cash Flow'!H18</f>
        <v>7770400</v>
      </c>
      <c r="C5" s="22" t="s">
        <v>748</v>
      </c>
      <c r="D5" s="15"/>
    </row>
    <row r="6" spans="1:4" x14ac:dyDescent="0.35">
      <c r="A6" s="22" t="s">
        <v>749</v>
      </c>
      <c r="B6" s="64">
        <f>'Cash Flow'!D19</f>
        <v>3110800</v>
      </c>
      <c r="C6" s="22" t="s">
        <v>750</v>
      </c>
      <c r="D6" s="15"/>
    </row>
    <row r="7" spans="1:4" x14ac:dyDescent="0.35">
      <c r="A7" s="22" t="s">
        <v>751</v>
      </c>
      <c r="B7" s="65">
        <v>3000000</v>
      </c>
      <c r="C7" s="22" t="s">
        <v>752</v>
      </c>
      <c r="D7" s="15"/>
    </row>
    <row r="8" spans="1:4" x14ac:dyDescent="0.35">
      <c r="A8" s="22" t="s">
        <v>753</v>
      </c>
      <c r="B8" s="65">
        <v>3100000</v>
      </c>
      <c r="C8" s="22" t="s">
        <v>754</v>
      </c>
      <c r="D8" s="15"/>
    </row>
    <row r="9" spans="1:4" x14ac:dyDescent="0.35">
      <c r="A9" s="22" t="s">
        <v>755</v>
      </c>
      <c r="B9" s="66">
        <f>B7-B8</f>
        <v>-100000</v>
      </c>
      <c r="C9" s="22" t="s">
        <v>756</v>
      </c>
      <c r="D9" s="15"/>
    </row>
    <row r="10" spans="1:4" x14ac:dyDescent="0.35">
      <c r="A10" s="22" t="s">
        <v>757</v>
      </c>
      <c r="B10" s="66">
        <f>B7-B6</f>
        <v>-110800</v>
      </c>
      <c r="C10" s="22" t="s">
        <v>758</v>
      </c>
      <c r="D10" s="15"/>
    </row>
    <row r="11" spans="1:4" x14ac:dyDescent="0.35">
      <c r="A11" s="25" t="s">
        <v>759</v>
      </c>
      <c r="B11" s="67">
        <f>B7/B8</f>
        <v>0.967741935483871</v>
      </c>
      <c r="C11" s="22" t="s">
        <v>760</v>
      </c>
      <c r="D11" s="15" t="str">
        <f>IF(B11&gt;=0.95,"Green",IF(B11&gt;=0.9,"Amber","Red"))</f>
        <v>Green</v>
      </c>
    </row>
    <row r="12" spans="1:4" x14ac:dyDescent="0.35">
      <c r="A12" s="25" t="s">
        <v>761</v>
      </c>
      <c r="B12" s="67">
        <f>B7/B6</f>
        <v>0.96438215250096437</v>
      </c>
      <c r="C12" s="22" t="s">
        <v>762</v>
      </c>
      <c r="D12" s="15" t="str">
        <f>IF(B12&gt;=0.95,"Green",IF(B12&gt;=0.9,"Amber","Red"))</f>
        <v>Green</v>
      </c>
    </row>
    <row r="13" spans="1:4" x14ac:dyDescent="0.35">
      <c r="A13" s="22" t="s">
        <v>763</v>
      </c>
      <c r="B13" s="68">
        <f>B5/B11</f>
        <v>8029413.333333333</v>
      </c>
      <c r="C13" s="22" t="s">
        <v>764</v>
      </c>
      <c r="D13" s="15"/>
    </row>
    <row r="14" spans="1:4" x14ac:dyDescent="0.35">
      <c r="A14" s="22" t="s">
        <v>765</v>
      </c>
      <c r="B14" s="66">
        <f>B5-B13</f>
        <v>-259013.33333333302</v>
      </c>
      <c r="C14" s="22" t="s">
        <v>766</v>
      </c>
      <c r="D14" s="15"/>
    </row>
    <row r="15" spans="1:4" x14ac:dyDescent="0.35">
      <c r="A15" s="25" t="s">
        <v>767</v>
      </c>
      <c r="B15" s="69">
        <f>(B5-B7)/(B5-B8)</f>
        <v>1.0214114422747516</v>
      </c>
      <c r="C15" s="22" t="s">
        <v>768</v>
      </c>
      <c r="D15" s="15"/>
    </row>
    <row r="16" spans="1:4" x14ac:dyDescent="0.35">
      <c r="A16" s="25" t="s">
        <v>769</v>
      </c>
      <c r="B16" s="70" t="str">
        <f>IF(B13&lt;='Cash Flow'!H23,"Yes","No")</f>
        <v>Yes</v>
      </c>
      <c r="C16" s="22" t="s">
        <v>770</v>
      </c>
      <c r="D16" s="15"/>
    </row>
    <row r="18" spans="1:1" x14ac:dyDescent="0.35">
      <c r="A18" s="11" t="s">
        <v>771</v>
      </c>
    </row>
  </sheetData>
  <conditionalFormatting sqref="D5:D16">
    <cfRule type="cellIs" dxfId="2" priority="1" operator="equal">
      <formula>"Green"</formula>
    </cfRule>
    <cfRule type="cellIs" dxfId="1" priority="2" operator="equal">
      <formula>"Amber"</formula>
    </cfRule>
    <cfRule type="cellIs" dxfId="0" priority="3" operator="equal">
      <formula>"Red"</formula>
    </cfRule>
  </conditionalFormatting>
  <printOptions horizontalCentered="1"/>
  <pageMargins left="0.4" right="0.4" top="1" bottom="1" header="0.5" footer="0.5"/>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Business Case</vt:lpstr>
      <vt:lpstr>WBS</vt:lpstr>
      <vt:lpstr>Gantt</vt:lpstr>
      <vt:lpstr>PERT</vt:lpstr>
      <vt:lpstr>Resources</vt:lpstr>
      <vt:lpstr>Budget</vt:lpstr>
      <vt:lpstr>Cash Flow</vt:lpstr>
      <vt:lpstr>Risk Register</vt:lpstr>
      <vt:lpstr>RACI</vt:lpstr>
      <vt:lpstr>EVM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Thabiso Patrick Matsaba</cp:lastModifiedBy>
  <dcterms:created xsi:type="dcterms:W3CDTF">2026-09-30T21:44:49Z</dcterms:created>
  <dcterms:modified xsi:type="dcterms:W3CDTF">2026-10-09T16:17:40Z</dcterms:modified>
</cp:coreProperties>
</file>